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V3Q1" sheetId="1" r:id="rId4"/>
    <sheet state="visible" name="Kopie van RawV3Q1" sheetId="2" r:id="rId5"/>
    <sheet state="visible" name="RawV3Q2" sheetId="3" r:id="rId6"/>
    <sheet state="visible" name="Nodes" sheetId="4" r:id="rId7"/>
    <sheet state="visible" name="Edges" sheetId="5" r:id="rId8"/>
  </sheets>
  <definedNames/>
  <calcPr/>
</workbook>
</file>

<file path=xl/sharedStrings.xml><?xml version="1.0" encoding="utf-8"?>
<sst xmlns="http://schemas.openxmlformats.org/spreadsheetml/2006/main" count="29524" uniqueCount="3311">
  <si>
    <t>lid</t>
  </si>
  <si>
    <t>lidLabel</t>
  </si>
  <si>
    <t>beroep</t>
  </si>
  <si>
    <t>beroepLabel</t>
  </si>
  <si>
    <t>imageLink</t>
  </si>
  <si>
    <t>http://www.wikidata.org/entity/Q3166510</t>
  </si>
  <si>
    <t>Johan Joseph Faict</t>
  </si>
  <si>
    <t>http://www.wikidata.org/entity/Q1044528</t>
  </si>
  <si>
    <t>vicaris-generaal</t>
  </si>
  <si>
    <t>http://commons.wikimedia.org/wiki/Special:FilePath/Brugge%20-%20Bisschop%20Faict%20%281864-1894%29%20-%20Brugge%20-%20Belgi%C3%AB.jpg</t>
  </si>
  <si>
    <t>http://www.wikidata.org/entity/Q378133</t>
  </si>
  <si>
    <t>Hendrik Conscience</t>
  </si>
  <si>
    <t>http://www.wikidata.org/entity/Q82955</t>
  </si>
  <si>
    <t>politicus</t>
  </si>
  <si>
    <t>http://commons.wikimedia.org/wiki/Special:FilePath/Hendrik%20Conscience.jpg</t>
  </si>
  <si>
    <t>http://www.wikidata.org/entity/Q672816</t>
  </si>
  <si>
    <t>Nicholas Wiseman</t>
  </si>
  <si>
    <t>http://www.wikidata.org/entity/Q25393460</t>
  </si>
  <si>
    <t>katholieke diaken</t>
  </si>
  <si>
    <t>http://commons.wikimedia.org/wiki/Special:FilePath/Wiseman.jpg</t>
  </si>
  <si>
    <t>http://www.wikidata.org/entity/Q1334711</t>
  </si>
  <si>
    <t>Emmanuel Hiel</t>
  </si>
  <si>
    <t>http://www.wikidata.org/entity/Q36180</t>
  </si>
  <si>
    <t>schrijver</t>
  </si>
  <si>
    <t>http://commons.wikimedia.org/wiki/Special:FilePath/Hiel%2C%20Emmanuel%20%281834-1899%29%3B%20dichter%20en%20schrijver%2C%20Nauwens%2C%20Joseph%2C%20Felixarchief%2C%2012%2012840.jpg</t>
  </si>
  <si>
    <t>http://www.wikidata.org/entity/Q49757</t>
  </si>
  <si>
    <t>dichter</t>
  </si>
  <si>
    <t>http://www.wikidata.org/entity/Q175669</t>
  </si>
  <si>
    <t>Stijn Streuvels</t>
  </si>
  <si>
    <t>http://www.wikidata.org/entity/Q28389</t>
  </si>
  <si>
    <t>scenarioschrijver</t>
  </si>
  <si>
    <t>http://commons.wikimedia.org/wiki/Special:FilePath/Stijn%20Streuvels%20by%20Modest%20Huys.jpg</t>
  </si>
  <si>
    <t>http://commons.wikimedia.org/wiki/Special:FilePath/Stijn%20Streuvels%20by%20Modest%20Huys%20%28cropped%29.jpg</t>
  </si>
  <si>
    <t>http://www.wikidata.org/entity/Q4902927</t>
  </si>
  <si>
    <t>Edmond Van Hee</t>
  </si>
  <si>
    <t>http://www.wikidata.org/entity/Q333634</t>
  </si>
  <si>
    <t>vertaler</t>
  </si>
  <si>
    <t>http://www.wikidata.org/entity/Q33231</t>
  </si>
  <si>
    <t>fotograaf</t>
  </si>
  <si>
    <t>http://www.wikidata.org/entity/Q2619202</t>
  </si>
  <si>
    <t>Leopold Slosse</t>
  </si>
  <si>
    <t>http://www.wikidata.org/entity/Q955464</t>
  </si>
  <si>
    <t>pastoor</t>
  </si>
  <si>
    <t>http://www.wikidata.org/entity/Q250867</t>
  </si>
  <si>
    <t>katholiek priester</t>
  </si>
  <si>
    <t>http://www.wikidata.org/entity/Q2298746</t>
  </si>
  <si>
    <t>Aloïs Walgrave</t>
  </si>
  <si>
    <t>http://www.wikidata.org/entity/Q3243461</t>
  </si>
  <si>
    <t>verzamelaar</t>
  </si>
  <si>
    <t>http://www.wikidata.org/entity/Q2251335</t>
  </si>
  <si>
    <t>leerkracht</t>
  </si>
  <si>
    <t>http://www.wikidata.org/entity/Q2191260</t>
  </si>
  <si>
    <t>Gustave Waffelaert</t>
  </si>
  <si>
    <t>http://www.wikidata.org/entity/Q114371470</t>
  </si>
  <si>
    <t>coadjutor</t>
  </si>
  <si>
    <t>http://commons.wikimedia.org/wiki/Special:FilePath/Gustaaf%20Jozef%20Waffelaert%20-%2022ste%20bisschop%20van%20Brugge%20-%20Belgi%C3%AB.jpg</t>
  </si>
  <si>
    <t>http://www.wikidata.org/entity/Q611644</t>
  </si>
  <si>
    <t>katholiek bisschop</t>
  </si>
  <si>
    <t>http://www.wikidata.org/entity/Q6242432</t>
  </si>
  <si>
    <t>Pieter Willems</t>
  </si>
  <si>
    <t>http://www.wikidata.org/entity/Q13418253</t>
  </si>
  <si>
    <t>filoloog</t>
  </si>
  <si>
    <t>http://commons.wikimedia.org/wiki/Special:FilePath/PieterWillems.png</t>
  </si>
  <si>
    <t>http://www.wikidata.org/entity/Q107212688</t>
  </si>
  <si>
    <t>exlibrist</t>
  </si>
  <si>
    <t>http://www.wikidata.org/entity/Q1595570</t>
  </si>
  <si>
    <t>heemkundige</t>
  </si>
  <si>
    <t>http://www.wikidata.org/entity/Q2087117</t>
  </si>
  <si>
    <t>René Vermandere</t>
  </si>
  <si>
    <t>http://www.wikidata.org/entity/Q1753370</t>
  </si>
  <si>
    <t>parochievicaris</t>
  </si>
  <si>
    <t>http://www.wikidata.org/entity/Q3163681</t>
  </si>
  <si>
    <t>Jean-Aloys Van Steenkiste</t>
  </si>
  <si>
    <t>http://www.wikidata.org/entity/Q16267607</t>
  </si>
  <si>
    <t>klassiek filoloog</t>
  </si>
  <si>
    <t>http://www.wikidata.org/entity/Q47064</t>
  </si>
  <si>
    <t>militair</t>
  </si>
  <si>
    <t>http://www.wikidata.org/entity/Q201788</t>
  </si>
  <si>
    <t>historicus</t>
  </si>
  <si>
    <t>http://www.wikidata.org/entity/Q1622272</t>
  </si>
  <si>
    <t>academisch docent</t>
  </si>
  <si>
    <t>http://www.wikidata.org/entity/Q1796639</t>
  </si>
  <si>
    <t>Rafaël Verhulst</t>
  </si>
  <si>
    <t>http://commons.wikimedia.org/wiki/Special:FilePath/Raf%20Verhulst.jpg</t>
  </si>
  <si>
    <t>http://www.wikidata.org/entity/Q1162163</t>
  </si>
  <si>
    <t>directeur</t>
  </si>
  <si>
    <t>http://www.wikidata.org/entity/Q4958876</t>
  </si>
  <si>
    <t>deken</t>
  </si>
  <si>
    <t>http://www.wikidata.org/entity/Q16880249</t>
  </si>
  <si>
    <t>dialectoloog</t>
  </si>
  <si>
    <t>http://www.wikidata.org/entity/Q1104153</t>
  </si>
  <si>
    <t>kanunnik</t>
  </si>
  <si>
    <t>http://www.wikidata.org/entity/Q1657500</t>
  </si>
  <si>
    <t>aalmoezenier</t>
  </si>
  <si>
    <t>http://www.wikidata.org/entity/Q160131</t>
  </si>
  <si>
    <t>bakker</t>
  </si>
  <si>
    <t>http://www.wikidata.org/entity/Q586323</t>
  </si>
  <si>
    <t>Albert Verwey</t>
  </si>
  <si>
    <t>http://commons.wikimedia.org/wiki/Special:FilePath/Portret%20van%20Albert%20Verwey%20Rijksmuseum%20SK-C-1680.jpeg</t>
  </si>
  <si>
    <t>http://www.wikidata.org/entity/Q4263842</t>
  </si>
  <si>
    <t>literatuurcriticus</t>
  </si>
  <si>
    <t>http://www.wikidata.org/entity/Q13575404</t>
  </si>
  <si>
    <t>Edward Van Even</t>
  </si>
  <si>
    <t>http://www.wikidata.org/entity/Q182436</t>
  </si>
  <si>
    <t>bibliothecaris</t>
  </si>
  <si>
    <t>http://commons.wikimedia.org/wiki/Special:FilePath/EdwardVanEven.jpg</t>
  </si>
  <si>
    <t>http://www.wikidata.org/entity/Q2457997</t>
  </si>
  <si>
    <t>Constant Hansen</t>
  </si>
  <si>
    <t>http://commons.wikimedia.org/wiki/Special:FilePath/Hansen%2C%20Constant%20Jacob%20%281833-1910%29%3B%20letterkundige%20en%20hoofdbibliothecaris%20stadsbibliotheek%20Antwerpen%2C%20Haeck%2C%20Leopold%2C%20Felixarchief%2C%2012%209296%20recto%20%28cropped%29.jpg</t>
  </si>
  <si>
    <t>http://www.wikidata.org/entity/Q6625963</t>
  </si>
  <si>
    <t>romanschrijver</t>
  </si>
  <si>
    <t>http://www.wikidata.org/entity/Q1877721</t>
  </si>
  <si>
    <t>Charles Carton</t>
  </si>
  <si>
    <t>http://commons.wikimedia.org/wiki/Special:FilePath/Charles%20Carton.jpg</t>
  </si>
  <si>
    <t>http://www.wikidata.org/entity/Q40348</t>
  </si>
  <si>
    <t>advocaat</t>
  </si>
  <si>
    <t>http://www.wikidata.org/entity/Q212238</t>
  </si>
  <si>
    <t>ambtenaar</t>
  </si>
  <si>
    <t>http://www.wikidata.org/entity/Q42603</t>
  </si>
  <si>
    <t>priester</t>
  </si>
  <si>
    <t>http://www.wikidata.org/entity/Q1234713</t>
  </si>
  <si>
    <t>theoloog</t>
  </si>
  <si>
    <t>http://www.wikidata.org/entity/Q247797</t>
  </si>
  <si>
    <t>douanebeambte</t>
  </si>
  <si>
    <t>http://www.wikidata.org/entity/Q635734</t>
  </si>
  <si>
    <t>archivaris</t>
  </si>
  <si>
    <t>http://www.wikidata.org/entity/Q326653</t>
  </si>
  <si>
    <t>boekhouder</t>
  </si>
  <si>
    <t>http://www.wikidata.org/entity/Q1930187</t>
  </si>
  <si>
    <t>journalist</t>
  </si>
  <si>
    <t>http://www.wikidata.org/entity/Q3538623</t>
  </si>
  <si>
    <t>Charles van Caloen</t>
  </si>
  <si>
    <t>http://commons.wikimedia.org/wiki/Special:FilePath/PM%20161806%20B%20Loppem%20%28Charles%20van%20Caloen%29.jpg</t>
  </si>
  <si>
    <t>http://www.wikidata.org/entity/Q1056391</t>
  </si>
  <si>
    <t>rector</t>
  </si>
  <si>
    <t>http://www.wikidata.org/entity/Q214917</t>
  </si>
  <si>
    <t>toneelschrijver</t>
  </si>
  <si>
    <t>http://www.wikidata.org/entity/Q685433</t>
  </si>
  <si>
    <t>verkoper</t>
  </si>
  <si>
    <t>http://www.wikidata.org/entity/Q2516866</t>
  </si>
  <si>
    <t>uitgever</t>
  </si>
  <si>
    <t>http://www.wikidata.org/entity/Q998550</t>
  </si>
  <si>
    <t>boekhandelaar</t>
  </si>
  <si>
    <t>http://www.wikidata.org/entity/Q45684</t>
  </si>
  <si>
    <t>geestelijk leidsman</t>
  </si>
  <si>
    <t>http://www.wikidata.org/entity/Q285759</t>
  </si>
  <si>
    <t>verzekeringsmakelaar</t>
  </si>
  <si>
    <t>http://www.wikidata.org/entity/Q208762</t>
  </si>
  <si>
    <t>kapelaan</t>
  </si>
  <si>
    <t>http://www.wikidata.org/entity/Q2062803</t>
  </si>
  <si>
    <t>William Henry James Weale</t>
  </si>
  <si>
    <t>http://www.wikidata.org/entity/Q37226</t>
  </si>
  <si>
    <t>onderwijzer</t>
  </si>
  <si>
    <t>http://commons.wikimedia.org/wiki/Special:FilePath/James%20Weale.jpg</t>
  </si>
  <si>
    <t>http://www.wikidata.org/entity/Q3067739</t>
  </si>
  <si>
    <t>Joaquim Rubió i Ors</t>
  </si>
  <si>
    <t>http://commons.wikimedia.org/wiki/Special:FilePath/Rubio%20i%20ors.jpg</t>
  </si>
  <si>
    <t>http://www.wikidata.org/entity/Q2684959</t>
  </si>
  <si>
    <t>Ferdinand Van de Putte</t>
  </si>
  <si>
    <t>http://commons.wikimedia.org/wiki/Special:FilePath/Ferdinand%20Van%20de%20Putte.jpg</t>
  </si>
  <si>
    <t>http://www.wikidata.org/entity/Q571426</t>
  </si>
  <si>
    <t>Hendrik Kern</t>
  </si>
  <si>
    <t>http://www.wikidata.org/entity/Q121594</t>
  </si>
  <si>
    <t>professor</t>
  </si>
  <si>
    <t>http://commons.wikimedia.org/wiki/Special:FilePath/Johan%20Hendrik%20Caspar%20Kern.jpg</t>
  </si>
  <si>
    <t>http://www.wikidata.org/entity/Q3621491</t>
  </si>
  <si>
    <t>archeoloog</t>
  </si>
  <si>
    <t>http://www.wikidata.org/entity/Q18415039</t>
  </si>
  <si>
    <t>Philippe Van der Haeghen</t>
  </si>
  <si>
    <t>http://www.wikidata.org/entity/Q1642960</t>
  </si>
  <si>
    <t>commentator</t>
  </si>
  <si>
    <t>http://www.wikidata.org/entity/Q2542423</t>
  </si>
  <si>
    <t>Karel de Gheldere</t>
  </si>
  <si>
    <t>http://www.wikidata.org/entity/Q39631</t>
  </si>
  <si>
    <t>arts</t>
  </si>
  <si>
    <t>http://www.wikidata.org/entity/Q2159132</t>
  </si>
  <si>
    <t>Pieter Lansens</t>
  </si>
  <si>
    <t>http://commons.wikimedia.org/wiki/Special:FilePath/Pieter%20Lansens.jpg</t>
  </si>
  <si>
    <t>http://www.wikidata.org/entity/Q1894475</t>
  </si>
  <si>
    <t>François Van den Abeele</t>
  </si>
  <si>
    <t>http://www.wikidata.org/entity/Q1792450</t>
  </si>
  <si>
    <t>kunsthistoricus</t>
  </si>
  <si>
    <t>http://www.wikidata.org/entity/Q11997597</t>
  </si>
  <si>
    <t>vertegenwoordiger</t>
  </si>
  <si>
    <t>http://www.wikidata.org/entity/Q18533827</t>
  </si>
  <si>
    <t>Edmond Van der Straeten</t>
  </si>
  <si>
    <t>http://www.wikidata.org/entity/Q185351</t>
  </si>
  <si>
    <t>jurist</t>
  </si>
  <si>
    <t>http://commons.wikimedia.org/wiki/Special:FilePath/Portret%20van%20Edmond%20Van%20der%20Straeten%201895%20barcode%20910000105444.jpg</t>
  </si>
  <si>
    <t>http://www.wikidata.org/entity/Q3431564</t>
  </si>
  <si>
    <t>Hendrik Sermon</t>
  </si>
  <si>
    <t>http://www.wikidata.org/entity/Q3185717</t>
  </si>
  <si>
    <t>Joseph Van den Gheyn</t>
  </si>
  <si>
    <t>http://www.wikidata.org/entity/Q17166634</t>
  </si>
  <si>
    <t>hagiograaf</t>
  </si>
  <si>
    <t>http://commons.wikimedia.org/wiki/Special:FilePath/Joseph%20van%20den%20Gheyn%20%281854-1913%29.jpg</t>
  </si>
  <si>
    <t>http://www.wikidata.org/entity/Q21549953</t>
  </si>
  <si>
    <t>Johannes Franck</t>
  </si>
  <si>
    <t>http://www.wikidata.org/entity/Q2580620</t>
  </si>
  <si>
    <t>Aloïs Nelis</t>
  </si>
  <si>
    <t>http://www.wikidata.org/entity/Q2450554</t>
  </si>
  <si>
    <t>Alphonse De Leyn</t>
  </si>
  <si>
    <t>http://www.wikidata.org/entity/Q115705951</t>
  </si>
  <si>
    <t>pastoor-deken</t>
  </si>
  <si>
    <t>http://www.wikidata.org/entity/Q2345694</t>
  </si>
  <si>
    <t>Edward De Gryse</t>
  </si>
  <si>
    <t>http://commons.wikimedia.org/wiki/Special:FilePath/Edward%20De%20Gryse%20-%20priester-deken%20-%20Kortrijk.jpg</t>
  </si>
  <si>
    <t>http://www.wikidata.org/entity/Q14101076</t>
  </si>
  <si>
    <t>Pieter Génard</t>
  </si>
  <si>
    <t>http://www.wikidata.org/entity/Q864380</t>
  </si>
  <si>
    <t>biograaf</t>
  </si>
  <si>
    <t>http://commons.wikimedia.org/wiki/Special:FilePath/PieterG%C3%A9nard.jpg</t>
  </si>
  <si>
    <t>http://www.wikidata.org/entity/Q2181847</t>
  </si>
  <si>
    <t>Jeroom Noterdaeme</t>
  </si>
  <si>
    <t>http://www.wikidata.org/entity/Q11071766</t>
  </si>
  <si>
    <t>Alphonse de Voss</t>
  </si>
  <si>
    <t>http://www.wikidata.org/entity/Q219477</t>
  </si>
  <si>
    <t>missionaris</t>
  </si>
  <si>
    <t>http://www.wikidata.org/entity/Q18093100</t>
  </si>
  <si>
    <t>Willem Lodewijk van Helten</t>
  </si>
  <si>
    <t>http://commons.wikimedia.org/wiki/Special:FilePath/WLvanHelten.jpg</t>
  </si>
  <si>
    <t>http://www.wikidata.org/entity/Q435940</t>
  </si>
  <si>
    <t>pater</t>
  </si>
  <si>
    <t>http://www.wikidata.org/entity/Q11977377</t>
  </si>
  <si>
    <t>inspecteur</t>
  </si>
  <si>
    <t>http://www.wikidata.org/entity/Q14467526</t>
  </si>
  <si>
    <t>taalkundige</t>
  </si>
  <si>
    <t>http://www.wikidata.org/entity/Q2426280</t>
  </si>
  <si>
    <t>Lodewijk Van Haecke</t>
  </si>
  <si>
    <t>http://commons.wikimedia.org/wiki/Special:FilePath/Portret%20van%20pastoor%20L.%20Van%20Haecke%2C%201897%2C%20Groeningemuseum%2C%200040504000.jpg</t>
  </si>
  <si>
    <t>http://www.wikidata.org/entity/Q4773904</t>
  </si>
  <si>
    <t>antropoloog</t>
  </si>
  <si>
    <t>http://www.wikidata.org/entity/Q47090899</t>
  </si>
  <si>
    <t>museummedewerker</t>
  </si>
  <si>
    <t>http://www.wikidata.org/entity/Q14915627</t>
  </si>
  <si>
    <t>musicoloog</t>
  </si>
  <si>
    <t>http://www.wikidata.org/entity/Q1660363</t>
  </si>
  <si>
    <t>importeur</t>
  </si>
  <si>
    <t>http://www.wikidata.org/entity/Q1731155</t>
  </si>
  <si>
    <t>oriëntalist</t>
  </si>
  <si>
    <t>http://www.wikidata.org/entity/Q329468</t>
  </si>
  <si>
    <t>Jan Nolet de Brauwere van Steeland</t>
  </si>
  <si>
    <t>http://commons.wikimedia.org/wiki/Special:FilePath/Portret%20van%20Jan%20Nolet%20de%20Brauwere%20van%20Steeland%2C%20RP-P-1906-1206.jpg</t>
  </si>
  <si>
    <t>http://www.wikidata.org/entity/Q446966</t>
  </si>
  <si>
    <t>restaurator</t>
  </si>
  <si>
    <t>http://www.wikidata.org/entity/Q2319173</t>
  </si>
  <si>
    <t>Gerrit Jacob Boekenoogen</t>
  </si>
  <si>
    <t>http://www.wikidata.org/entity/Q876864</t>
  </si>
  <si>
    <t>redacteur</t>
  </si>
  <si>
    <t>http://commons.wikimedia.org/wiki/Special:FilePath/BoekenoogenGJ.jpg</t>
  </si>
  <si>
    <t>http://www.wikidata.org/entity/Q2599593</t>
  </si>
  <si>
    <t>germanist</t>
  </si>
  <si>
    <t>http://www.wikidata.org/entity/Q6673651</t>
  </si>
  <si>
    <t>letterkundige</t>
  </si>
  <si>
    <t>http://www.wikidata.org/entity/Q674426</t>
  </si>
  <si>
    <t>conservator</t>
  </si>
  <si>
    <t>http://www.wikidata.org/entity/Q1402736</t>
  </si>
  <si>
    <t>privaatdocent</t>
  </si>
  <si>
    <t>http://www.wikidata.org/entity/Q780596</t>
  </si>
  <si>
    <t>curator</t>
  </si>
  <si>
    <t>http://www.wikidata.org/entity/Q1266283</t>
  </si>
  <si>
    <t>senior lecturer</t>
  </si>
  <si>
    <t>http://www.wikidata.org/entity/Q37793252</t>
  </si>
  <si>
    <t>Marcel Provence</t>
  </si>
  <si>
    <t>http://www.wikidata.org/entity/Q115813641</t>
  </si>
  <si>
    <t>Rijkaart Carette</t>
  </si>
  <si>
    <t>http://www.wikidata.org/entity/Q12347522</t>
  </si>
  <si>
    <t>etnograaf</t>
  </si>
  <si>
    <t>http://www.wikidata.org/entity/Q115809464</t>
  </si>
  <si>
    <t>Theodoor Luyssen</t>
  </si>
  <si>
    <t>http://www.wikidata.org/entity/Q115819139</t>
  </si>
  <si>
    <t>Petrus De Smedt</t>
  </si>
  <si>
    <t>http://www.wikidata.org/entity/Q22002048</t>
  </si>
  <si>
    <t>Pieter Raoux</t>
  </si>
  <si>
    <t>http://www.wikidata.org/entity/Q21550468</t>
  </si>
  <si>
    <t>chromolithograaf</t>
  </si>
  <si>
    <t>http://www.wikidata.org/entity/Q15627098</t>
  </si>
  <si>
    <t>Albany James Christie</t>
  </si>
  <si>
    <t>http://www.wikidata.org/entity/Q113681935</t>
  </si>
  <si>
    <t>Victor Van Coillie</t>
  </si>
  <si>
    <t>http://www.wikidata.org/entity/Q3075052</t>
  </si>
  <si>
    <t>volkskundige</t>
  </si>
  <si>
    <t>http://www.wikidata.org/entity/Q25434898</t>
  </si>
  <si>
    <t>afdelingsdirecteur</t>
  </si>
  <si>
    <t>http://www.wikidata.org/entity/Q115816445</t>
  </si>
  <si>
    <t>Constantin Lagae</t>
  </si>
  <si>
    <t>http://www.wikidata.org/entity/Q115818649</t>
  </si>
  <si>
    <t>Jozef Roggeman</t>
  </si>
  <si>
    <t>http://www.wikidata.org/entity/Q1072363</t>
  </si>
  <si>
    <t>bestuurder</t>
  </si>
  <si>
    <t>http://www.wikidata.org/entity/Q110039159</t>
  </si>
  <si>
    <t>Jan Craeynest</t>
  </si>
  <si>
    <t>http://www.wikidata.org/entity/Q86735347</t>
  </si>
  <si>
    <t>Louis David Petit</t>
  </si>
  <si>
    <t>http://www.wikidata.org/entity/Q55232762</t>
  </si>
  <si>
    <t>Julius Obrie</t>
  </si>
  <si>
    <t>http://www.wikidata.org/entity/Q1958649</t>
  </si>
  <si>
    <t>schoolopziener</t>
  </si>
  <si>
    <t>http://www.wikidata.org/entity/Q51168899</t>
  </si>
  <si>
    <t>Victor Lambrecht</t>
  </si>
  <si>
    <t>http://www.wikidata.org/entity/Q15253558</t>
  </si>
  <si>
    <t>activist</t>
  </si>
  <si>
    <t>http://www.wikidata.org/entity/Q10429346</t>
  </si>
  <si>
    <t>bibliograaf</t>
  </si>
  <si>
    <t>http://www.wikidata.org/entity/Q115104760</t>
  </si>
  <si>
    <t>Clementia Hiers</t>
  </si>
  <si>
    <t>http://www.wikidata.org/entity/Q1776501</t>
  </si>
  <si>
    <t>overste</t>
  </si>
  <si>
    <t>http://commons.wikimedia.org/wiki/Special:FilePath/Portret%20van%20Clementia%20Hiers%20%28Hendrik%20De%20Pondt%2C%201878%29.jpg</t>
  </si>
  <si>
    <t>http://www.wikidata.org/entity/Q113754119</t>
  </si>
  <si>
    <t>Adolf De Wolf</t>
  </si>
  <si>
    <t>http://www.wikidata.org/entity/Q105186</t>
  </si>
  <si>
    <t>apotheker</t>
  </si>
  <si>
    <t>http://www.wikidata.org/entity/Q115831509</t>
  </si>
  <si>
    <t>Joseph Gezelle</t>
  </si>
  <si>
    <t>http://www.wikidata.org/entity/Q482980</t>
  </si>
  <si>
    <t>auteur</t>
  </si>
  <si>
    <t>http://www.wikidata.org/entity/Q115834468</t>
  </si>
  <si>
    <t>Achilles Bohyn</t>
  </si>
  <si>
    <t>http://www.wikidata.org/entity/Q4594605</t>
  </si>
  <si>
    <t>magistraat</t>
  </si>
  <si>
    <t>http://www.wikidata.org/entity/Q147618</t>
  </si>
  <si>
    <t>begijn of bogaard</t>
  </si>
  <si>
    <t>http://www.wikidata.org/entity/Q15461013</t>
  </si>
  <si>
    <t>Frans De Potter</t>
  </si>
  <si>
    <t>http://commons.wikimedia.org/wiki/Special:FilePath/De%20Potter%20Frans%20070512.png</t>
  </si>
  <si>
    <t>http://www.wikidata.org/entity/Q114945031</t>
  </si>
  <si>
    <t>Livinus Bruneel</t>
  </si>
  <si>
    <t>http://www.wikidata.org/entity/Q725440</t>
  </si>
  <si>
    <t>prelaat</t>
  </si>
  <si>
    <t>http://www.wikidata.org/entity/Q55233295</t>
  </si>
  <si>
    <t>Charles Van Cauwenberghe</t>
  </si>
  <si>
    <t>http://www.wikidata.org/entity/Q11827483</t>
  </si>
  <si>
    <t>gewoon hoogleraar</t>
  </si>
  <si>
    <t>http://commons.wikimedia.org/wiki/Special:FilePath/Charles%20van%20Cauwenberghe.%20Photograph%20by%20J.C.%20Jaeger.%20Wellcome%20V0028110.jpg</t>
  </si>
  <si>
    <t>http://www.wikidata.org/entity/Q26845752</t>
  </si>
  <si>
    <t>Alfred Guichon de Grandpont</t>
  </si>
  <si>
    <t>http://www.wikidata.org/entity/Q32391314</t>
  </si>
  <si>
    <t>buitengewoon hoogleraar</t>
  </si>
  <si>
    <t>http://www.wikidata.org/entity/Q8178443</t>
  </si>
  <si>
    <t>librettist</t>
  </si>
  <si>
    <t>http://www.wikidata.org/entity/Q175151</t>
  </si>
  <si>
    <t>drukker</t>
  </si>
  <si>
    <t>http://www.wikidata.org/entity/Q94896539</t>
  </si>
  <si>
    <t>Hendrik Q. Janssen</t>
  </si>
  <si>
    <t>http://www.wikidata.org/entity/Q1028181</t>
  </si>
  <si>
    <t>kunstschilder</t>
  </si>
  <si>
    <t>http://www.wikidata.org/entity/Q432386</t>
  </si>
  <si>
    <t>prediker</t>
  </si>
  <si>
    <t>http://www.wikidata.org/entity/Q329439</t>
  </si>
  <si>
    <t>graveur</t>
  </si>
  <si>
    <t>http://www.wikidata.org/entity/Q1925963</t>
  </si>
  <si>
    <t>graficus</t>
  </si>
  <si>
    <t>http://www.wikidata.org/entity/Q3391743</t>
  </si>
  <si>
    <t>beeldend kunstenaar</t>
  </si>
  <si>
    <t>http://www.wikidata.org/entity/Q55672664</t>
  </si>
  <si>
    <t>Ignace de Coussemaker</t>
  </si>
  <si>
    <t>http://www.wikidata.org/entity/Q28973684</t>
  </si>
  <si>
    <t>Hippoliet Haerynck</t>
  </si>
  <si>
    <t>http://www.wikidata.org/entity/Q7239684</t>
  </si>
  <si>
    <t>predikant</t>
  </si>
  <si>
    <t>http://www.wikidata.org/entity/Q16947657</t>
  </si>
  <si>
    <t>lithograaf</t>
  </si>
  <si>
    <t>http://www.wikidata.org/entity/Q114037016</t>
  </si>
  <si>
    <t>adjunct-conservator</t>
  </si>
  <si>
    <t>http://www.wikidata.org/entity/Q3171149</t>
  </si>
  <si>
    <t>Jean Casier</t>
  </si>
  <si>
    <t>http://commons.wikimedia.org/wiki/Special:FilePath/Portret%20van%20Jean%20Casier%201880%20barcode%20910000105033.jpg</t>
  </si>
  <si>
    <t>http://www.wikidata.org/entity/Q2182589</t>
  </si>
  <si>
    <t>Pieter Busschaert</t>
  </si>
  <si>
    <t>http://www.wikidata.org/entity/Q36834</t>
  </si>
  <si>
    <t>componist</t>
  </si>
  <si>
    <t>http://www.wikidata.org/entity/Q377071</t>
  </si>
  <si>
    <t>Edgar Tinel</t>
  </si>
  <si>
    <t>http://commons.wikimedia.org/wiki/Special:FilePath/Edgar%20Tinel%201911.jpg</t>
  </si>
  <si>
    <t>http://www.wikidata.org/entity/Q2413334</t>
  </si>
  <si>
    <t>Max Rooses</t>
  </si>
  <si>
    <t>http://www.wikidata.org/entity/Q4164507</t>
  </si>
  <si>
    <t>kunstcriticus</t>
  </si>
  <si>
    <t>http://commons.wikimedia.org/wiki/Special:FilePath/Max%20Rooses.jpg</t>
  </si>
  <si>
    <t>http://www.wikidata.org/entity/Q486748</t>
  </si>
  <si>
    <t>pianist</t>
  </si>
  <si>
    <t>http://www.wikidata.org/entity/Q2754460</t>
  </si>
  <si>
    <t>Prosper Antoine Van Langendonck</t>
  </si>
  <si>
    <t>http://commons.wikimedia.org/wiki/Special:FilePath/Langendonck.jpg</t>
  </si>
  <si>
    <t>http://www.wikidata.org/entity/Q2606766</t>
  </si>
  <si>
    <t>Gerard van Caloen</t>
  </si>
  <si>
    <t>http://www.wikidata.org/entity/Q10567966</t>
  </si>
  <si>
    <t>liturgist</t>
  </si>
  <si>
    <t>http://commons.wikimedia.org/wiki/Special:FilePath/G%C3%A9rard%20van%20Caloen%20%28detail%29.jpg</t>
  </si>
  <si>
    <t>http://www.wikidata.org/entity/Q1978794</t>
  </si>
  <si>
    <t>Joseph Alberdingk Thijm</t>
  </si>
  <si>
    <t>http://commons.wikimedia.org/wiki/Special:FilePath/Josephus%20Alberdingk%20Thijm%20portret%20%281864-1889%29.png</t>
  </si>
  <si>
    <t>http://www.wikidata.org/entity/Q2065109</t>
  </si>
  <si>
    <t>Ferdinand Vanderhaeghen</t>
  </si>
  <si>
    <t>http://www.wikidata.org/entity/Q18120029</t>
  </si>
  <si>
    <t>bibliofiel</t>
  </si>
  <si>
    <t>http://commons.wikimedia.org/wiki/Special:FilePath/Ferdinand%20Vander%20Haeghen.jpg</t>
  </si>
  <si>
    <t>http://www.wikidata.org/entity/Q2360914</t>
  </si>
  <si>
    <t>Edward Gailliard</t>
  </si>
  <si>
    <t>http://www.wikidata.org/entity/Q719358</t>
  </si>
  <si>
    <t>Theophiel Coopman</t>
  </si>
  <si>
    <t>http://commons.wikimedia.org/wiki/Special:FilePath/Theophiel%20Coopman%20%281852-1915%29.jpg</t>
  </si>
  <si>
    <t>http://www.wikidata.org/entity/Q2361397</t>
  </si>
  <si>
    <t>Frans De Cort</t>
  </si>
  <si>
    <t>http://www.wikidata.org/entity/Q589298</t>
  </si>
  <si>
    <t>hoofdredacteur</t>
  </si>
  <si>
    <t>http://www.wikidata.org/entity/Q6606110</t>
  </si>
  <si>
    <t>industrieel</t>
  </si>
  <si>
    <t>http://www.wikidata.org/entity/Q981444</t>
  </si>
  <si>
    <t>Hugo Verriest</t>
  </si>
  <si>
    <t>http://commons.wikimedia.org/wiki/Special:FilePath/HugoVerriest.jpg</t>
  </si>
  <si>
    <t>http://www.wikidata.org/entity/Q4722117</t>
  </si>
  <si>
    <t>Adolf Lootens</t>
  </si>
  <si>
    <t>http://www.wikidata.org/entity/Q294126</t>
  </si>
  <si>
    <t>landmeter</t>
  </si>
  <si>
    <t>http://www.wikidata.org/entity/Q1920135</t>
  </si>
  <si>
    <t>Jan Bols</t>
  </si>
  <si>
    <t>http://commons.wikimedia.org/wiki/Special:FilePath/Jan%20Bols%2C%20borststuk%20door%20E.%20Fabronius.tif</t>
  </si>
  <si>
    <t>http://www.wikidata.org/entity/Q2672741</t>
  </si>
  <si>
    <t>Jean-Baptiste de Bethune jr.</t>
  </si>
  <si>
    <t>http://www.wikidata.org/entity/Q118395622</t>
  </si>
  <si>
    <t>studiemeester</t>
  </si>
  <si>
    <t>http://www.wikidata.org/entity/Q4865289</t>
  </si>
  <si>
    <t>Bartholomew Woodlock</t>
  </si>
  <si>
    <t>http://commons.wikimedia.org/wiki/Special:FilePath/Bartholomew%20Woodlock%2C%20portrait.png</t>
  </si>
  <si>
    <t>http://www.wikidata.org/entity/Q970036</t>
  </si>
  <si>
    <t>Amand Neut</t>
  </si>
  <si>
    <t>http://www.wikidata.org/entity/Q354052</t>
  </si>
  <si>
    <t>Jean-Baptiste Bethune</t>
  </si>
  <si>
    <t>http://commons.wikimedia.org/wiki/Special:FilePath/JBBethune%20par%20Raoux.jpg</t>
  </si>
  <si>
    <t>http://www.wikidata.org/entity/Q733786</t>
  </si>
  <si>
    <t>monnik</t>
  </si>
  <si>
    <t>http://www.wikidata.org/entity/Q1231865</t>
  </si>
  <si>
    <t>pedagoog</t>
  </si>
  <si>
    <t>http://www.wikidata.org/entity/Q11774202</t>
  </si>
  <si>
    <t>essayist</t>
  </si>
  <si>
    <t>http://www.wikidata.org/entity/Q3032807</t>
  </si>
  <si>
    <t>Henri Rommel</t>
  </si>
  <si>
    <t>http://www.wikidata.org/entity/Q5322166</t>
  </si>
  <si>
    <t>ontwerper</t>
  </si>
  <si>
    <t>http://www.wikidata.org/entity/Q1294787</t>
  </si>
  <si>
    <t>handwerker</t>
  </si>
  <si>
    <t>http://www.wikidata.org/entity/Q42973</t>
  </si>
  <si>
    <t>architect</t>
  </si>
  <si>
    <t>http://www.wikidata.org/entity/Q113627806</t>
  </si>
  <si>
    <t>Hendrik Karel Van Doorne</t>
  </si>
  <si>
    <t>http://www.wikidata.org/entity/Q56036064</t>
  </si>
  <si>
    <t>Peter Jozef Scherpenseel</t>
  </si>
  <si>
    <t>http://www.wikidata.org/entity/Q193391</t>
  </si>
  <si>
    <t>diplomaat</t>
  </si>
  <si>
    <t>http://www.wikidata.org/entity/Q56036018</t>
  </si>
  <si>
    <t>Alexandre Bonvarlet</t>
  </si>
  <si>
    <t>http://commons.wikimedia.org/wiki/Special:FilePath/Alexandre%20Bonvarlet%20by%20Michel%20Berthaud.jpg</t>
  </si>
  <si>
    <t>http://www.wikidata.org/entity/Q115809938</t>
  </si>
  <si>
    <t>Josephus Charle</t>
  </si>
  <si>
    <t>http://www.wikidata.org/entity/Q56036059</t>
  </si>
  <si>
    <t>Alfons Maria Napoleon Prayon-van Zuylen van Nyevelt</t>
  </si>
  <si>
    <t>http://www.wikidata.org/entity/Q76019711</t>
  </si>
  <si>
    <t>Jonathan Henry Woodward</t>
  </si>
  <si>
    <t>http://www.wikidata.org/entity/Q115814591</t>
  </si>
  <si>
    <t>Evarist De Boeck</t>
  </si>
  <si>
    <t>http://www.wikidata.org/entity/Q118732656</t>
  </si>
  <si>
    <t>deservitor</t>
  </si>
  <si>
    <t>http://www.wikidata.org/entity/Q110039219</t>
  </si>
  <si>
    <t>Edward Verschelde</t>
  </si>
  <si>
    <t>http://www.wikidata.org/entity/Q110039260</t>
  </si>
  <si>
    <t>Jacob Lenaerts</t>
  </si>
  <si>
    <t>http://www.wikidata.org/entity/Q115818009</t>
  </si>
  <si>
    <t>Louis Goormachtigh</t>
  </si>
  <si>
    <t>http://www.wikidata.org/entity/Q639669</t>
  </si>
  <si>
    <t>muzikant</t>
  </si>
  <si>
    <t>http://www.wikidata.org/entity/Q37766220</t>
  </si>
  <si>
    <t>Jan Broeckaert</t>
  </si>
  <si>
    <t>http://www.wikidata.org/entity/Q115820195</t>
  </si>
  <si>
    <t>Joseph Axters</t>
  </si>
  <si>
    <t>http://www.wikidata.org/entity/Q110039180</t>
  </si>
  <si>
    <t>Placidus Haghebaert</t>
  </si>
  <si>
    <t>http://www.wikidata.org/entity/Q110039178</t>
  </si>
  <si>
    <t>Pieter Baes</t>
  </si>
  <si>
    <t>http://www.wikidata.org/entity/Q42196616</t>
  </si>
  <si>
    <t>Eugeen de Lepeleer</t>
  </si>
  <si>
    <t>http://www.wikidata.org/entity/Q3409375</t>
  </si>
  <si>
    <t>Anglicaans priester</t>
  </si>
  <si>
    <t>http://www.wikidata.org/entity/Q111744944</t>
  </si>
  <si>
    <t>Casper Lambertus van Langenhuijsen</t>
  </si>
  <si>
    <t>http://www.wikidata.org/entity/Q40881196</t>
  </si>
  <si>
    <t>drukker-boekverkoper</t>
  </si>
  <si>
    <t>http://www.wikidata.org/entity/Q115833316</t>
  </si>
  <si>
    <t>Aloysius Farasyn</t>
  </si>
  <si>
    <t>http://www.wikidata.org/entity/Q7313543</t>
  </si>
  <si>
    <t>rentenier</t>
  </si>
  <si>
    <t>http://www.wikidata.org/entity/Q1993192</t>
  </si>
  <si>
    <t>financieel beheerder</t>
  </si>
  <si>
    <t>http://www.wikidata.org/entity/Q1231906</t>
  </si>
  <si>
    <t>diocesaan administrator</t>
  </si>
  <si>
    <t>http://www.wikidata.org/entity/Q1553123</t>
  </si>
  <si>
    <t>lector</t>
  </si>
  <si>
    <t>http://www.wikidata.org/entity/Q115831919</t>
  </si>
  <si>
    <t>Octavus D'Hooghe</t>
  </si>
  <si>
    <t>http://www.wikidata.org/entity/Q115834868</t>
  </si>
  <si>
    <t>Henri Louis Joseph Messiaen</t>
  </si>
  <si>
    <t>http://www.wikidata.org/entity/Q115835156</t>
  </si>
  <si>
    <t>Leonardus Lootens</t>
  </si>
  <si>
    <t>http://www.wikidata.org/entity/Q42306892</t>
  </si>
  <si>
    <t>Pieter van den Broeck</t>
  </si>
  <si>
    <t>http://www.wikidata.org/entity/Q207978</t>
  </si>
  <si>
    <t>consul</t>
  </si>
  <si>
    <t>http://www.wikidata.org/entity/Q1469535</t>
  </si>
  <si>
    <t>rooms-katholiek priester</t>
  </si>
  <si>
    <t>http://www.wikidata.org/entity/Q101627274</t>
  </si>
  <si>
    <t>Juliaan Claerhout</t>
  </si>
  <si>
    <t>http://www.wikidata.org/entity/Q115813025</t>
  </si>
  <si>
    <t>Auguste de Laage de Bellefaye</t>
  </si>
  <si>
    <t>http://www.wikidata.org/entity/Q114081509</t>
  </si>
  <si>
    <t>Hendrik Persyn</t>
  </si>
  <si>
    <t>http://www.wikidata.org/entity/Q189010</t>
  </si>
  <si>
    <t>notaris</t>
  </si>
  <si>
    <t>http://www.wikidata.org/entity/Q883211</t>
  </si>
  <si>
    <t>gemeentesecretaris</t>
  </si>
  <si>
    <t>http://www.wikidata.org/entity/Q641208</t>
  </si>
  <si>
    <t>griffier</t>
  </si>
  <si>
    <t>http://www.wikidata.org/entity/Q3704253</t>
  </si>
  <si>
    <t>handelaar</t>
  </si>
  <si>
    <t>http://www.wikidata.org/entity/Q23895006</t>
  </si>
  <si>
    <t>Jan Willem Brouwers</t>
  </si>
  <si>
    <t>http://commons.wikimedia.org/wiki/Special:FilePath/Jan%20Willem%20Brouwers%20%281831-1893%29%2C%20gravure%20J.%20Walter%20%28coll.%20Catharijne%20Convent%29.jpg</t>
  </si>
  <si>
    <t>http://www.wikidata.org/entity/Q115830433</t>
  </si>
  <si>
    <t>Antoine Wemaer</t>
  </si>
  <si>
    <t>http://www.wikidata.org/entity/Q59308086</t>
  </si>
  <si>
    <t>Huisprelaat van Zijne Heiligheid</t>
  </si>
  <si>
    <t>http://www.wikidata.org/entity/Q115807960</t>
  </si>
  <si>
    <t>Remigius De Ryckere</t>
  </si>
  <si>
    <t>http://www.wikidata.org/entity/Q113925472</t>
  </si>
  <si>
    <t>Edward Van Robays</t>
  </si>
  <si>
    <t>http://www.wikidata.org/entity/Q115819088</t>
  </si>
  <si>
    <t>Karel Legein</t>
  </si>
  <si>
    <t>http://www.wikidata.org/entity/Q62080181</t>
  </si>
  <si>
    <t>Ernest Rembry</t>
  </si>
  <si>
    <t>http://www.wikidata.org/entity/Q61506427</t>
  </si>
  <si>
    <t>Joseph Herreboudt</t>
  </si>
  <si>
    <t>http://www.wikidata.org/entity/Q115827506</t>
  </si>
  <si>
    <t>Isidoor Van Cleemput</t>
  </si>
  <si>
    <t>http://www.wikidata.org/entity/Q115818861</t>
  </si>
  <si>
    <t>Arthur Lewylle</t>
  </si>
  <si>
    <t>http://www.wikidata.org/entity/Q115823355</t>
  </si>
  <si>
    <t>Augustus Rodts</t>
  </si>
  <si>
    <t>http://www.wikidata.org/entity/Q113731929</t>
  </si>
  <si>
    <t>Jean Scherpereel</t>
  </si>
  <si>
    <t>http://www.wikidata.org/entity/Q17428533</t>
  </si>
  <si>
    <t>Jules Lammens</t>
  </si>
  <si>
    <t>http://www.wikidata.org/entity/Q62117109</t>
  </si>
  <si>
    <t>Antoon Verwaetermeulen</t>
  </si>
  <si>
    <t>http://www.wikidata.org/entity/Q329737</t>
  </si>
  <si>
    <t>slager</t>
  </si>
  <si>
    <t>http://www.wikidata.org/entity/Q115834834</t>
  </si>
  <si>
    <t>Desideer Meersseman</t>
  </si>
  <si>
    <t>http://www.wikidata.org/entity/Q115834873</t>
  </si>
  <si>
    <t>Joannes Spillemaeckers</t>
  </si>
  <si>
    <t>http://www.wikidata.org/entity/Q115836854</t>
  </si>
  <si>
    <t>Leo Vandorpe</t>
  </si>
  <si>
    <t>http://www.wikidata.org/entity/Q115838563</t>
  </si>
  <si>
    <t>Felix Verstraete</t>
  </si>
  <si>
    <t>http://www.wikidata.org/entity/Q13575367</t>
  </si>
  <si>
    <t>Edmond Denys</t>
  </si>
  <si>
    <t>http://www.wikidata.org/entity/Q56174577</t>
  </si>
  <si>
    <t>Charles Alban Buckler</t>
  </si>
  <si>
    <t>http://www.wikidata.org/entity/Q516463</t>
  </si>
  <si>
    <t>heraldicus</t>
  </si>
  <si>
    <t>http://www.wikidata.org/entity/Q4964182</t>
  </si>
  <si>
    <t>filosoof</t>
  </si>
  <si>
    <t>http://www.wikidata.org/entity/Q98322098</t>
  </si>
  <si>
    <t>Cyriel Delaere</t>
  </si>
  <si>
    <t>http://www.wikidata.org/entity/Q28584401</t>
  </si>
  <si>
    <t>Pierre Nicolas Croquison</t>
  </si>
  <si>
    <t>http://commons.wikimedia.org/wiki/Special:FilePath/Pierre%20Nicolas%20Croquison.jpg</t>
  </si>
  <si>
    <t>http://www.wikidata.org/entity/Q2443377</t>
  </si>
  <si>
    <t>topograaf</t>
  </si>
  <si>
    <t>http://www.wikidata.org/entity/Q25378518</t>
  </si>
  <si>
    <t>adjunct-directeur</t>
  </si>
  <si>
    <t>http://www.wikidata.org/entity/Q45029767</t>
  </si>
  <si>
    <t>Jakob Muyldermans</t>
  </si>
  <si>
    <t>http://www.wikidata.org/entity/Q64727835</t>
  </si>
  <si>
    <t>Macarios Haddad</t>
  </si>
  <si>
    <t>http://www.wikidata.org/entity/Q28973666</t>
  </si>
  <si>
    <t>Lodewijk Roersch</t>
  </si>
  <si>
    <t>http://www.wikidata.org/entity/Q122780659</t>
  </si>
  <si>
    <t>Mary Elizabeth Johnson</t>
  </si>
  <si>
    <t>http://www.wikidata.org/entity/Q119796023</t>
  </si>
  <si>
    <t>Georges Vincent Eugène Louis Beyaert</t>
  </si>
  <si>
    <t>http://www.wikidata.org/entity/Q119690392</t>
  </si>
  <si>
    <t>Edmond Wallays</t>
  </si>
  <si>
    <t>http://www.wikidata.org/entity/Q117244643</t>
  </si>
  <si>
    <t>Philomena De Smet</t>
  </si>
  <si>
    <t>http://www.wikidata.org/entity/Q38126150</t>
  </si>
  <si>
    <t>huisvrouw</t>
  </si>
  <si>
    <t>http://www.wikidata.org/entity/Q120644522</t>
  </si>
  <si>
    <t>Emile Henri Adolphe Descamps</t>
  </si>
  <si>
    <t>http://www.wikidata.org/entity/Q118725738</t>
  </si>
  <si>
    <t>Georges William Gadd</t>
  </si>
  <si>
    <t>http://www.wikidata.org/entity/Q81096</t>
  </si>
  <si>
    <t>ingenieur</t>
  </si>
  <si>
    <t>http://www.wikidata.org/entity/Q116660566</t>
  </si>
  <si>
    <t>Florence Gezelle</t>
  </si>
  <si>
    <t>http://www.wikidata.org/entity/Q191808</t>
  </si>
  <si>
    <t>non</t>
  </si>
  <si>
    <t>http://commons.wikimedia.org/wiki/Special:FilePath/Foto%20van%20Florence%20Gezelle.jpg</t>
  </si>
  <si>
    <t>http://www.wikidata.org/entity/Q2462658</t>
  </si>
  <si>
    <t>manager</t>
  </si>
  <si>
    <t>http://www.wikidata.org/entity/Q115838420</t>
  </si>
  <si>
    <t>Carolus Van den Broucke</t>
  </si>
  <si>
    <t>http://www.wikidata.org/entity/Q115836535</t>
  </si>
  <si>
    <t>Jozef Van Damme</t>
  </si>
  <si>
    <t>http://www.wikidata.org/entity/Q120629807</t>
  </si>
  <si>
    <t>Vital De Vos</t>
  </si>
  <si>
    <t>http://www.wikidata.org/entity/Q115835531</t>
  </si>
  <si>
    <t>Augustinus Ghequiere</t>
  </si>
  <si>
    <t>http://www.wikidata.org/entity/Q115836065</t>
  </si>
  <si>
    <t>Edezius Goormachtigh</t>
  </si>
  <si>
    <t>http://www.wikidata.org/entity/Q115837342</t>
  </si>
  <si>
    <t>Constantinus Roelandts</t>
  </si>
  <si>
    <t>http://www.wikidata.org/entity/Q121000890</t>
  </si>
  <si>
    <t>Theofiel Van Heuverswyn</t>
  </si>
  <si>
    <t>http://www.wikidata.org/entity/Q115844105</t>
  </si>
  <si>
    <t>Augustin Van Becelaere</t>
  </si>
  <si>
    <t>http://www.wikidata.org/entity/Q116621328</t>
  </si>
  <si>
    <t>Mary Lucy Vavasour</t>
  </si>
  <si>
    <t>http://www.wikidata.org/entity/Q116620790</t>
  </si>
  <si>
    <t>Sophia Elizabeth Peeters</t>
  </si>
  <si>
    <t>http://commons.wikimedia.org/wiki/Special:FilePath/Portret%20Sophie%20Peeters.jpg</t>
  </si>
  <si>
    <t>http://www.wikidata.org/entity/Q116621171</t>
  </si>
  <si>
    <t>Elisa Robinson</t>
  </si>
  <si>
    <t>http://www.wikidata.org/entity/Q120504176</t>
  </si>
  <si>
    <t>François De Brouwer</t>
  </si>
  <si>
    <t>http://www.wikidata.org/entity/Q116656531</t>
  </si>
  <si>
    <t>Anna Demets</t>
  </si>
  <si>
    <t>http://www.wikidata.org/entity/Q7501153</t>
  </si>
  <si>
    <t>winkelier</t>
  </si>
  <si>
    <t>http://commons.wikimedia.org/wiki/Special:FilePath/Portretfoto%20Anna%20Demets.jpg</t>
  </si>
  <si>
    <t>http://www.wikidata.org/entity/Q120377148</t>
  </si>
  <si>
    <t>Hendrik Dobbelaere</t>
  </si>
  <si>
    <t>http://www.wikidata.org/entity/Q93521113</t>
  </si>
  <si>
    <t>secretaris</t>
  </si>
  <si>
    <t>http://www.wikidata.org/entity/Q117244395</t>
  </si>
  <si>
    <t>Romaan Gislijn Gezelle</t>
  </si>
  <si>
    <t>http://www.wikidata.org/entity/Q120667787</t>
  </si>
  <si>
    <t>vuurwerkmaker</t>
  </si>
  <si>
    <t>http://www.wikidata.org/entity/Q756215</t>
  </si>
  <si>
    <t>proost</t>
  </si>
  <si>
    <t>http://www.wikidata.org/entity/Q121053317</t>
  </si>
  <si>
    <t>Maurice Vander Haeghen</t>
  </si>
  <si>
    <t>http://www.wikidata.org/entity/Q618532</t>
  </si>
  <si>
    <t>grondeigenaar</t>
  </si>
  <si>
    <t>http://www.wikidata.org/entity/Q118189985</t>
  </si>
  <si>
    <t>Georgina Coxon</t>
  </si>
  <si>
    <t>http://www.wikidata.org/entity/Q115979029</t>
  </si>
  <si>
    <t>Casimir Affenaer</t>
  </si>
  <si>
    <t>http://www.wikidata.org/entity/Q115979140</t>
  </si>
  <si>
    <t>Arsenius Dehulster</t>
  </si>
  <si>
    <t>http://www.wikidata.org/entity/Q116508558</t>
  </si>
  <si>
    <t>Anne Hill</t>
  </si>
  <si>
    <t>http://www.wikidata.org/entity/Q119217815</t>
  </si>
  <si>
    <t>Martinus Coune</t>
  </si>
  <si>
    <t>http://www.wikidata.org/entity/Q119007176</t>
  </si>
  <si>
    <t>John Joseph Peter Ross</t>
  </si>
  <si>
    <t>http://www.wikidata.org/entity/Q1281618</t>
  </si>
  <si>
    <t>beeldhouwer</t>
  </si>
  <si>
    <t>http://www.wikidata.org/entity/Q115979418</t>
  </si>
  <si>
    <t>Aloysius Vandemaele</t>
  </si>
  <si>
    <t>http://www.wikidata.org/entity/Q115979952</t>
  </si>
  <si>
    <t>Edward Declercq</t>
  </si>
  <si>
    <t>http://www.wikidata.org/entity/Q115979994</t>
  </si>
  <si>
    <t>Henricus De Badts</t>
  </si>
  <si>
    <t>http://www.wikidata.org/entity/Q7316604</t>
  </si>
  <si>
    <t>winkelbediende</t>
  </si>
  <si>
    <t>http://www.wikidata.org/entity/Q6138343</t>
  </si>
  <si>
    <t>houtsnijder</t>
  </si>
  <si>
    <t>http://www.wikidata.org/entity/Q2114844</t>
  </si>
  <si>
    <t>taxidermist</t>
  </si>
  <si>
    <t>http://www.wikidata.org/entity/Q118998471</t>
  </si>
  <si>
    <t>Denis Auguste Julien Roger</t>
  </si>
  <si>
    <t>http://www.wikidata.org/entity/Q2005653</t>
  </si>
  <si>
    <t>gerechtsdeurwaarder</t>
  </si>
  <si>
    <t>http://www.wikidata.org/entity/Q119224999</t>
  </si>
  <si>
    <t>Laura Perkins</t>
  </si>
  <si>
    <t>http://www.wikidata.org/entity/Q119625085</t>
  </si>
  <si>
    <t>August Selosse</t>
  </si>
  <si>
    <t>http://www.wikidata.org/entity/Q120514200</t>
  </si>
  <si>
    <t>Élie Henri Marie Félix de Coussemaker</t>
  </si>
  <si>
    <t>http://www.wikidata.org/entity/Q115982545</t>
  </si>
  <si>
    <t>Franciscus-Xaverius Mervillie</t>
  </si>
  <si>
    <t>http://www.wikidata.org/entity/Q115982548</t>
  </si>
  <si>
    <t>Isidorus Fraeys</t>
  </si>
  <si>
    <t>http://www.wikidata.org/entity/Q118151362</t>
  </si>
  <si>
    <t>Victor Leonardus Franciscus Goethals</t>
  </si>
  <si>
    <t>http://www.wikidata.org/entity/Q120488044</t>
  </si>
  <si>
    <t>Prosper Bernard</t>
  </si>
  <si>
    <t>http://www.wikidata.org/entity/Q118142378</t>
  </si>
  <si>
    <t>Alfons Bouckaert</t>
  </si>
  <si>
    <t>http://www.wikidata.org/entity/Q119701807</t>
  </si>
  <si>
    <t>Joseph Cox Algar</t>
  </si>
  <si>
    <t>http://www.wikidata.org/entity/Q116509612</t>
  </si>
  <si>
    <t>Francesca Christophers</t>
  </si>
  <si>
    <t>http://www.wikidata.org/entity/Q67205775</t>
  </si>
  <si>
    <t>naaier</t>
  </si>
  <si>
    <t>http://www.wikidata.org/entity/Q116687401</t>
  </si>
  <si>
    <t>Thérèse Hubertine Abels</t>
  </si>
  <si>
    <t>http://www.wikidata.org/entity/Q118612085</t>
  </si>
  <si>
    <t>Michael Buckley</t>
  </si>
  <si>
    <t>http://www.wikidata.org/entity/Q116460145</t>
  </si>
  <si>
    <t>Gerrit Pieter Roos</t>
  </si>
  <si>
    <t>http://www.wikidata.org/entity/Q916292</t>
  </si>
  <si>
    <t>scribent</t>
  </si>
  <si>
    <t>http://www.wikidata.org/entity/Q120721942</t>
  </si>
  <si>
    <t>Edouard Lietaer</t>
  </si>
  <si>
    <t>http://www.wikidata.org/entity/Q116687356</t>
  </si>
  <si>
    <t>Leonie Manceau</t>
  </si>
  <si>
    <t>http://www.wikidata.org/entity/Q20814940</t>
  </si>
  <si>
    <t>wijnhandelaar</t>
  </si>
  <si>
    <t>http://www.wikidata.org/entity/Q115835605</t>
  </si>
  <si>
    <t>Emiel Minne</t>
  </si>
  <si>
    <t>http://www.wikidata.org/entity/Q118792556</t>
  </si>
  <si>
    <t>Edmund Benedict Hicks</t>
  </si>
  <si>
    <t>http://www.wikidata.org/entity/Q115839443</t>
  </si>
  <si>
    <t>Constantinus Van Zieleghem</t>
  </si>
  <si>
    <t>http://www.wikidata.org/entity/Q116508494</t>
  </si>
  <si>
    <t>Jemima Stroud</t>
  </si>
  <si>
    <t>http://www.wikidata.org/entity/Q836904</t>
  </si>
  <si>
    <t>brouwer</t>
  </si>
  <si>
    <t>http://www.wikidata.org/entity/Q116621487</t>
  </si>
  <si>
    <t>Catharine Macdaniel</t>
  </si>
  <si>
    <t>http://www.wikidata.org/entity/Q120472271</t>
  </si>
  <si>
    <t>Lawrence Toole</t>
  </si>
  <si>
    <t>http://www.wikidata.org/entity/Q117244596</t>
  </si>
  <si>
    <t>Hortense Gezelle</t>
  </si>
  <si>
    <t>http://commons.wikimedia.org/wiki/Special:FilePath/Foto%20van%20Hortense%20Gezelle.jpg</t>
  </si>
  <si>
    <t>http://www.wikidata.org/entity/Q115839360</t>
  </si>
  <si>
    <t>Bruno Van Hove</t>
  </si>
  <si>
    <t>http://commons.wikimedia.org/wiki/Special:FilePath/A%20Monsieur%20le%20chanoine%20Van%20Hove%2C%201869%2C%20Musea%20Brugge%2C%200020.GRO0352.III.jpg</t>
  </si>
  <si>
    <t>http://www.wikidata.org/entity/Q242468</t>
  </si>
  <si>
    <t>kleermaker</t>
  </si>
  <si>
    <t>http://www.wikidata.org/entity/Q116621828</t>
  </si>
  <si>
    <t>Stéphanie Hendryckx</t>
  </si>
  <si>
    <t>http://www.wikidata.org/entity/Q833860</t>
  </si>
  <si>
    <t>dienstmeid</t>
  </si>
  <si>
    <t>http://www.wikidata.org/entity/Q3023339</t>
  </si>
  <si>
    <t>kantwerker</t>
  </si>
  <si>
    <t>http://www.wikidata.org/entity/Q119860278</t>
  </si>
  <si>
    <t>Hendrik Claes</t>
  </si>
  <si>
    <t>http://www.wikidata.org/entity/Q120729903</t>
  </si>
  <si>
    <t>Julien Maurus</t>
  </si>
  <si>
    <t>http://www.wikidata.org/entity/Q118644563</t>
  </si>
  <si>
    <t>William Crombleholme</t>
  </si>
  <si>
    <t>http://www.wikidata.org/entity/Q1021658</t>
  </si>
  <si>
    <t>kantoorbediende</t>
  </si>
  <si>
    <t>http://www.wikidata.org/entity/Q118772822</t>
  </si>
  <si>
    <t>Albert Aimé Marie Vandewalle</t>
  </si>
  <si>
    <t>http://www.wikidata.org/entity/Q1365552</t>
  </si>
  <si>
    <t>koster</t>
  </si>
  <si>
    <t>http://www.wikidata.org/entity/Q119006339</t>
  </si>
  <si>
    <t>Samuel Roper</t>
  </si>
  <si>
    <t>http://www.wikidata.org/entity/Q833899</t>
  </si>
  <si>
    <t>butler</t>
  </si>
  <si>
    <t>http://www.wikidata.org/entity/Q116510958</t>
  </si>
  <si>
    <t>Mary Ann F. Andrewes</t>
  </si>
  <si>
    <t>http://www.wikidata.org/entity/Q117265039</t>
  </si>
  <si>
    <t>Maria Ludovica Charlotta Lauwers</t>
  </si>
  <si>
    <t>http://www.wikidata.org/entity/Q118189670</t>
  </si>
  <si>
    <t>Cecilia Sarah De Lisle</t>
  </si>
  <si>
    <t>http://www.wikidata.org/entity/Q119217729</t>
  </si>
  <si>
    <t>Achille Croquison</t>
  </si>
  <si>
    <t>http://www.wikidata.org/entity/Q119637011</t>
  </si>
  <si>
    <t>Louis Wallays</t>
  </si>
  <si>
    <t>http://www.wikidata.org/entity/Q122754021</t>
  </si>
  <si>
    <t>Félicie Marie Heldenbergh</t>
  </si>
  <si>
    <t>http://www.wikidata.org/entity/Q123050504</t>
  </si>
  <si>
    <t>Leonida Euphrasia Demonie</t>
  </si>
  <si>
    <t>http://www.wikidata.org/entity/Q119794988</t>
  </si>
  <si>
    <t>Louis Beyaert-Defoort</t>
  </si>
  <si>
    <t>http://www.wikidata.org/entity/Q1413170</t>
  </si>
  <si>
    <t>boekbinder</t>
  </si>
  <si>
    <t>http://www.wikidata.org/entity/Q125490771</t>
  </si>
  <si>
    <t>Alexandre Marie Ghislain Gillès de Pélichy</t>
  </si>
  <si>
    <t>http://www.wikidata.org/entity/Q122884053</t>
  </si>
  <si>
    <t>Bernard Joseph Weale</t>
  </si>
  <si>
    <t>http://www.wikidata.org/entity/Q119013873</t>
  </si>
  <si>
    <t>Achiel Van de Putte</t>
  </si>
  <si>
    <t>http://www.wikidata.org/entity/Q117229438</t>
  </si>
  <si>
    <t>Elodie De Beer</t>
  </si>
  <si>
    <t>http://www.wikidata.org/entity/Q120900509</t>
  </si>
  <si>
    <t>Emile Florimond Herman Van Biervliet</t>
  </si>
  <si>
    <t>http://www.wikidata.org/entity/Q123414143</t>
  </si>
  <si>
    <t>Eugenie Marie Delbaere</t>
  </si>
  <si>
    <t>http://www.wikidata.org/entity/Q42855995</t>
  </si>
  <si>
    <t>fabrikant</t>
  </si>
  <si>
    <t>http://www.wikidata.org/entity/Q125541827</t>
  </si>
  <si>
    <t>Heinrich Hubert Schmitz</t>
  </si>
  <si>
    <t>http://www.wikidata.org/entity/Q121002664</t>
  </si>
  <si>
    <t>Joseph Karel Lodewijk Van Impe</t>
  </si>
  <si>
    <t>http://www.wikidata.org/entity/Q125544971</t>
  </si>
  <si>
    <t>Vitalis Jerome Joannes Trogh</t>
  </si>
  <si>
    <t>http://www.wikidata.org/entity/Q123050722</t>
  </si>
  <si>
    <t>Mathilde Sophie Theresia Renodeyn</t>
  </si>
  <si>
    <t>http://www.wikidata.org/entity/Q120729190</t>
  </si>
  <si>
    <t>Camiel-Hector Marichal</t>
  </si>
  <si>
    <t>http://www.wikidata.org/entity/Q122842009</t>
  </si>
  <si>
    <t>Grace Sherrington</t>
  </si>
  <si>
    <t>http://www.wikidata.org/entity/Q2675537</t>
  </si>
  <si>
    <t>muziekleraar</t>
  </si>
  <si>
    <t>http://www.wikidata.org/entity/Q122831276</t>
  </si>
  <si>
    <t>Amélie Frère</t>
  </si>
  <si>
    <t>http://www.wikidata.org/entity/Q118555164</t>
  </si>
  <si>
    <t>Leo Lodewijk Hubert Simons</t>
  </si>
  <si>
    <t>http://www.wikidata.org/entity/Q119041487</t>
  </si>
  <si>
    <t>Joseph Louis Van Heede</t>
  </si>
  <si>
    <t>http://www.wikidata.org/entity/Q1279568</t>
  </si>
  <si>
    <t>behanger</t>
  </si>
  <si>
    <t>http://www.wikidata.org/entity/Q120920568</t>
  </si>
  <si>
    <t>Victor Van De Kerckhove</t>
  </si>
  <si>
    <t>http://www.wikidata.org/entity/Q116672748</t>
  </si>
  <si>
    <t>Marie Elise Amandine Lateur</t>
  </si>
  <si>
    <t>http://commons.wikimedia.org/wiki/Special:FilePath/Foto%20Caesar%20Gezelle%2C%20Philomena%20De%20Smet%20en%20Elisa%20Lateur.jpg</t>
  </si>
  <si>
    <t>http://www.wikidata.org/entity/Q115982426</t>
  </si>
  <si>
    <t>Honoratus Van Wezemael</t>
  </si>
  <si>
    <t>http://www.wikidata.org/entity/Q123422368</t>
  </si>
  <si>
    <t>Catherine O'Farrell</t>
  </si>
  <si>
    <t>http://www.wikidata.org/entity/Q122964092</t>
  </si>
  <si>
    <t>Franciscus Augustus Van Wtberghe</t>
  </si>
  <si>
    <t>http://www.wikidata.org/entity/Q1639239</t>
  </si>
  <si>
    <t>hoedenmaker</t>
  </si>
  <si>
    <t>http://www.wikidata.org/entity/Q119729450</t>
  </si>
  <si>
    <t>Alfons Algoet</t>
  </si>
  <si>
    <t>http://www.wikidata.org/entity/Q215536</t>
  </si>
  <si>
    <t>koopman</t>
  </si>
  <si>
    <t>http://www.wikidata.org/entity/Q115840173</t>
  </si>
  <si>
    <t>Hendrik Van Witberghe</t>
  </si>
  <si>
    <t>http://www.wikidata.org/entity/Q2664461</t>
  </si>
  <si>
    <t>conciërge</t>
  </si>
  <si>
    <t>http://www.wikidata.org/entity/Q116509131</t>
  </si>
  <si>
    <t>Marie-Sophie Deschryver</t>
  </si>
  <si>
    <t>http://www.wikidata.org/entity/Q116621699</t>
  </si>
  <si>
    <t>Maria Magdalena Gezelle</t>
  </si>
  <si>
    <t>http://commons.wikimedia.org/wiki/Special:FilePath/Foto%20Philomena%20De%20Smet%2C%20Maria%20Gezelle%20en%20Hortense%20Gezelle%20%28cropped%29.jpg</t>
  </si>
  <si>
    <t>http://www.wikidata.org/entity/Q115844668</t>
  </si>
  <si>
    <t>Leonardus Vandemaele</t>
  </si>
  <si>
    <t>http://www.wikidata.org/entity/Q125353522</t>
  </si>
  <si>
    <t>Julie Romanie Verbauwhede</t>
  </si>
  <si>
    <t>http://www.wikidata.org/entity/Q119621396</t>
  </si>
  <si>
    <t>Alfons Steinmetz</t>
  </si>
  <si>
    <t>http://www.wikidata.org/entity/Q2903406</t>
  </si>
  <si>
    <t>burgerlijk ingenieur</t>
  </si>
  <si>
    <t>http://www.wikidata.org/entity/Q119011751</t>
  </si>
  <si>
    <t>Jan van Damme</t>
  </si>
  <si>
    <t>http://www.wikidata.org/entity/Q336221</t>
  </si>
  <si>
    <t>juwelier</t>
  </si>
  <si>
    <t>http://www.wikidata.org/entity/Q125359350</t>
  </si>
  <si>
    <t>Julie Lievrouw</t>
  </si>
  <si>
    <t>http://www.wikidata.org/entity/Q119797432</t>
  </si>
  <si>
    <t>Julianus Maria Isidorus Blancke</t>
  </si>
  <si>
    <t>http://www.wikidata.org/entity/Q122775600</t>
  </si>
  <si>
    <t>Caroline Harriet Locke</t>
  </si>
  <si>
    <t>http://www.wikidata.org/entity/Q119699762</t>
  </si>
  <si>
    <t>René Frans Adriaens</t>
  </si>
  <si>
    <t>http://www.wikidata.org/entity/Q119013626</t>
  </si>
  <si>
    <t>Joseph Van Damme</t>
  </si>
  <si>
    <t>http://www.wikidata.org/entity/Q81710</t>
  </si>
  <si>
    <t>schaapherder</t>
  </si>
  <si>
    <t>http://www.wikidata.org/entity/Q92204276</t>
  </si>
  <si>
    <t>magazijnmedewerker</t>
  </si>
  <si>
    <t>http://www.wikidata.org/entity/Q119003821</t>
  </si>
  <si>
    <t>Louis Judocus Rooms</t>
  </si>
  <si>
    <t>http://www.wikidata.org/entity/Q80687</t>
  </si>
  <si>
    <t>http://www.wikidata.org/entity/Q115979130</t>
  </si>
  <si>
    <t>Augustinus De Geetere</t>
  </si>
  <si>
    <t>http://www.wikidata.org/entity/Q115979996</t>
  </si>
  <si>
    <t>Karel De Backer</t>
  </si>
  <si>
    <t>http://www.wikidata.org/entity/Q115839088</t>
  </si>
  <si>
    <t>August Laporta</t>
  </si>
  <si>
    <t>http://www.wikidata.org/entity/Q120639934</t>
  </si>
  <si>
    <t>August Delbaere</t>
  </si>
  <si>
    <t>http://www.wikidata.org/entity/Q116620896</t>
  </si>
  <si>
    <t>Zulma De Bo</t>
  </si>
  <si>
    <t>http://www.wikidata.org/entity/Q116688354</t>
  </si>
  <si>
    <t>Margareta Laura Augusta Lassence</t>
  </si>
  <si>
    <t>http://www.wikidata.org/entity/Q117227189</t>
  </si>
  <si>
    <t>Léonie Pauline Marie Bersou</t>
  </si>
  <si>
    <t>http://www.wikidata.org/entity/Q119627464</t>
  </si>
  <si>
    <t>Louis Lorthioir</t>
  </si>
  <si>
    <t>http://www.wikidata.org/entity/Q120491424</t>
  </si>
  <si>
    <t>John Crawley</t>
  </si>
  <si>
    <t>http://www.wikidata.org/entity/Q120855780</t>
  </si>
  <si>
    <t>Lucy Weguelin</t>
  </si>
  <si>
    <t>http://www.wikidata.org/entity/Q11029222</t>
  </si>
  <si>
    <t>Hendrik Pickery</t>
  </si>
  <si>
    <t>http://commons.wikimedia.org/wiki/Special:FilePath/Hendrik%20Pickery%20gedenkteken%20R03.jpg</t>
  </si>
  <si>
    <t>http://www.wikidata.org/entity/Q2215154</t>
  </si>
  <si>
    <t>August Cuppens</t>
  </si>
  <si>
    <t>http://www.wikidata.org/entity/Q7190386</t>
  </si>
  <si>
    <t>Jean Joseph Loiseaux</t>
  </si>
  <si>
    <t>http://www.wikidata.org/entity/Q5580544</t>
  </si>
  <si>
    <t>Adrianus Bogaers</t>
  </si>
  <si>
    <t>http://commons.wikimedia.org/wiki/Special:FilePath/Adrianus%20Bogaers.jpg</t>
  </si>
  <si>
    <t>http://www.wikidata.org/entity/Q16533</t>
  </si>
  <si>
    <t>rechter</t>
  </si>
  <si>
    <t>http://www.wikidata.org/entity/Q43129301</t>
  </si>
  <si>
    <t>Jacobus Augustinus de Rijk</t>
  </si>
  <si>
    <t>http://www.wikidata.org/entity/Q483501</t>
  </si>
  <si>
    <t>kunstenaar</t>
  </si>
  <si>
    <t>http://www.wikidata.org/entity/Q29019503</t>
  </si>
  <si>
    <t>Willem De Vreese</t>
  </si>
  <si>
    <t>http://commons.wikimedia.org/wiki/Special:FilePath/WillemDeVreese.jpg</t>
  </si>
  <si>
    <t>http://www.wikidata.org/entity/Q1896762</t>
  </si>
  <si>
    <t>Paul Kiroul</t>
  </si>
  <si>
    <t>http://www.wikidata.org/entity/Q2266893</t>
  </si>
  <si>
    <t>Jan Ferguut</t>
  </si>
  <si>
    <t>http://www.wikidata.org/entity/Q2770967</t>
  </si>
  <si>
    <t>Felix Achille de Bethune</t>
  </si>
  <si>
    <t>http://www.wikidata.org/entity/Q322106</t>
  </si>
  <si>
    <t>Walter William Skeat</t>
  </si>
  <si>
    <t>http://commons.wikimedia.org/wiki/Special:FilePath/Portrait%20of%20Walter%20William%20Skeat.jpg</t>
  </si>
  <si>
    <t>http://www.wikidata.org/entity/Q43140929</t>
  </si>
  <si>
    <t>Adolf Pauwels</t>
  </si>
  <si>
    <t>http://www.wikidata.org/entity/Q2539969</t>
  </si>
  <si>
    <t>Alfons Siffer</t>
  </si>
  <si>
    <t>http://commons.wikimedia.org/wiki/Special:FilePath/Alfons%20Siffer%201850-1941.jpg</t>
  </si>
  <si>
    <t>http://www.wikidata.org/entity/Q721772</t>
  </si>
  <si>
    <t>Jules Vandenpeereboom</t>
  </si>
  <si>
    <t>http://commons.wikimedia.org/wiki/Special:FilePath/Jules%20van%20den%20Peereboom.jpg</t>
  </si>
  <si>
    <t>http://www.wikidata.org/entity/Q55420570</t>
  </si>
  <si>
    <t>Julius Leroy</t>
  </si>
  <si>
    <t>http://www.wikidata.org/entity/Q3080591</t>
  </si>
  <si>
    <t>Ernest Marie Joseph Martin Michel van Caloen</t>
  </si>
  <si>
    <t>http://www.wikidata.org/entity/Q16312408</t>
  </si>
  <si>
    <t>etymoloog</t>
  </si>
  <si>
    <t>http://www.wikidata.org/entity/Q2154331</t>
  </si>
  <si>
    <t>Caesar Gezelle</t>
  </si>
  <si>
    <t>http://www.wikidata.org/entity/Q13576607</t>
  </si>
  <si>
    <t>Emiel Demonie</t>
  </si>
  <si>
    <t>http://www.wikidata.org/entity/Q115706151</t>
  </si>
  <si>
    <t>godsdienstleraar</t>
  </si>
  <si>
    <t>http://www.wikidata.org/entity/Q2490990</t>
  </si>
  <si>
    <t>Auguste Reynaert</t>
  </si>
  <si>
    <t>http://commons.wikimedia.org/wiki/Special:FilePath/Kortrijk%20Astridpark-11.JPG</t>
  </si>
  <si>
    <t>http://www.wikidata.org/entity/Q13429634</t>
  </si>
  <si>
    <t>Angelus August Eugeen Angillis</t>
  </si>
  <si>
    <t>http://www.wikidata.org/entity/Q2332586</t>
  </si>
  <si>
    <t>Alexis De Carne</t>
  </si>
  <si>
    <t>http://www.wikidata.org/entity/Q970833</t>
  </si>
  <si>
    <t>Karel Frans Stallaert</t>
  </si>
  <si>
    <t>http://commons.wikimedia.org/wiki/Special:FilePath/KarelFransStallaert.jpg</t>
  </si>
  <si>
    <t>http://www.wikidata.org/entity/Q2627945</t>
  </si>
  <si>
    <t>Isidoor Teirlinck</t>
  </si>
  <si>
    <t>http://www.wikidata.org/entity/Q2374149</t>
  </si>
  <si>
    <t>botanicus</t>
  </si>
  <si>
    <t>http://www.wikidata.org/entity/Q2546317</t>
  </si>
  <si>
    <t>Eugeen van Oye</t>
  </si>
  <si>
    <t>http://commons.wikimedia.org/wiki/Special:FilePath/Eugeen%20van%20Oye%20-%20Statue%20in%20Gistel.jpg</t>
  </si>
  <si>
    <t>http://www.wikidata.org/entity/Q2183646</t>
  </si>
  <si>
    <t>Emiel Lauwers</t>
  </si>
  <si>
    <t>http://commons.wikimedia.org/wiki/Special:FilePath/Emiel%20Lauwers%20-%20Kortrijk%20-%20Belgi%C3%AB.jpg</t>
  </si>
  <si>
    <t>http://www.wikidata.org/entity/Q822146</t>
  </si>
  <si>
    <t>liedtekstschrijver</t>
  </si>
  <si>
    <t>http://www.wikidata.org/entity/Q6051619</t>
  </si>
  <si>
    <t>publicist</t>
  </si>
  <si>
    <t>http://www.wikidata.org/entity/Q774306</t>
  </si>
  <si>
    <t>chirurg</t>
  </si>
  <si>
    <t>http://www.wikidata.org/entity/Q3043179</t>
  </si>
  <si>
    <t>definitor</t>
  </si>
  <si>
    <t>http://www.wikidata.org/entity/Q20604626</t>
  </si>
  <si>
    <t>J.H.J. van Wageningen thoe Dekema</t>
  </si>
  <si>
    <t>http://www.wikidata.org/entity/Q131512</t>
  </si>
  <si>
    <t>agrariër</t>
  </si>
  <si>
    <t>http://commons.wikimedia.org/wiki/Special:FilePath/Jan%20van%20Wageningen%20thoe%20Dekema.jpg</t>
  </si>
  <si>
    <t>http://www.wikidata.org/entity/Q2306925</t>
  </si>
  <si>
    <t>Joseph-Olivier Andries</t>
  </si>
  <si>
    <t>http://commons.wikimedia.org/wiki/Special:FilePath/J%20O%20Andries%201836.jpg</t>
  </si>
  <si>
    <t>http://www.wikidata.org/entity/Q1950196</t>
  </si>
  <si>
    <t>Karel Callebert</t>
  </si>
  <si>
    <t>http://www.wikidata.org/entity/Q3346571</t>
  </si>
  <si>
    <t>Henri Nolf</t>
  </si>
  <si>
    <t>http://www.wikidata.org/entity/Q2779054</t>
  </si>
  <si>
    <t>Leonard Lodewijk De Bo</t>
  </si>
  <si>
    <t>http://commons.wikimedia.org/wiki/Special:FilePath/Leonard%20Lodewijk%20De%20Bo.jpg</t>
  </si>
  <si>
    <t>http://www.wikidata.org/entity/Q2617184</t>
  </si>
  <si>
    <t>Karel De Flou</t>
  </si>
  <si>
    <t>http://www.wikidata.org/entity/Q41885755</t>
  </si>
  <si>
    <t>Karel Heynderickx</t>
  </si>
  <si>
    <t>http://www.wikidata.org/entity/Q55911879</t>
  </si>
  <si>
    <t>Désiré Claes</t>
  </si>
  <si>
    <t>http://www.wikidata.org/entity/Q18655152</t>
  </si>
  <si>
    <t>Napoleon de Pauw</t>
  </si>
  <si>
    <t>http://commons.wikimedia.org/wiki/Special:FilePath/NapoleonDePauw.jpg</t>
  </si>
  <si>
    <t>http://www.wikidata.org/entity/Q2638823</t>
  </si>
  <si>
    <t>Alfons Janssens</t>
  </si>
  <si>
    <t>http://commons.wikimedia.org/wiki/Special:FilePath/Alfons%20Janssens.jpg</t>
  </si>
  <si>
    <t>http://www.wikidata.org/entity/Q15982596</t>
  </si>
  <si>
    <t>Pieter Jan Gezelle</t>
  </si>
  <si>
    <t>http://www.wikidata.org/entity/Q758780</t>
  </si>
  <si>
    <t>hovenier</t>
  </si>
  <si>
    <t>http://www.wikidata.org/entity/Q2481707</t>
  </si>
  <si>
    <t>Amand de Vos</t>
  </si>
  <si>
    <t>http://commons.wikimedia.org/wiki/Special:FilePath/Wazenaar%20Amand%20de%20Vos.jpg</t>
  </si>
  <si>
    <t>http://www.wikidata.org/entity/Q4423628</t>
  </si>
  <si>
    <t>Remi Ghesquiere</t>
  </si>
  <si>
    <t>http://www.wikidata.org/entity/Q765778</t>
  </si>
  <si>
    <t>organist</t>
  </si>
  <si>
    <t>http://www.wikidata.org/entity/Q110039252</t>
  </si>
  <si>
    <t>Henri Delbar</t>
  </si>
  <si>
    <t>http://www.wikidata.org/entity/Q3164253</t>
  </si>
  <si>
    <t>Jean-Baptiste Malou</t>
  </si>
  <si>
    <t>http://commons.wikimedia.org/wiki/Special:FilePath/Joannes%20Baptista%20Malou%20-%20Bishop%20of%20Bruges.jpg</t>
  </si>
  <si>
    <t>http://www.wikidata.org/entity/Q7343011</t>
  </si>
  <si>
    <t>Robert Coffin</t>
  </si>
  <si>
    <t>http://www.wikidata.org/entity/Q811620</t>
  </si>
  <si>
    <t>boomkweker</t>
  </si>
  <si>
    <t>http://www.wikidata.org/entity/Q1286149</t>
  </si>
  <si>
    <t>Frederick William Faber</t>
  </si>
  <si>
    <t>http://www.wikidata.org/entity/Q13424456</t>
  </si>
  <si>
    <t>hymne-schrijver</t>
  </si>
  <si>
    <t>http://commons.wikimedia.org/wiki/Special:FilePath/Frederick%20William%20Faber.jpg</t>
  </si>
  <si>
    <t>http://www.wikidata.org/entity/Q7790140</t>
  </si>
  <si>
    <t>Thomas Grant</t>
  </si>
  <si>
    <t>http://www.wikidata.org/entity/Q2675588</t>
  </si>
  <si>
    <t>Alfons Mervillie</t>
  </si>
  <si>
    <t>http://www.wikidata.org/entity/Q1707941</t>
  </si>
  <si>
    <t>Joseph Ryelandt</t>
  </si>
  <si>
    <t>http://commons.wikimedia.org/wiki/Special:FilePath/Joseph%20Ryelandt.jpg</t>
  </si>
  <si>
    <t>http://www.wikidata.org/entity/Q16145150</t>
  </si>
  <si>
    <t>muziekpedagoog</t>
  </si>
  <si>
    <t>http://www.wikidata.org/entity/Q55770641</t>
  </si>
  <si>
    <t>Jozef Gezelle</t>
  </si>
  <si>
    <t>http://www.wikidata.org/entity/Q64747274</t>
  </si>
  <si>
    <t>bloemenkweker</t>
  </si>
  <si>
    <t>http://www.wikidata.org/entity/Q784390</t>
  </si>
  <si>
    <t>Paul Alberdingk Thijm</t>
  </si>
  <si>
    <t>http://commons.wikimedia.org/wiki/Special:FilePath/Portret%20van%20Paul%20Alberdingk%20Thijm.jpg</t>
  </si>
  <si>
    <t>http://www.wikidata.org/entity/Q2491266</t>
  </si>
  <si>
    <t>Johan Winkler</t>
  </si>
  <si>
    <t>http://commons.wikimedia.org/wiki/Special:FilePath/Johan%20Winkler.jpg</t>
  </si>
  <si>
    <t>http://www.wikidata.org/entity/Q1851297</t>
  </si>
  <si>
    <t>Léon van Ockerhout</t>
  </si>
  <si>
    <t>http://www.wikidata.org/entity/Q822307</t>
  </si>
  <si>
    <t>Bernard Bernard</t>
  </si>
  <si>
    <t>http://commons.wikimedia.org/wiki/Special:FilePath/%28Baumg1889%29%20Bernard%20Bernard%20%28Kathol.%20Missionar%20auf%20Island%29.jpg</t>
  </si>
  <si>
    <t>http://www.wikidata.org/entity/Q1371378</t>
  </si>
  <si>
    <t>etnoloog</t>
  </si>
  <si>
    <t>http://www.wikidata.org/entity/Q108800792</t>
  </si>
  <si>
    <t>apostolic prefect</t>
  </si>
  <si>
    <t>http://www.wikidata.org/entity/Q1149378</t>
  </si>
  <si>
    <t>Charlotte Fitzalan-Howard, Duchess of Norfolk</t>
  </si>
  <si>
    <t>http://commons.wikimedia.org/wiki/Special:FilePath/Charlotte%20Sophia%2C%20Countess%20of%20Surrey%20%281788-1870%29%2C%20by%20studio%20of%20Sir%20Thomas%20Lawrence.jpg</t>
  </si>
  <si>
    <t>http://www.wikidata.org/entity/Q115852702</t>
  </si>
  <si>
    <t>Mathilde Germonprez</t>
  </si>
  <si>
    <t>http://www.wikidata.org/entity/Q115806479</t>
  </si>
  <si>
    <t>Jules Joye</t>
  </si>
  <si>
    <t>http://www.wikidata.org/entity/Q115811038</t>
  </si>
  <si>
    <t>Emile Dambre</t>
  </si>
  <si>
    <t>http://www.wikidata.org/entity/Q115811334</t>
  </si>
  <si>
    <t>Joseph Samyn</t>
  </si>
  <si>
    <t>http://www.wikidata.org/entity/Q115815697</t>
  </si>
  <si>
    <t>Aloysius De Visschere</t>
  </si>
  <si>
    <t>http://www.wikidata.org/entity/Q115818849</t>
  </si>
  <si>
    <t>Isidoor Hemeryck</t>
  </si>
  <si>
    <t>http://www.wikidata.org/entity/Q115821481</t>
  </si>
  <si>
    <t>Laurentius Dehulster</t>
  </si>
  <si>
    <t>http://www.wikidata.org/entity/Q110039170</t>
  </si>
  <si>
    <t>Leonardus Nuttin</t>
  </si>
  <si>
    <t>http://www.wikidata.org/entity/Q115822210</t>
  </si>
  <si>
    <t>Raymond Muyldermans</t>
  </si>
  <si>
    <t>http://www.wikidata.org/entity/Q100534520</t>
  </si>
  <si>
    <t>Adolf Verriest</t>
  </si>
  <si>
    <t>http://commons.wikimedia.org/wiki/Special:FilePath/Adolf%20Karel%20vader%20Petrus%20moeder%20Carolina%20Verriest%20in%201861.jpg</t>
  </si>
  <si>
    <t>http://www.wikidata.org/entity/Q115826199</t>
  </si>
  <si>
    <t>Modest Delplace</t>
  </si>
  <si>
    <t>http://www.wikidata.org/entity/Q115825992</t>
  </si>
  <si>
    <t>Emile Tillieux</t>
  </si>
  <si>
    <t>http://www.wikidata.org/entity/Q87648661</t>
  </si>
  <si>
    <t>Hendrik Brinck</t>
  </si>
  <si>
    <t>http://www.wikidata.org/entity/Q115831039</t>
  </si>
  <si>
    <t>Amandus Devloo</t>
  </si>
  <si>
    <t>http://www.wikidata.org/entity/Q115838249</t>
  </si>
  <si>
    <t>Gustaf Vandendries</t>
  </si>
  <si>
    <t>http://www.wikidata.org/entity/Q115839965</t>
  </si>
  <si>
    <t>Hendrik Vandendriessche</t>
  </si>
  <si>
    <t>http://www.wikidata.org/entity/Q75320316</t>
  </si>
  <si>
    <t>Mary Constantia Clifford</t>
  </si>
  <si>
    <t>http://commons.wikimedia.org/wiki/Special:FilePath/Foto%20Mary%20Clifford.jpg</t>
  </si>
  <si>
    <t>http://www.wikidata.org/entity/Q115834690</t>
  </si>
  <si>
    <t>Aimé Lagae</t>
  </si>
  <si>
    <t>http://www.wikidata.org/entity/Q2141193</t>
  </si>
  <si>
    <t>opvoeder</t>
  </si>
  <si>
    <t>http://www.wikidata.org/entity/Q2113250</t>
  </si>
  <si>
    <t>vicerector</t>
  </si>
  <si>
    <t>http://www.wikidata.org/entity/Q115839320</t>
  </si>
  <si>
    <t>Edouardus Vyncke</t>
  </si>
  <si>
    <t>http://www.wikidata.org/entity/Q115839975</t>
  </si>
  <si>
    <t>Joannes Vandenweghe</t>
  </si>
  <si>
    <t>http://www.wikidata.org/entity/Q4991371</t>
  </si>
  <si>
    <t>soldaat</t>
  </si>
  <si>
    <t>http://www.wikidata.org/entity/Q352388</t>
  </si>
  <si>
    <t>grondvoertuigbestuurder</t>
  </si>
  <si>
    <t>http://www.wikidata.org/entity/Q113466955</t>
  </si>
  <si>
    <t>Cordelia Van de Wiele</t>
  </si>
  <si>
    <t>http://commons.wikimedia.org/wiki/Special:FilePath/Cordelia%20Van%20de%20Wiele%20-%20secretaresse%20Guido%20Gezelle.jpg</t>
  </si>
  <si>
    <t>http://www.wikidata.org/entity/Q115844439</t>
  </si>
  <si>
    <t>Gustaaf Carton</t>
  </si>
  <si>
    <t>http://www.wikidata.org/entity/Q75279907</t>
  </si>
  <si>
    <t>Mary Isabel Lucy Dormer</t>
  </si>
  <si>
    <t>http://www.wikidata.org/entity/Q115308515</t>
  </si>
  <si>
    <t>Bruno Vander Stichele</t>
  </si>
  <si>
    <t>http://www.wikidata.org/entity/Q56036023</t>
  </si>
  <si>
    <t>Eugène Cortyl</t>
  </si>
  <si>
    <t>http://www.wikidata.org/entity/Q115844249</t>
  </si>
  <si>
    <t>Rosalia Verstraete</t>
  </si>
  <si>
    <t>http://www.wikidata.org/entity/Q918824</t>
  </si>
  <si>
    <t>militair geestelijk verzorger</t>
  </si>
  <si>
    <t>http://www.wikidata.org/entity/Q115818718</t>
  </si>
  <si>
    <t>Theophiel Goethals</t>
  </si>
  <si>
    <t>http://www.wikidata.org/entity/Q115855636</t>
  </si>
  <si>
    <t>Febronie Lemettre</t>
  </si>
  <si>
    <t>http://www.wikidata.org/entity/Q830337</t>
  </si>
  <si>
    <t>prior</t>
  </si>
  <si>
    <t>http://www.wikidata.org/entity/Q115979048</t>
  </si>
  <si>
    <t>Petrus Baelden</t>
  </si>
  <si>
    <t>http://www.wikidata.org/entity/Q113486838</t>
  </si>
  <si>
    <t>Emilie van Outryve d'Ydewalle</t>
  </si>
  <si>
    <t>http://www.wikidata.org/entity/Q115811922</t>
  </si>
  <si>
    <t>Franciscus Benoot</t>
  </si>
  <si>
    <t>http://www.wikidata.org/entity/Q115808465</t>
  </si>
  <si>
    <t>Emile Vandale</t>
  </si>
  <si>
    <t>http://www.wikidata.org/entity/Q115817390</t>
  </si>
  <si>
    <t>Victor Lanssen</t>
  </si>
  <si>
    <t>http://www.wikidata.org/entity/Q115815004</t>
  </si>
  <si>
    <t>Hendrik Mortier</t>
  </si>
  <si>
    <t>http://www.wikidata.org/entity/Q115818151</t>
  </si>
  <si>
    <t>Victor Beheyt</t>
  </si>
  <si>
    <t>http://www.wikidata.org/entity/Q115817263</t>
  </si>
  <si>
    <t>René van Honsebrouck</t>
  </si>
  <si>
    <t>http://www.wikidata.org/entity/Q115820636</t>
  </si>
  <si>
    <t>Edmond Neut</t>
  </si>
  <si>
    <t>http://www.wikidata.org/entity/Q115821474</t>
  </si>
  <si>
    <t>Juliaan Fové</t>
  </si>
  <si>
    <t>http://www.wikidata.org/entity/Q115829623</t>
  </si>
  <si>
    <t>Bruno De Splenter</t>
  </si>
  <si>
    <t>http://www.wikidata.org/entity/Q115825488</t>
  </si>
  <si>
    <t>Augustin Frutsaert</t>
  </si>
  <si>
    <t>http://www.wikidata.org/entity/Q115840228</t>
  </si>
  <si>
    <t>Hendrik Prévost</t>
  </si>
  <si>
    <t>http://www.wikidata.org/entity/Q115839353</t>
  </si>
  <si>
    <t>Eduard Verraes</t>
  </si>
  <si>
    <t>http://www.wikidata.org/entity/Q115837633</t>
  </si>
  <si>
    <t>Louis Vanheule</t>
  </si>
  <si>
    <t>http://www.wikidata.org/entity/Q115832532</t>
  </si>
  <si>
    <t>Jules Perquy</t>
  </si>
  <si>
    <t>http://www.wikidata.org/entity/Q115835763</t>
  </si>
  <si>
    <t>Gustaaf Van de Putte</t>
  </si>
  <si>
    <t>http://www.wikidata.org/entity/Q462390</t>
  </si>
  <si>
    <t>docent</t>
  </si>
  <si>
    <t>http://www.wikidata.org/entity/Q115819047</t>
  </si>
  <si>
    <t>Constant Van Coillie</t>
  </si>
  <si>
    <t>http://www.wikidata.org/entity/Q115836962</t>
  </si>
  <si>
    <t>Edmond Soenen</t>
  </si>
  <si>
    <t>http://www.wikidata.org/entity/Q115837593</t>
  </si>
  <si>
    <t>Constantin Thoma</t>
  </si>
  <si>
    <t>http://www.wikidata.org/entity/Q115839380</t>
  </si>
  <si>
    <t>Carolus Surmont</t>
  </si>
  <si>
    <t>http://www.wikidata.org/entity/Q115841074</t>
  </si>
  <si>
    <t>Julius Bouten</t>
  </si>
  <si>
    <t>http://www.wikidata.org/entity/Q115840920</t>
  </si>
  <si>
    <t>Augustus Declerc</t>
  </si>
  <si>
    <t>http://www.wikidata.org/entity/Q23835475</t>
  </si>
  <si>
    <t>assistent</t>
  </si>
  <si>
    <t>http://www.wikidata.org/entity/Q113675636</t>
  </si>
  <si>
    <t>Robrecht Willaert</t>
  </si>
  <si>
    <t>http://www.wikidata.org/entity/Q115834833</t>
  </si>
  <si>
    <t>Arthur Maria Gustavus Florimond Plettinck</t>
  </si>
  <si>
    <t>http://www.wikidata.org/entity/Q115980136</t>
  </si>
  <si>
    <t>Joannes Catulle</t>
  </si>
  <si>
    <t>http://www.wikidata.org/entity/Q122831483</t>
  </si>
  <si>
    <t>Emilie Marie Justine Demonie</t>
  </si>
  <si>
    <t>http://www.wikidata.org/entity/Q122903342</t>
  </si>
  <si>
    <t>Edith-Cathare Smith</t>
  </si>
  <si>
    <t>http://www.wikidata.org/entity/Q123052123</t>
  </si>
  <si>
    <t>Eugénie Barbe Peel</t>
  </si>
  <si>
    <t>http://www.wikidata.org/entity/Q123606015</t>
  </si>
  <si>
    <t>Marie Julie Eugénie Goddyn</t>
  </si>
  <si>
    <t>http://www.wikidata.org/entity/Q125282135</t>
  </si>
  <si>
    <t>Ernest Edouard Marie Eeman</t>
  </si>
  <si>
    <t>http://www.wikidata.org/entity/Q125341815</t>
  </si>
  <si>
    <t>Juliana Decloedt</t>
  </si>
  <si>
    <t>http://www.wikidata.org/entity/Q125334130</t>
  </si>
  <si>
    <t>Marie Sophie Devys</t>
  </si>
  <si>
    <t>http://www.wikidata.org/entity/Q122794969</t>
  </si>
  <si>
    <t>Marie Stéphanie Vantomme</t>
  </si>
  <si>
    <t>http://www.wikidata.org/entity/Q120718341</t>
  </si>
  <si>
    <t>Edmond Amand Constant Lecompte</t>
  </si>
  <si>
    <t>http://www.wikidata.org/entity/Q120555811</t>
  </si>
  <si>
    <t>Charles-Jean De Mulié</t>
  </si>
  <si>
    <t>http://www.wikidata.org/entity/Q120913841</t>
  </si>
  <si>
    <t>François Auguste Van Costenoble</t>
  </si>
  <si>
    <t>http://www.wikidata.org/entity/Q119040354</t>
  </si>
  <si>
    <t>Charles Joseph Vercauteren</t>
  </si>
  <si>
    <t>http://www.wikidata.org/entity/Q123050649</t>
  </si>
  <si>
    <t>Ann Jordan</t>
  </si>
  <si>
    <t>http://www.wikidata.org/entity/Q122830932</t>
  </si>
  <si>
    <t>Catherine Hart</t>
  </si>
  <si>
    <t>http://www.wikidata.org/entity/Q120793054</t>
  </si>
  <si>
    <t>Cuthbert Robinson</t>
  </si>
  <si>
    <t>http://www.wikidata.org/entity/Q120640333</t>
  </si>
  <si>
    <t>Charles Denys</t>
  </si>
  <si>
    <t>http://www.wikidata.org/entity/Q123416923</t>
  </si>
  <si>
    <t>Katarina Vanhoenacker</t>
  </si>
  <si>
    <t>http://www.wikidata.org/entity/Q12713481</t>
  </si>
  <si>
    <t>arbeider</t>
  </si>
  <si>
    <t>http://www.wikidata.org/entity/Q118732528</t>
  </si>
  <si>
    <t>Pierre Laigneil</t>
  </si>
  <si>
    <t>http://www.wikidata.org/entity/Q116508893</t>
  </si>
  <si>
    <t>Justine Van De Velde</t>
  </si>
  <si>
    <t>http://commons.wikimedia.org/wiki/Special:FilePath/Bidprentje%20Justine%20Van%20de%20Velde.jpg</t>
  </si>
  <si>
    <t>http://www.wikidata.org/entity/Q118175361</t>
  </si>
  <si>
    <t>Marcel Van Dromme</t>
  </si>
  <si>
    <t>http://www.wikidata.org/entity/Q122971839</t>
  </si>
  <si>
    <t>Arthur Jean Botte</t>
  </si>
  <si>
    <t>http://www.wikidata.org/entity/Q1229025</t>
  </si>
  <si>
    <t>typograaf</t>
  </si>
  <si>
    <t>http://www.wikidata.org/entity/Q116621407</t>
  </si>
  <si>
    <t>Octavie Petyt</t>
  </si>
  <si>
    <t>http://www.wikidata.org/entity/Q120999304</t>
  </si>
  <si>
    <t>Augustijn Van Heuverswyn</t>
  </si>
  <si>
    <t>http://www.wikidata.org/entity/Q125351679</t>
  </si>
  <si>
    <t>Félix Pierre Victor Raikem</t>
  </si>
  <si>
    <t>http://www.wikidata.org/entity/Q120489194</t>
  </si>
  <si>
    <t>Julius Burrick</t>
  </si>
  <si>
    <t>http://www.wikidata.org/entity/Q120489274</t>
  </si>
  <si>
    <t>pastoraal directeur</t>
  </si>
  <si>
    <t>http://www.wikidata.org/entity/Q1056310</t>
  </si>
  <si>
    <t>subdiaken</t>
  </si>
  <si>
    <t>http://www.wikidata.org/entity/Q779280</t>
  </si>
  <si>
    <t>oblaat</t>
  </si>
  <si>
    <t>http://www.wikidata.org/entity/Q125365215</t>
  </si>
  <si>
    <t>Flora Maria Mastraeten</t>
  </si>
  <si>
    <t>http://www.wikidata.org/entity/Q125365561</t>
  </si>
  <si>
    <t>Sophie Marie Louise de Robiano</t>
  </si>
  <si>
    <t>http://www.wikidata.org/entity/Q23754015</t>
  </si>
  <si>
    <t>textielfabrikant</t>
  </si>
  <si>
    <t>http://www.wikidata.org/entity/Q125491053</t>
  </si>
  <si>
    <t>Jules Huysentruyt</t>
  </si>
  <si>
    <t>http://www.wikidata.org/entity/Q327321</t>
  </si>
  <si>
    <t>metselaar</t>
  </si>
  <si>
    <t>http://www.wikidata.org/entity/Q125257556</t>
  </si>
  <si>
    <t>Marie Bert</t>
  </si>
  <si>
    <t>http://www.wikidata.org/entity/Q117227040</t>
  </si>
  <si>
    <t>Emily Jane Martin</t>
  </si>
  <si>
    <t>http://www.wikidata.org/entity/Q123399443</t>
  </si>
  <si>
    <t>Carolina Theresia Lefebvre</t>
  </si>
  <si>
    <t>http://www.wikidata.org/entity/Q118120867</t>
  </si>
  <si>
    <t>Edmond De Plancke</t>
  </si>
  <si>
    <t>http://www.wikidata.org/entity/Q118120903</t>
  </si>
  <si>
    <t>Louis De Plancke</t>
  </si>
  <si>
    <t>http://www.wikidata.org/entity/Q120733873</t>
  </si>
  <si>
    <t>Johannes-Désiré Minnaert</t>
  </si>
  <si>
    <t>http://www.wikidata.org/entity/Q117246781</t>
  </si>
  <si>
    <t>Louise Sidonie Vervaet</t>
  </si>
  <si>
    <t>http://www.wikidata.org/entity/Q120493880</t>
  </si>
  <si>
    <t>Jan Frans De Block</t>
  </si>
  <si>
    <t>http://www.wikidata.org/entity/Q115980044</t>
  </si>
  <si>
    <t>Isidoor Verdoodt</t>
  </si>
  <si>
    <t>http://www.wikidata.org/entity/Q66095885</t>
  </si>
  <si>
    <t>textielhandelaar</t>
  </si>
  <si>
    <t>http://www.wikidata.org/entity/Q16513769</t>
  </si>
  <si>
    <t>herbergier</t>
  </si>
  <si>
    <t>http://www.wikidata.org/entity/Q2229927</t>
  </si>
  <si>
    <t>kleuterleider</t>
  </si>
  <si>
    <t>http://www.wikidata.org/entity/Q122798023</t>
  </si>
  <si>
    <t>Maria Ida Jacobina Daerden</t>
  </si>
  <si>
    <t>http://www.wikidata.org/entity/Q116621789</t>
  </si>
  <si>
    <t>Eugénie De Neve</t>
  </si>
  <si>
    <t>http://www.wikidata.org/entity/Q116659577</t>
  </si>
  <si>
    <t>Maria Josepha Gezelle</t>
  </si>
  <si>
    <t>http://www.wikidata.org/entity/Q117226377</t>
  </si>
  <si>
    <t>Emma Crombet</t>
  </si>
  <si>
    <t>http://www.wikidata.org/entity/Q119217748</t>
  </si>
  <si>
    <t>Edward Vlietinck</t>
  </si>
  <si>
    <t>http://www.wikidata.org/entity/Q119625198</t>
  </si>
  <si>
    <t>Hippoliet Verhulst</t>
  </si>
  <si>
    <t>http://www.wikidata.org/entity/Q117264774</t>
  </si>
  <si>
    <t>Hélène Janssens</t>
  </si>
  <si>
    <t>http://www.wikidata.org/entity/Q122842403</t>
  </si>
  <si>
    <t>Augusta Lewis Bampfield</t>
  </si>
  <si>
    <t>http://www.wikidata.org/entity/Q120651810</t>
  </si>
  <si>
    <t>René-François Flahault</t>
  </si>
  <si>
    <t>http://www.wikidata.org/entity/Q125535110</t>
  </si>
  <si>
    <t>August William McDonogh</t>
  </si>
  <si>
    <t>http://www.wikidata.org/entity/Q123717111</t>
  </si>
  <si>
    <t>Henri Dufour</t>
  </si>
  <si>
    <t>http://www.wikidata.org/entity/Q122884757</t>
  </si>
  <si>
    <t>Cyril James Weale</t>
  </si>
  <si>
    <t>http://www.wikidata.org/entity/Q129072389</t>
  </si>
  <si>
    <t>Marie Mélanie Jeanne Vanackere</t>
  </si>
  <si>
    <t>http://www.wikidata.org/entity/Q120442396</t>
  </si>
  <si>
    <t>Edouard François Huys</t>
  </si>
  <si>
    <t>http://www.wikidata.org/entity/Q120552708</t>
  </si>
  <si>
    <t>Jules De Meester</t>
  </si>
  <si>
    <t>http://www.wikidata.org/entity/Q118766019</t>
  </si>
  <si>
    <t>William Woodlock</t>
  </si>
  <si>
    <t>http://www.wikidata.org/entity/Q122818902</t>
  </si>
  <si>
    <t>Bertha Wachowsky</t>
  </si>
  <si>
    <t>http://www.wikidata.org/entity/Q1540278</t>
  </si>
  <si>
    <t>gouvernante</t>
  </si>
  <si>
    <t>http://www.wikidata.org/entity/Q120471627</t>
  </si>
  <si>
    <t>William Thompson</t>
  </si>
  <si>
    <t>http://www.wikidata.org/entity/Q119039938</t>
  </si>
  <si>
    <t>Francis Lawrence Weale</t>
  </si>
  <si>
    <t>http://www.wikidata.org/entity/Q117244211</t>
  </si>
  <si>
    <t>Dymphna Gezelle</t>
  </si>
  <si>
    <t>http://commons.wikimedia.org/wiki/Special:FilePath/Foto%20Dymphna%20Gezelle%20%282%29.jpg</t>
  </si>
  <si>
    <t>http://www.wikidata.org/entity/Q120727152</t>
  </si>
  <si>
    <t>Jan Hendrik Loosveldt</t>
  </si>
  <si>
    <t>http://www.wikidata.org/entity/Q116679969</t>
  </si>
  <si>
    <t>Emiel De Visschere</t>
  </si>
  <si>
    <t>http://www.wikidata.org/entity/Q15627169</t>
  </si>
  <si>
    <t>vakbondsbestuurder</t>
  </si>
  <si>
    <t>http://www.wikidata.org/entity/Q117246862</t>
  </si>
  <si>
    <t>Augusta Maria Mathildis Vyncke</t>
  </si>
  <si>
    <t>http://www.wikidata.org/entity/Q123741345</t>
  </si>
  <si>
    <t>Julius Pieter Lodewijk Vantomme</t>
  </si>
  <si>
    <t>http://www.wikidata.org/entity/Q125257906</t>
  </si>
  <si>
    <t>Pierre Joseph Deraedt</t>
  </si>
  <si>
    <t>http://www.wikidata.org/entity/Q76604670</t>
  </si>
  <si>
    <t>gemeenteontvanger</t>
  </si>
  <si>
    <t>http://www.wikidata.org/entity/Q120897770</t>
  </si>
  <si>
    <t>Armand Valcke</t>
  </si>
  <si>
    <t>http://www.wikidata.org/entity/Q2101758</t>
  </si>
  <si>
    <t>commissaris van politie</t>
  </si>
  <si>
    <t>http://www.wikidata.org/entity/Q120199426</t>
  </si>
  <si>
    <t>Henry Edwin Harford</t>
  </si>
  <si>
    <t>http://www.wikidata.org/entity/Q25110562</t>
  </si>
  <si>
    <t>kamenier</t>
  </si>
  <si>
    <t>http://www.wikidata.org/entity/Q122872579</t>
  </si>
  <si>
    <t>Jules Alphonse Marie Ghislain Verest</t>
  </si>
  <si>
    <t>http://www.wikidata.org/entity/Q118289639</t>
  </si>
  <si>
    <t>Katharine Woodlock</t>
  </si>
  <si>
    <t>http://www.wikidata.org/entity/Q123722465</t>
  </si>
  <si>
    <t>Renaat Joye</t>
  </si>
  <si>
    <t>http://www.wikidata.org/entity/Q125472922</t>
  </si>
  <si>
    <t>Robert John Stanislaw Edmonstone</t>
  </si>
  <si>
    <t>http://www.wikidata.org/entity/Q738142</t>
  </si>
  <si>
    <t>klerk</t>
  </si>
  <si>
    <t>http://www.wikidata.org/entity/Q120176244</t>
  </si>
  <si>
    <t>Jan De Neve</t>
  </si>
  <si>
    <t>http://www.wikidata.org/entity/Q125559455</t>
  </si>
  <si>
    <t>Medardus Van De Poele</t>
  </si>
  <si>
    <t>http://www.wikidata.org/entity/Q123689972</t>
  </si>
  <si>
    <t>Camillus Delaere</t>
  </si>
  <si>
    <t>http://www.wikidata.org/entity/Q1650915</t>
  </si>
  <si>
    <t>onderzoeker</t>
  </si>
  <si>
    <t>http://www.wikidata.org/entity/Q129069726</t>
  </si>
  <si>
    <t>Isabelle Marie de Proli</t>
  </si>
  <si>
    <t>http://www.wikidata.org/entity/Q125361599</t>
  </si>
  <si>
    <t>Marion Violet Thomas</t>
  </si>
  <si>
    <t>http://www.wikidata.org/entity/Q123689724</t>
  </si>
  <si>
    <t>Joannes De Neve</t>
  </si>
  <si>
    <t>http://www.wikidata.org/entity/Q120191174</t>
  </si>
  <si>
    <t>Felix De Nolf</t>
  </si>
  <si>
    <t>http://www.wikidata.org/entity/Q120973166</t>
  </si>
  <si>
    <t>Alfons Van Doorne</t>
  </si>
  <si>
    <t>http://www.wikidata.org/entity/Q120973922</t>
  </si>
  <si>
    <t>Petrus Josephus Maria Van Doorne</t>
  </si>
  <si>
    <t>http://www.wikidata.org/entity/Q118998340</t>
  </si>
  <si>
    <t>Leopold Pycke</t>
  </si>
  <si>
    <t>http://www.wikidata.org/entity/Q161944</t>
  </si>
  <si>
    <t>diaken</t>
  </si>
  <si>
    <t>http://www.wikidata.org/entity/Q115982485</t>
  </si>
  <si>
    <t>Franciscus Boudeweel</t>
  </si>
  <si>
    <t>http://www.wikidata.org/entity/Q539371</t>
  </si>
  <si>
    <t>corrector</t>
  </si>
  <si>
    <t>http://www.wikidata.org/entity/Q125394996</t>
  </si>
  <si>
    <t>Virginie Nyffels</t>
  </si>
  <si>
    <t>http://www.wikidata.org/entity/Q119013806</t>
  </si>
  <si>
    <t>Aloïs Van de Pitte</t>
  </si>
  <si>
    <t>http://www.wikidata.org/entity/Q116621725</t>
  </si>
  <si>
    <t>Maria Constantia Gezelle</t>
  </si>
  <si>
    <t>http://www.wikidata.org/entity/Q122801530</t>
  </si>
  <si>
    <t>Pauline Rosalie Bruneel</t>
  </si>
  <si>
    <t>http://www.wikidata.org/entity/Q123413906</t>
  </si>
  <si>
    <t>Séraphine Cathérine De Wulf</t>
  </si>
  <si>
    <t>http://www.wikidata.org/entity/Q116510419</t>
  </si>
  <si>
    <t>Colette Virginie Parvost</t>
  </si>
  <si>
    <t>http://www.wikidata.org/entity/Q116620833</t>
  </si>
  <si>
    <t>Maria De Bo</t>
  </si>
  <si>
    <t>http://www.wikidata.org/entity/Q116621244</t>
  </si>
  <si>
    <t>Maria Josepha Augusta Van Doorne</t>
  </si>
  <si>
    <t>http://www.wikidata.org/entity/Q117229566</t>
  </si>
  <si>
    <t>Maria Philomena D'Hondt</t>
  </si>
  <si>
    <t>http://www.wikidata.org/entity/Q117246934</t>
  </si>
  <si>
    <t>Mary Ann Walton</t>
  </si>
  <si>
    <t>http://www.wikidata.org/entity/Q118732552</t>
  </si>
  <si>
    <t>Hortense Delbaere</t>
  </si>
  <si>
    <t>http://www.wikidata.org/entity/Q975292</t>
  </si>
  <si>
    <t>Jan Van Beers</t>
  </si>
  <si>
    <t>http://commons.wikimedia.org/wiki/Special:FilePath/Jan%20Van%20Beers.jpg</t>
  </si>
  <si>
    <t>http://www.wikidata.org/entity/Q2677198</t>
  </si>
  <si>
    <t>Jules Lagae</t>
  </si>
  <si>
    <t>http://www.wikidata.org/entity/Q1708232</t>
  </si>
  <si>
    <t>medailleur</t>
  </si>
  <si>
    <t>http://commons.wikimedia.org/wiki/Special:FilePath/Jules%20Lagae%20%281862-1931%29.jpg</t>
  </si>
  <si>
    <t>http://www.wikidata.org/entity/Q3557112</t>
  </si>
  <si>
    <t>Victor Alexis dela Montagne</t>
  </si>
  <si>
    <t>http://commons.wikimedia.org/wiki/Special:FilePath/Victor%20De%20la%20Montagne.png</t>
  </si>
  <si>
    <t>http://www.wikidata.org/entity/Q3515115</t>
  </si>
  <si>
    <t>Pol de Mont</t>
  </si>
  <si>
    <t>http://commons.wikimedia.org/wiki/Special:FilePath/Pol%20de%20Mont%201896.jpg</t>
  </si>
  <si>
    <t>http://www.wikidata.org/entity/Q764378</t>
  </si>
  <si>
    <t>August Vermeylen</t>
  </si>
  <si>
    <t>http://commons.wikimedia.org/wiki/Special:FilePath/AugustVermeylen2.jpg</t>
  </si>
  <si>
    <t>http://www.wikidata.org/entity/Q2360599</t>
  </si>
  <si>
    <t>Antoon Jozef Witteryck</t>
  </si>
  <si>
    <t>http://www.wikidata.org/entity/Q860918</t>
  </si>
  <si>
    <t>esperantist</t>
  </si>
  <si>
    <t>http://commons.wikimedia.org/wiki/Special:FilePath/Wytterick%2023.JPG</t>
  </si>
  <si>
    <t>http://www.wikidata.org/entity/Q15956</t>
  </si>
  <si>
    <t>Frans Schollaert</t>
  </si>
  <si>
    <t>http://commons.wikimedia.org/wiki/Special:FilePath/Frans%20Schollaert.jpg</t>
  </si>
  <si>
    <t>http://www.wikidata.org/entity/Q2524668</t>
  </si>
  <si>
    <t>Adolf Duclos</t>
  </si>
  <si>
    <t>http://commons.wikimedia.org/wiki/Special:FilePath/Adolf%20Duclos001.jpg</t>
  </si>
  <si>
    <t>http://www.wikidata.org/entity/Q3450211</t>
  </si>
  <si>
    <t>Arthur De Schrevel</t>
  </si>
  <si>
    <t>http://www.wikidata.org/entity/Q2099446</t>
  </si>
  <si>
    <t>Amaat Joos</t>
  </si>
  <si>
    <t>http://commons.wikimedia.org/wiki/Special:FilePath/Amaat%20Joos.jpg</t>
  </si>
  <si>
    <t>http://www.wikidata.org/entity/Q5006521</t>
  </si>
  <si>
    <t>Charles Hodgson Fowler</t>
  </si>
  <si>
    <t>http://commons.wikimedia.org/wiki/Special:FilePath/Church%20of%20St%20Oswald%20-%20detail%20of%20stained%20glass%20window%20depicting%20church%20architect%2C%20Charles%20Hodgson%20Fowler%20%28cropped%29.jpg</t>
  </si>
  <si>
    <t>http://www.wikidata.org/entity/Q3531475</t>
  </si>
  <si>
    <t>Johan De Stoop</t>
  </si>
  <si>
    <t>http://www.wikidata.org/entity/Q158852</t>
  </si>
  <si>
    <t>dirigent</t>
  </si>
  <si>
    <t>http://www.wikidata.org/entity/Q1076502</t>
  </si>
  <si>
    <t>koordirigent</t>
  </si>
  <si>
    <t>http://www.wikidata.org/entity/Q2050293</t>
  </si>
  <si>
    <t>Alfons Van Hee</t>
  </si>
  <si>
    <t>http://www.wikidata.org/entity/Q2163210</t>
  </si>
  <si>
    <t>Jean van Ruymbeke</t>
  </si>
  <si>
    <t>http://www.wikidata.org/entity/Q42596</t>
  </si>
  <si>
    <t>Frédéric Mistral</t>
  </si>
  <si>
    <t>http://commons.wikimedia.org/wiki/Special:FilePath/Frederic%20Mistral%20portrait%20photo.jpg</t>
  </si>
  <si>
    <t>http://www.wikidata.org/entity/Q2100582</t>
  </si>
  <si>
    <t>Alfons De Cock</t>
  </si>
  <si>
    <t>http://commons.wikimedia.org/wiki/Special:FilePath/Alfons%20de%20Cock%2C%20PA05233.jpg</t>
  </si>
  <si>
    <t>http://www.wikidata.org/entity/Q2190493</t>
  </si>
  <si>
    <t>Gustaaf Verriest</t>
  </si>
  <si>
    <t>http://commons.wikimedia.org/wiki/Special:FilePath/Gustaaf%20Louise%20Oda%20Hugo%20Verriest%20in%201861.jpg</t>
  </si>
  <si>
    <t>http://www.wikidata.org/entity/Q1607826</t>
  </si>
  <si>
    <t>http://www.wikidata.org/entity/Q2658862</t>
  </si>
  <si>
    <t>Auguste Van Speybrouck</t>
  </si>
  <si>
    <t>http://www.wikidata.org/entity/Q14972848</t>
  </si>
  <si>
    <t>lexicograaf</t>
  </si>
  <si>
    <t>http://www.wikidata.org/entity/Q5026719</t>
  </si>
  <si>
    <t>Camillus Paul Maes</t>
  </si>
  <si>
    <t>http://commons.wikimedia.org/wiki/Special:FilePath/Bishop%20Camillus%20Paul%20Maes.jpg</t>
  </si>
  <si>
    <t>http://www.wikidata.org/entity/Q2203619</t>
  </si>
  <si>
    <t>Camille Looten</t>
  </si>
  <si>
    <t>http://commons.wikimedia.org/wiki/Special:FilePath/Canon%20Camille%20Looten.jpg</t>
  </si>
  <si>
    <t>http://www.wikidata.org/entity/Q661733</t>
  </si>
  <si>
    <t>Charles Gillès de Pelichy</t>
  </si>
  <si>
    <t>http://www.wikidata.org/entity/Q115806424</t>
  </si>
  <si>
    <t>Joseph Devos</t>
  </si>
  <si>
    <t>http://www.wikidata.org/entity/Q115813555</t>
  </si>
  <si>
    <t>Gustaaf Janssens</t>
  </si>
  <si>
    <t>http://www.wikidata.org/entity/Q110039191</t>
  </si>
  <si>
    <t>Alfons Dassonville</t>
  </si>
  <si>
    <t>http://www.wikidata.org/entity/Q111336261</t>
  </si>
  <si>
    <t>Karel Van De Vyvere</t>
  </si>
  <si>
    <t>http://www.wikidata.org/entity/Q110039361</t>
  </si>
  <si>
    <t>Polydoor Dionysius Daniëls</t>
  </si>
  <si>
    <t>http://commons.wikimedia.org/wiki/Special:FilePath/Eerwaarde%20Heer%20pastoor%20Dani%C3%ABls%2C%20PA04467.jpg</t>
  </si>
  <si>
    <t>http://www.wikidata.org/entity/Q125919425</t>
  </si>
  <si>
    <t>huiskapelaan</t>
  </si>
  <si>
    <t>http://www.wikidata.org/entity/Q56036067</t>
  </si>
  <si>
    <t>Lodewijk Willem Schuermans</t>
  </si>
  <si>
    <t>http://www.wikidata.org/entity/Q56036026</t>
  </si>
  <si>
    <t>Taco Hajo de Beer</t>
  </si>
  <si>
    <t>http://www.wikidata.org/entity/Q115818168</t>
  </si>
  <si>
    <t>August Hoflack</t>
  </si>
  <si>
    <t>http://www.wikidata.org/entity/Q57197744</t>
  </si>
  <si>
    <t>Eugeen-Karel Van Steenkiste</t>
  </si>
  <si>
    <t>http://www.wikidata.org/entity/Q115815852</t>
  </si>
  <si>
    <t>Emiel De Brabandere</t>
  </si>
  <si>
    <t>http://www.wikidata.org/entity/Q115831295</t>
  </si>
  <si>
    <t>Karel Foulon</t>
  </si>
  <si>
    <t>http://www.wikidata.org/entity/Q115818424</t>
  </si>
  <si>
    <t>Achiel Piepers</t>
  </si>
  <si>
    <t>http://www.wikidata.org/entity/Q20902162</t>
  </si>
  <si>
    <t>Louise Gezelle</t>
  </si>
  <si>
    <t>http://commons.wikimedia.org/wiki/Special:FilePath/Foto%20van%20Louise%20Gezelle%20en%20Stijn%20Streuvels.jpg</t>
  </si>
  <si>
    <t>http://www.wikidata.org/entity/Q115820635</t>
  </si>
  <si>
    <t>Alfred Neut</t>
  </si>
  <si>
    <t>http://www.wikidata.org/entity/Q80079104</t>
  </si>
  <si>
    <t>Victor Huys</t>
  </si>
  <si>
    <t>http://www.wikidata.org/entity/Q115821479</t>
  </si>
  <si>
    <t>Honoré Cardoen</t>
  </si>
  <si>
    <t>http://www.wikidata.org/entity/Q115823191</t>
  </si>
  <si>
    <t>Vincent Lefere</t>
  </si>
  <si>
    <t>http://www.wikidata.org/entity/Q115821483</t>
  </si>
  <si>
    <t>Aloïs Baelen</t>
  </si>
  <si>
    <t>http://www.wikidata.org/entity/Q115826830</t>
  </si>
  <si>
    <t>Benedictus Goeman</t>
  </si>
  <si>
    <t>http://www.wikidata.org/entity/Q5983066</t>
  </si>
  <si>
    <t>Ian Theodor Beelen</t>
  </si>
  <si>
    <t>http://www.wikidata.org/entity/Q115827696</t>
  </si>
  <si>
    <t>Henricus Blancke</t>
  </si>
  <si>
    <t>http://www.wikidata.org/entity/Q10855616</t>
  </si>
  <si>
    <t>legerarts</t>
  </si>
  <si>
    <t>http://www.wikidata.org/entity/Q75320317</t>
  </si>
  <si>
    <t>Maurice Denis Kavanagh</t>
  </si>
  <si>
    <t>http://www.wikidata.org/entity/Q115829884</t>
  </si>
  <si>
    <t>Theophilus Roucourt</t>
  </si>
  <si>
    <t>http://www.wikidata.org/entity/Q14331462</t>
  </si>
  <si>
    <t>Seraphijn Dequidt</t>
  </si>
  <si>
    <t>http://www.wikidata.org/entity/Q115835025</t>
  </si>
  <si>
    <t>Louise Joséphine Doyen</t>
  </si>
  <si>
    <t>http://www.wikidata.org/entity/Q111342238</t>
  </si>
  <si>
    <t>Karel Beyaert</t>
  </si>
  <si>
    <t>http://www.wikidata.org/entity/Q115818541</t>
  </si>
  <si>
    <t>Gustave Delescluze</t>
  </si>
  <si>
    <t>http://www.wikidata.org/entity/Q115836217</t>
  </si>
  <si>
    <t>Pieter Plets</t>
  </si>
  <si>
    <t>http://www.wikidata.org/entity/Q115836783</t>
  </si>
  <si>
    <t>Bruno Joseph Jean Vandale</t>
  </si>
  <si>
    <t>http://www.wikidata.org/entity/Q115838569</t>
  </si>
  <si>
    <t>Jerôme Vervaeke</t>
  </si>
  <si>
    <t>http://www.wikidata.org/entity/Q115840234</t>
  </si>
  <si>
    <t>Camiel Roelandts</t>
  </si>
  <si>
    <t>http://www.wikidata.org/entity/Q115837646</t>
  </si>
  <si>
    <t>Gustaf François Marie Van Mullem</t>
  </si>
  <si>
    <t>http://www.wikidata.org/entity/Q115818781</t>
  </si>
  <si>
    <t>Leon Verwilghen</t>
  </si>
  <si>
    <t>http://www.wikidata.org/entity/Q122779793</t>
  </si>
  <si>
    <t>Delphine Frederica Marie Blancke</t>
  </si>
  <si>
    <t>http://www.wikidata.org/entity/Q119794240</t>
  </si>
  <si>
    <t>Hendrik Berghman</t>
  </si>
  <si>
    <t>http://www.wikidata.org/entity/Q120884878</t>
  </si>
  <si>
    <t>Pieter Jan Timmerman</t>
  </si>
  <si>
    <t>http://www.wikidata.org/entity/Q119040262</t>
  </si>
  <si>
    <t>Leon Auguste Joseph Marie Verhoef</t>
  </si>
  <si>
    <t>http://www.wikidata.org/entity/Q119041387</t>
  </si>
  <si>
    <t>Karel Lodewijk Van Raes</t>
  </si>
  <si>
    <t>http://www.wikidata.org/entity/Q122791049</t>
  </si>
  <si>
    <t>Emfrentiana De Backere</t>
  </si>
  <si>
    <t>http://www.wikidata.org/entity/Q120999228</t>
  </si>
  <si>
    <t>Jozef Van Heffen</t>
  </si>
  <si>
    <t>http://www.wikidata.org/entity/Q118136722</t>
  </si>
  <si>
    <t>Pieter Benoit</t>
  </si>
  <si>
    <t>http://www.wikidata.org/entity/Q118495679</t>
  </si>
  <si>
    <t>Joannes Alberdingk</t>
  </si>
  <si>
    <t>http://www.wikidata.org/entity/Q116621552</t>
  </si>
  <si>
    <t>Mathilde Catteeuw</t>
  </si>
  <si>
    <t>http://commons.wikimedia.org/wiki/Special:FilePath/Doodsprentje%20Mathilde%20Catteeuw.tif</t>
  </si>
  <si>
    <t>http://www.wikidata.org/entity/Q122833200</t>
  </si>
  <si>
    <t>Octavie Van Gillewe</t>
  </si>
  <si>
    <t>http://www.wikidata.org/entity/Q120333083</t>
  </si>
  <si>
    <t>Petrus Ludovicus Dessein</t>
  </si>
  <si>
    <t>http://www.wikidata.org/entity/Q120550899</t>
  </si>
  <si>
    <t>Eduard De Jonghe</t>
  </si>
  <si>
    <t>http://www.wikidata.org/entity/Q120920666</t>
  </si>
  <si>
    <t>P. F. Van De Meulebroucke</t>
  </si>
  <si>
    <t>http://www.wikidata.org/entity/Q120556534</t>
  </si>
  <si>
    <t>Desiderius De Pau</t>
  </si>
  <si>
    <t>http://www.wikidata.org/entity/Q116510998</t>
  </si>
  <si>
    <t>Mary Anne Macdaniel</t>
  </si>
  <si>
    <t>http://www.wikidata.org/entity/Q115981938</t>
  </si>
  <si>
    <t>Felix Degrendel</t>
  </si>
  <si>
    <t>http://www.wikidata.org/entity/Q115842281</t>
  </si>
  <si>
    <t>Angelus Dumelie</t>
  </si>
  <si>
    <t>http://www.wikidata.org/entity/Q118733026</t>
  </si>
  <si>
    <t>Domenico Macry Correale</t>
  </si>
  <si>
    <t>http://www.wikidata.org/entity/Q120248482</t>
  </si>
  <si>
    <t>Thomas Harrison Sale</t>
  </si>
  <si>
    <t>http://www.wikidata.org/entity/Q116508674</t>
  </si>
  <si>
    <t>Savina L.J. van Caloen-de Gourcy</t>
  </si>
  <si>
    <t>http://commons.wikimedia.org/wiki/Special:FilePath/Foto%20Savina%20Van%20Caloen.tif</t>
  </si>
  <si>
    <t>http://www.wikidata.org/entity/Q115839946</t>
  </si>
  <si>
    <t>Jacobus Vanden Berghe</t>
  </si>
  <si>
    <t>http://www.wikidata.org/entity/Q116620739</t>
  </si>
  <si>
    <t>Catherine de Kyvere</t>
  </si>
  <si>
    <t>http://www.wikidata.org/entity/Q115846413</t>
  </si>
  <si>
    <t>Julia Van Renterghem</t>
  </si>
  <si>
    <t>http://www.wikidata.org/entity/Q116522102</t>
  </si>
  <si>
    <t>Sidonie Mahieu</t>
  </si>
  <si>
    <t>http://www.wikidata.org/entity/Q116620937</t>
  </si>
  <si>
    <t>Julienne Elise Van De Wiele</t>
  </si>
  <si>
    <t>http://www.wikidata.org/entity/Q120556695</t>
  </si>
  <si>
    <t>Eugène Charles Jean Valentin de Peñaranda</t>
  </si>
  <si>
    <t>http://www.wikidata.org/entity/Q3029404</t>
  </si>
  <si>
    <t>ziekenhuisdirecteur</t>
  </si>
  <si>
    <t>http://www.wikidata.org/entity/Q17303149</t>
  </si>
  <si>
    <t>pianoleraar</t>
  </si>
  <si>
    <t>http://www.wikidata.org/entity/Q120855316</t>
  </si>
  <si>
    <t>Ernest Albin Smith</t>
  </si>
  <si>
    <t>http://www.wikidata.org/entity/Q122903266</t>
  </si>
  <si>
    <t>Spencer Francis Smith</t>
  </si>
  <si>
    <t>http://www.wikidata.org/entity/Q806798</t>
  </si>
  <si>
    <t>bankier</t>
  </si>
  <si>
    <t>http://www.wikidata.org/entity/Q115981931</t>
  </si>
  <si>
    <t>Florimond Vanden Bulcke</t>
  </si>
  <si>
    <t>http://www.wikidata.org/entity/Q120164850</t>
  </si>
  <si>
    <t>Arthur Robinson</t>
  </si>
  <si>
    <t>http://www.wikidata.org/entity/Q116508871</t>
  </si>
  <si>
    <t>Helena Amelia Walton</t>
  </si>
  <si>
    <t>http://www.wikidata.org/entity/Q116621363</t>
  </si>
  <si>
    <t>Mary Margaret Weale</t>
  </si>
  <si>
    <t>http://www.wikidata.org/entity/Q116621811</t>
  </si>
  <si>
    <t>Marguerite Marie Josephine Sonck</t>
  </si>
  <si>
    <t>http://www.wikidata.org/entity/Q117244772</t>
  </si>
  <si>
    <t>Marie Antoinette Descamps</t>
  </si>
  <si>
    <t>http://www.wikidata.org/entity/Q2313151</t>
  </si>
  <si>
    <t>dienstbode</t>
  </si>
  <si>
    <t>http://www.wikidata.org/entity/Q115979812</t>
  </si>
  <si>
    <t>August Busschaert</t>
  </si>
  <si>
    <t>http://www.wikidata.org/entity/Q123416074</t>
  </si>
  <si>
    <t>Henri Delbaere</t>
  </si>
  <si>
    <t>http://www.wikidata.org/entity/Q125275288</t>
  </si>
  <si>
    <t>Ernestine De Seille</t>
  </si>
  <si>
    <t>http://www.wikidata.org/entity/Q122971209</t>
  </si>
  <si>
    <t>George Parker</t>
  </si>
  <si>
    <t>http://www.wikidata.org/entity/Q33109310</t>
  </si>
  <si>
    <t>catalograaf</t>
  </si>
  <si>
    <t>http://www.wikidata.org/entity/Q10732476</t>
  </si>
  <si>
    <t>kunstverzamelaar</t>
  </si>
  <si>
    <t>http://www.wikidata.org/entity/Q136703696</t>
  </si>
  <si>
    <t>Petrus Alfons Beelaert</t>
  </si>
  <si>
    <t>http://www.wikidata.org/entity/Q136734381</t>
  </si>
  <si>
    <t>Roland Joseph De Meester</t>
  </si>
  <si>
    <t>http://www.wikidata.org/entity/Q115982585</t>
  </si>
  <si>
    <t>Carolus Ludovicus Brondel</t>
  </si>
  <si>
    <t>http://www.wikidata.org/entity/Q2496044</t>
  </si>
  <si>
    <t>Gustave Henri Flamen</t>
  </si>
  <si>
    <t>http://www.wikidata.org/entity/Q131923924</t>
  </si>
  <si>
    <t>Amélie Emérentine Joseph Mullier</t>
  </si>
  <si>
    <t>http://www.wikidata.org/entity/Q136735429</t>
  </si>
  <si>
    <t>François Joseph Brondel</t>
  </si>
  <si>
    <t>http://www.wikidata.org/entity/Q474306</t>
  </si>
  <si>
    <t>klokkengieter</t>
  </si>
  <si>
    <t>http://www.wikidata.org/entity/Q125357784</t>
  </si>
  <si>
    <t>Mary Catherine Cole</t>
  </si>
  <si>
    <t>http://www.wikidata.org/entity/Q123615494</t>
  </si>
  <si>
    <t>Victor Vercruysse</t>
  </si>
  <si>
    <t>http://www.wikidata.org/entity/Q131928133</t>
  </si>
  <si>
    <t>Pelagie Vuylsteke</t>
  </si>
  <si>
    <t>http://www.wikidata.org/entity/Q126734623</t>
  </si>
  <si>
    <t>Juliana Spriet</t>
  </si>
  <si>
    <t>http://www.wikidata.org/entity/Q123414712</t>
  </si>
  <si>
    <t>Maria Juliana Lucia Delbaere</t>
  </si>
  <si>
    <t>http://www.wikidata.org/entity/Q123417058</t>
  </si>
  <si>
    <t>Adela Pauline Courtens</t>
  </si>
  <si>
    <t>http://www.wikidata.org/entity/Q120829902</t>
  </si>
  <si>
    <t>Jules Roose</t>
  </si>
  <si>
    <t>http://www.wikidata.org/entity/Q43683879</t>
  </si>
  <si>
    <t>bibliotheekmedewerker</t>
  </si>
  <si>
    <t>http://www.wikidata.org/entity/Q13769746</t>
  </si>
  <si>
    <t>Lodewijk Scharpé</t>
  </si>
  <si>
    <t>http://commons.wikimedia.org/wiki/Special:FilePath/GlasraamLodewijkScharpe.jpg</t>
  </si>
  <si>
    <t>http://www.wikidata.org/entity/Q694116</t>
  </si>
  <si>
    <t>molenaar</t>
  </si>
  <si>
    <t>http://www.wikidata.org/entity/Q961180</t>
  </si>
  <si>
    <t>Jacob Verdam</t>
  </si>
  <si>
    <t>http://commons.wikimedia.org/wiki/Special:FilePath/Portret%20van%20Jacob%20Verdam%2C%20hoogleraar%20Nederlandse%20Taal%20te%20Leiden%20Icones%20298.tiff</t>
  </si>
  <si>
    <t>http://www.wikidata.org/entity/Q121078322</t>
  </si>
  <si>
    <t>Elisabeth Josèphe Thérèse van den Broeck</t>
  </si>
  <si>
    <t>http://www.wikidata.org/entity/Q122915335</t>
  </si>
  <si>
    <t>Emiel Van Den Berghe</t>
  </si>
  <si>
    <t>http://www.wikidata.org/entity/Q122790642</t>
  </si>
  <si>
    <t>Maria Joanna Maes</t>
  </si>
  <si>
    <t>http://www.wikidata.org/entity/Q122842204</t>
  </si>
  <si>
    <t>Mary Louisa Farbrother</t>
  </si>
  <si>
    <t>http://www.wikidata.org/entity/Q122854006</t>
  </si>
  <si>
    <t>Jeanne Marie Emilie Colette Ghislaine de Bethune</t>
  </si>
  <si>
    <t>http://www.wikidata.org/entity/Q1978131</t>
  </si>
  <si>
    <t>Hilaris Allaeys</t>
  </si>
  <si>
    <t>http://www.wikidata.org/entity/Q123050592</t>
  </si>
  <si>
    <t>Ruth Rose Drew</t>
  </si>
  <si>
    <t>http://www.wikidata.org/entity/Q123051567</t>
  </si>
  <si>
    <t>Agnes Cecilia Young</t>
  </si>
  <si>
    <t>http://www.wikidata.org/entity/Q123554207</t>
  </si>
  <si>
    <t>Marie Colette Joséphine Caïmo</t>
  </si>
  <si>
    <t>http://www.wikidata.org/entity/Q123600982</t>
  </si>
  <si>
    <t>Cathérine Joséphine Mesnage</t>
  </si>
  <si>
    <t>http://www.wikidata.org/entity/Q122987963</t>
  </si>
  <si>
    <t>Paul Van Dorpe</t>
  </si>
  <si>
    <t>http://www.wikidata.org/entity/Q125257816</t>
  </si>
  <si>
    <t>Jeannette Marie Rosseeuw</t>
  </si>
  <si>
    <t>http://www.wikidata.org/entity/Q125342034</t>
  </si>
  <si>
    <t>Maria Helena Pieters</t>
  </si>
  <si>
    <t>http://www.wikidata.org/entity/Q125352256</t>
  </si>
  <si>
    <t>Ernestine Francisca Marie Van Langermeersch</t>
  </si>
  <si>
    <t>http://www.wikidata.org/entity/Q125365471</t>
  </si>
  <si>
    <t>Mathilde Jeanne Marie de Robiano</t>
  </si>
  <si>
    <t>http://www.wikidata.org/entity/Q125859018</t>
  </si>
  <si>
    <t>Elvina Marie Verbeke</t>
  </si>
  <si>
    <t>http://www.wikidata.org/entity/Q126113249</t>
  </si>
  <si>
    <t>Domenico Pisani</t>
  </si>
  <si>
    <t>http://www.wikidata.org/entity/Q128903989</t>
  </si>
  <si>
    <t>Marie Thérèse Joseph Anne Louise Julie Flore Clotilde Roels</t>
  </si>
  <si>
    <t>http://www.wikidata.org/entity/Q128904091</t>
  </si>
  <si>
    <t>Louise Adèle Pauline Van Brabant</t>
  </si>
  <si>
    <t>http://www.wikidata.org/entity/Q131928167</t>
  </si>
  <si>
    <t>Marie Flore Joseph Goemaere</t>
  </si>
  <si>
    <t>http://www.wikidata.org/entity/Q131957313</t>
  </si>
  <si>
    <t>Leonie Sophie Marie De Ketelaere</t>
  </si>
  <si>
    <t>http://www.wikidata.org/entity/Q125306156</t>
  </si>
  <si>
    <t>Adelaida Antonia Vuylsteke</t>
  </si>
  <si>
    <t>http://www.wikidata.org/entity/Q119039774</t>
  </si>
  <si>
    <t>Andries J. Winkler</t>
  </si>
  <si>
    <t>http://www.wikidata.org/entity/Q125819387</t>
  </si>
  <si>
    <t>Louis Vander Heyde</t>
  </si>
  <si>
    <t>http://www.wikidata.org/entity/Q125516501</t>
  </si>
  <si>
    <t>Leopold Josephus Marie Nobels</t>
  </si>
  <si>
    <t>http://www.wikidata.org/entity/Q125535061</t>
  </si>
  <si>
    <t>William Leadbitter</t>
  </si>
  <si>
    <t>http://www.wikidata.org/entity/Q123697088</t>
  </si>
  <si>
    <t>Edward William Fulker</t>
  </si>
  <si>
    <t>http://www.wikidata.org/entity/Q123055332</t>
  </si>
  <si>
    <t>Jozef Bahri</t>
  </si>
  <si>
    <t>http://www.wikidata.org/entity/Q125538145</t>
  </si>
  <si>
    <t>Patrick Joseph Ryan</t>
  </si>
  <si>
    <t>http://www.wikidata.org/entity/Q388338</t>
  </si>
  <si>
    <t>penningmeester</t>
  </si>
  <si>
    <t>http://www.wikidata.org/entity/Q123050974</t>
  </si>
  <si>
    <t>Katherine Wharton</t>
  </si>
  <si>
    <t>http://www.wikidata.org/entity/Q125559890</t>
  </si>
  <si>
    <t>Henri Van De Wattyne</t>
  </si>
  <si>
    <t>http://www.wikidata.org/entity/Q122963358</t>
  </si>
  <si>
    <t>Edouard Amand Justin Marie Neut</t>
  </si>
  <si>
    <t>http://www.wikidata.org/entity/Q122963909</t>
  </si>
  <si>
    <t>Eduardus Edmondus Van Wtberghe</t>
  </si>
  <si>
    <t>http://www.wikidata.org/entity/Q122753360</t>
  </si>
  <si>
    <t>Marie-Antoinette Pollenus</t>
  </si>
  <si>
    <t>http://www.wikidata.org/entity/Q122971101</t>
  </si>
  <si>
    <t>Charles Louis Poublon</t>
  </si>
  <si>
    <t>http://www.wikidata.org/entity/Q638172</t>
  </si>
  <si>
    <t>marskramer</t>
  </si>
  <si>
    <t>http://www.wikidata.org/entity/Q8963721</t>
  </si>
  <si>
    <t>genealoog</t>
  </si>
  <si>
    <t>http://www.wikidata.org/entity/Q125472556</t>
  </si>
  <si>
    <t>Charles Grant Edmonstone</t>
  </si>
  <si>
    <t>http://www.wikidata.org/entity/Q27349</t>
  </si>
  <si>
    <t>tandarts</t>
  </si>
  <si>
    <t>http://www.wikidata.org/entity/Q125351404</t>
  </si>
  <si>
    <t>Louisa Maria Anna Verdbois</t>
  </si>
  <si>
    <t>http://www.wikidata.org/entity/Q12049274</t>
  </si>
  <si>
    <t>http://www.wikidata.org/entity/Q116620970</t>
  </si>
  <si>
    <t>Teresa Hercy</t>
  </si>
  <si>
    <t>http://www.wikidata.org/entity/Q125359798</t>
  </si>
  <si>
    <t>Marie Philomene Van Walleghem</t>
  </si>
  <si>
    <t>http://www.wikidata.org/entity/Q121078001</t>
  </si>
  <si>
    <t>Frans Verbeke</t>
  </si>
  <si>
    <t>http://www.wikidata.org/entity/Q125360612</t>
  </si>
  <si>
    <t>Heloise Geneviève Gruselle</t>
  </si>
  <si>
    <t>http://www.wikidata.org/entity/Q128034737</t>
  </si>
  <si>
    <t>Maria Euphemia Verbanck</t>
  </si>
  <si>
    <t>http://www.wikidata.org/entity/Q123399726</t>
  </si>
  <si>
    <t>Marie Sophie Joséphine Delva</t>
  </si>
  <si>
    <t>http://commons.wikimedia.org/wiki/Special:FilePath/Foto%20Marie%20Sophie%20Bruneel-Delva.jpg</t>
  </si>
  <si>
    <t>http://www.wikidata.org/entity/Q123742237</t>
  </si>
  <si>
    <t>Odilon Van Den Berghe</t>
  </si>
  <si>
    <t>http://www.wikidata.org/entity/Q125274323</t>
  </si>
  <si>
    <t>Valentine Josephine Marie Terrière</t>
  </si>
  <si>
    <t>http://www.wikidata.org/entity/Q109925431</t>
  </si>
  <si>
    <t>kopergieter</t>
  </si>
  <si>
    <t>http://www.wikidata.org/entity/Q121078208</t>
  </si>
  <si>
    <t>Louis Vercruysse</t>
  </si>
  <si>
    <t>http://www.wikidata.org/entity/Q122872984</t>
  </si>
  <si>
    <t>Gustaaf Verheust-Dekeyser</t>
  </si>
  <si>
    <t>http://www.wikidata.org/entity/Q122853878</t>
  </si>
  <si>
    <t>Catherine Simpson Mackenzie</t>
  </si>
  <si>
    <t>http://www.wikidata.org/entity/Q2059291</t>
  </si>
  <si>
    <t>Auguste Reyns</t>
  </si>
  <si>
    <t>http://www.wikidata.org/entity/Q215793</t>
  </si>
  <si>
    <t>kapelmeester</t>
  </si>
  <si>
    <t>http://www.wikidata.org/entity/Q1280942</t>
  </si>
  <si>
    <t>Amédée Visart de Bocarmé</t>
  </si>
  <si>
    <t>http://commons.wikimedia.org/wiki/Special:FilePath/Portret%20van%20burgemeester%20Am%C3%A9d%C3%A9e%20Visart%20de%20Bocarm%C3%A9%2C%20circa%201837%20-%20circa%201924%2C%20Groeningemuseum%2C%200041286000.jpg</t>
  </si>
  <si>
    <t>http://www.wikidata.org/entity/Q116689485</t>
  </si>
  <si>
    <t>Elisabeth Latham</t>
  </si>
  <si>
    <t>http://www.wikidata.org/entity/Q116687284</t>
  </si>
  <si>
    <t>Agnes Mary Christophers</t>
  </si>
  <si>
    <t>http://www.wikidata.org/entity/Q117409336</t>
  </si>
  <si>
    <t>Camille Lateur</t>
  </si>
  <si>
    <t>http://www.wikidata.org/entity/Q15982597</t>
  </si>
  <si>
    <t>Monica De Vriese</t>
  </si>
  <si>
    <t>http://www.wikidata.org/entity/Q19968805</t>
  </si>
  <si>
    <t>spinner</t>
  </si>
  <si>
    <t>http://commons.wikimedia.org/wiki/Special:FilePath/Bidprentje%20Monica%20De%20Vriese.jpg</t>
  </si>
  <si>
    <t>http://www.wikidata.org/entity/Q64302</t>
  </si>
  <si>
    <t>Richard Andree</t>
  </si>
  <si>
    <t>http://commons.wikimedia.org/wiki/Special:FilePath/%D0%A0%D0%B8%D1%85%D0%B0%D1%80%D0%B4%20%D0%90%D0%BD%D0%B4%D1%80%D0%B5.jpg</t>
  </si>
  <si>
    <t>http://www.wikidata.org/entity/Q2134167</t>
  </si>
  <si>
    <t>Louis Gilliodts</t>
  </si>
  <si>
    <t>http://www.wikidata.org/entity/Q17505002</t>
  </si>
  <si>
    <t>studie-historicus</t>
  </si>
  <si>
    <t>http://www.wikidata.org/entity/Q901402</t>
  </si>
  <si>
    <t>geograaf</t>
  </si>
  <si>
    <t>http://www.wikidata.org/entity/Q1734662</t>
  </si>
  <si>
    <t>cartograaf</t>
  </si>
  <si>
    <t>http://www.wikidata.org/entity/Q2424814</t>
  </si>
  <si>
    <t>Jan Baptist David</t>
  </si>
  <si>
    <t>http://commons.wikimedia.org/wiki/Special:FilePath/Jan%20Baptist%20David%20-%20lithograph%20by%20Louis%20Tuerlinckx.jpg</t>
  </si>
  <si>
    <t>http://www.wikidata.org/entity/Q2832059</t>
  </si>
  <si>
    <t>Albéric Emmanuel Henri Marie Ghislain Ruzette</t>
  </si>
  <si>
    <t>http://commons.wikimedia.org/wiki/Special:FilePath/Weekblad%20Pallieter%20-%20voorpagina%201924%2023%20baron%20ruzette.jpg</t>
  </si>
  <si>
    <t>http://www.wikidata.org/entity/Q2715338</t>
  </si>
  <si>
    <t>Charles Delcour</t>
  </si>
  <si>
    <t>http://commons.wikimedia.org/wiki/Special:FilePath/Membres%20du%20Minist%C3%A8re%20%28Delcour%29.jpg</t>
  </si>
  <si>
    <t>http://www.wikidata.org/entity/Q3421496</t>
  </si>
  <si>
    <t>Amaat Vyncke</t>
  </si>
  <si>
    <t>http://commons.wikimedia.org/wiki/Special:FilePath/Amaat%20Vyncke.jpg</t>
  </si>
  <si>
    <t>http://www.wikidata.org/entity/Q56036025</t>
  </si>
  <si>
    <t>Servaas Domien Daems</t>
  </si>
  <si>
    <t>http://www.wikidata.org/entity/Q42853596</t>
  </si>
  <si>
    <t>Jan Baptist Vervliet</t>
  </si>
  <si>
    <t>http://www.wikidata.org/entity/Q122974373</t>
  </si>
  <si>
    <t>Clara Andrews</t>
  </si>
  <si>
    <t>http://www.wikidata.org/entity/Q122974430</t>
  </si>
  <si>
    <t>Charles Joseph Pagliano</t>
  </si>
  <si>
    <t>http://www.wikidata.org/entity/Q129121545</t>
  </si>
  <si>
    <t>Oda Verriest</t>
  </si>
  <si>
    <t>http://www.wikidata.org/entity/Q124619468</t>
  </si>
  <si>
    <t>Amelia Vander Stichele</t>
  </si>
  <si>
    <t>http://commons.wikimedia.org/wiki/Special:FilePath/Schilderij%20Henri%20Dobbelaere%20Engelendale.jpg</t>
  </si>
  <si>
    <t>http://www.wikidata.org/entity/Q122971559</t>
  </si>
  <si>
    <t>Gustavus Henricus Jochem</t>
  </si>
  <si>
    <t>http://www.wikidata.org/entity/Q186360</t>
  </si>
  <si>
    <t>verpleegkundige</t>
  </si>
  <si>
    <t>http://www.wikidata.org/entity/Q1646408</t>
  </si>
  <si>
    <t>abdis</t>
  </si>
  <si>
    <t>Unieke namen</t>
  </si>
  <si>
    <t>Samengevoegde Jobs</t>
  </si>
  <si>
    <t>nvt</t>
  </si>
  <si>
    <t>person</t>
  </si>
  <si>
    <t>personLabel</t>
  </si>
  <si>
    <t>institution</t>
  </si>
  <si>
    <t>institutionLabel</t>
  </si>
  <si>
    <t>institutionTypeLabel</t>
  </si>
  <si>
    <t>http://www.wikidata.org/entity/Q118369334</t>
  </si>
  <si>
    <t>Sint-Jozefscollege Tielt</t>
  </si>
  <si>
    <t>Werkgever</t>
  </si>
  <si>
    <t>http://www.wikidata.org/entity/Q118388831</t>
  </si>
  <si>
    <t>Bisschoppelijk college Sint-Joseph</t>
  </si>
  <si>
    <t>http://www.wikidata.org/entity/Q1867263</t>
  </si>
  <si>
    <t>Klein Seminarie Roeselare</t>
  </si>
  <si>
    <t>http://www.wikidata.org/entity/Q644789</t>
  </si>
  <si>
    <t>Katholieke Universiteit te Leuven</t>
  </si>
  <si>
    <t>Onderwijsinstelling</t>
  </si>
  <si>
    <t>http://www.wikidata.org/entity/Q120693890</t>
  </si>
  <si>
    <t>Congregatie van de Zusters van Liefde, Leuven</t>
  </si>
  <si>
    <t>http://www.wikidata.org/entity/Q13744144</t>
  </si>
  <si>
    <t>Klein Seminarie</t>
  </si>
  <si>
    <t>http://www.wikidata.org/entity/Q1807289</t>
  </si>
  <si>
    <t>Sint-Leocollege</t>
  </si>
  <si>
    <t>http://www.wikidata.org/entity/Q119702334</t>
  </si>
  <si>
    <t>Confraternity of the Blessed Sacrament</t>
  </si>
  <si>
    <t>Lid van</t>
  </si>
  <si>
    <t>http://www.wikidata.org/entity/Q118369361</t>
  </si>
  <si>
    <t>Bisschoppelijk Sint-Bernarduscollege Nieuwpoort</t>
  </si>
  <si>
    <t>http://www.wikidata.org/entity/Q2124530</t>
  </si>
  <si>
    <t>Justus Lipsiuscollege</t>
  </si>
  <si>
    <t>http://www.wikidata.org/entity/Q15882061</t>
  </si>
  <si>
    <t>Sint-Vincentiuscollege (Ieper)</t>
  </si>
  <si>
    <t>http://www.wikidata.org/entity/Q2480833</t>
  </si>
  <si>
    <t>Onze-Lieve-Vrouwecollege</t>
  </si>
  <si>
    <t>http://www.wikidata.org/entity/Q118464951</t>
  </si>
  <si>
    <t>Congregatie van de Zusters Paulinen (Kortrijk)</t>
  </si>
  <si>
    <t>http://www.wikidata.org/entity/Q118464788</t>
  </si>
  <si>
    <t>Engels Seminarie</t>
  </si>
  <si>
    <t>http://www.wikidata.org/entity/Q2663876</t>
  </si>
  <si>
    <t>Sint-Lodewijkscollege</t>
  </si>
  <si>
    <t>http://www.wikidata.org/entity/Q118369084</t>
  </si>
  <si>
    <t>Gilde van Sinte Luitgaarde</t>
  </si>
  <si>
    <t>http://www.wikidata.org/entity/Q118456609</t>
  </si>
  <si>
    <t>École normale ecclésiastique des humanités</t>
  </si>
  <si>
    <t>http://www.wikidata.org/entity/Q467025</t>
  </si>
  <si>
    <t>Pauselijke Universiteit Gregoriana</t>
  </si>
  <si>
    <t>http://www.wikidata.org/entity/Q590398</t>
  </si>
  <si>
    <t>bisdom Brugge</t>
  </si>
  <si>
    <t>http://www.wikidata.org/entity/Q2479554</t>
  </si>
  <si>
    <t>Grootseminarie van Brugge</t>
  </si>
  <si>
    <t>http://www.wikidata.org/entity/Q118541114</t>
  </si>
  <si>
    <t>Koninklijk Atheneum Brugge</t>
  </si>
  <si>
    <t>http://www.wikidata.org/entity/Q122877933</t>
  </si>
  <si>
    <t>Congregatie van de Zusters van het Geloof</t>
  </si>
  <si>
    <t>http://www.wikidata.org/entity/Q118390369</t>
  </si>
  <si>
    <t>Leergesticht den Casino</t>
  </si>
  <si>
    <t>http://www.wikidata.org/entity/Q119853947</t>
  </si>
  <si>
    <t>Normaalschool Torhout</t>
  </si>
  <si>
    <t>http://www.wikidata.org/entity/Q2018402</t>
  </si>
  <si>
    <t>Sint-Amandscollege</t>
  </si>
  <si>
    <t>http://www.wikidata.org/entity/Q3977338</t>
  </si>
  <si>
    <t>Dienaressen van de Heilige Geest van de Altijddurende Aanbidding</t>
  </si>
  <si>
    <t>http://www.wikidata.org/entity/Q113988734</t>
  </si>
  <si>
    <t>Sint-Aloysiuscollege</t>
  </si>
  <si>
    <t>http://www.wikidata.org/entity/Q2690997</t>
  </si>
  <si>
    <t>Davidsfonds</t>
  </si>
  <si>
    <t>http://www.wikidata.org/entity/Q120721984</t>
  </si>
  <si>
    <t>Weeshuis Deken Darras</t>
  </si>
  <si>
    <t>http://www.wikidata.org/entity/Q2267896</t>
  </si>
  <si>
    <t>Genootschap voor Geschiedenis te Brugge</t>
  </si>
  <si>
    <t>http://www.wikidata.org/entity/Q81162</t>
  </si>
  <si>
    <t>Magdalen College</t>
  </si>
  <si>
    <t>http://www.wikidata.org/entity/Q670974</t>
  </si>
  <si>
    <t>Société des Bollandistes</t>
  </si>
  <si>
    <t>http://www.wikidata.org/entity/Q253439</t>
  </si>
  <si>
    <t>Koninklijke Nederlandse Akademie van Wetenschappen</t>
  </si>
  <si>
    <t>http://www.wikidata.org/entity/Q1268453</t>
  </si>
  <si>
    <t>Koninklijke Academie voor Nederlandse Taal en Letteren</t>
  </si>
  <si>
    <t>http://www.wikidata.org/entity/Q337526</t>
  </si>
  <si>
    <t>Académie des Inscriptions et Belles-Lettres</t>
  </si>
  <si>
    <t>http://www.wikidata.org/entity/Q3488098</t>
  </si>
  <si>
    <t>Société des antiquaires de Picardie</t>
  </si>
  <si>
    <t>http://www.wikidata.org/entity/Q3488101</t>
  </si>
  <si>
    <t>Société des antiquaires de la Morinie</t>
  </si>
  <si>
    <t>http://www.wikidata.org/entity/Q118370108</t>
  </si>
  <si>
    <t>Staatsnormaalschool voor jongens Brugge</t>
  </si>
  <si>
    <t>http://www.wikidata.org/entity/Q56022443</t>
  </si>
  <si>
    <t>Nationael Tooneel / Nederlandsche Schouwburg</t>
  </si>
  <si>
    <t>http://www.wikidata.org/entity/Q49424872</t>
  </si>
  <si>
    <t>De Veldbloem</t>
  </si>
  <si>
    <t>http://www.wikidata.org/entity/Q168426</t>
  </si>
  <si>
    <t>Universiteit van Münster</t>
  </si>
  <si>
    <t>http://www.wikidata.org/entity/Q1137665</t>
  </si>
  <si>
    <t>Universiteit Gent</t>
  </si>
  <si>
    <t>http://www.wikidata.org/entity/Q1864590</t>
  </si>
  <si>
    <t>Sint-Jozef-Klein-Seminarie</t>
  </si>
  <si>
    <t>http://www.wikidata.org/entity/Q113988659</t>
  </si>
  <si>
    <t>http://www.wikidata.org/entity/Q52380328</t>
  </si>
  <si>
    <t>Congregatie van de Zusters van Liefde, Heule</t>
  </si>
  <si>
    <t>http://www.wikidata.org/entity/Q156598</t>
  </si>
  <si>
    <t>Universiteit Leiden</t>
  </si>
  <si>
    <t>http://www.wikidata.org/entity/Q2499618</t>
  </si>
  <si>
    <t>Koninklijk Atheneum Voskenslaan</t>
  </si>
  <si>
    <t>http://www.wikidata.org/entity/Q2642320</t>
  </si>
  <si>
    <t>Edele Confrérie van het Heilig Bloed</t>
  </si>
  <si>
    <t>http://www.wikidata.org/entity/Q118464734</t>
  </si>
  <si>
    <t>Engels College</t>
  </si>
  <si>
    <t>http://www.wikidata.org/entity/Q654185</t>
  </si>
  <si>
    <t>Willemsfonds</t>
  </si>
  <si>
    <t>http://www.wikidata.org/entity/Q981752</t>
  </si>
  <si>
    <t>http://www.wikidata.org/entity/Q221653</t>
  </si>
  <si>
    <t>Universiteit Utrecht</t>
  </si>
  <si>
    <t>http://www.wikidata.org/entity/Q111317357</t>
  </si>
  <si>
    <t>Heilige Beeldekensgilde</t>
  </si>
  <si>
    <t>http://www.wikidata.org/entity/Q118524331</t>
  </si>
  <si>
    <t>Nationaal Vlaamsch Verbond</t>
  </si>
  <si>
    <t>http://www.wikidata.org/entity/Q118559307</t>
  </si>
  <si>
    <t>Liberale Vlaamsche Bond</t>
  </si>
  <si>
    <t>http://www.wikidata.org/entity/Q83172</t>
  </si>
  <si>
    <t>Russische Academie van Wetenschappen</t>
  </si>
  <si>
    <t>http://www.wikidata.org/entity/Q25399406</t>
  </si>
  <si>
    <t>Religieuzen van de Heilige Familie (Helmet)</t>
  </si>
  <si>
    <t>http://www.wikidata.org/entity/Q2753709</t>
  </si>
  <si>
    <t>Rijksarchief te Gent</t>
  </si>
  <si>
    <t>http://www.wikidata.org/entity/Q20894451</t>
  </si>
  <si>
    <t>Koninklijke Vlaamse Academie voor Taal- en Letterkunde</t>
  </si>
  <si>
    <t>http://www.wikidata.org/entity/Q209344</t>
  </si>
  <si>
    <t>Universiteit Sapienza Rome</t>
  </si>
  <si>
    <t>http://www.wikidata.org/entity/Q114232670</t>
  </si>
  <si>
    <t>Bisschoppelijk College Veurne</t>
  </si>
  <si>
    <t>http://www.wikidata.org/entity/Q4648351</t>
  </si>
  <si>
    <t>Academie voor Schone Kunsten Brugge</t>
  </si>
  <si>
    <t>http://www.wikidata.org/entity/Q7592665</t>
  </si>
  <si>
    <t>St Beuno’s Ignatian Spirituality Centre</t>
  </si>
  <si>
    <t>http://www.wikidata.org/entity/Q115825807</t>
  </si>
  <si>
    <t>Jacob Petyt</t>
  </si>
  <si>
    <t>http://www.wikidata.org/entity/Q3552548</t>
  </si>
  <si>
    <t>Ushaw College</t>
  </si>
  <si>
    <t>http://www.wikidata.org/entity/Q924289</t>
  </si>
  <si>
    <t>King's College</t>
  </si>
  <si>
    <t>http://www.wikidata.org/entity/Q49425918</t>
  </si>
  <si>
    <t>Grootseminarie (Mechelen)</t>
  </si>
  <si>
    <t>http://www.wikidata.org/entity/Q115762138</t>
  </si>
  <si>
    <t>Commission historique du Nord</t>
  </si>
  <si>
    <t>http://www.wikidata.org/entity/Q81170</t>
  </si>
  <si>
    <t>Oriel College</t>
  </si>
  <si>
    <t>http://www.wikidata.org/entity/Q2619680</t>
  </si>
  <si>
    <t>Desclée de Brouwer</t>
  </si>
  <si>
    <t>http://www.wikidata.org/entity/Q2985460</t>
  </si>
  <si>
    <t>Comité flamand de France</t>
  </si>
  <si>
    <t>http://www.wikidata.org/entity/Q122901389</t>
  </si>
  <si>
    <t>Congregatie van de Zusters van de Heilige Familie, Moorsele</t>
  </si>
  <si>
    <t>http://www.wikidata.org/entity/Q113951185</t>
  </si>
  <si>
    <t>Dietsche Biehalle</t>
  </si>
  <si>
    <t>http://www.wikidata.org/entity/Q1301699</t>
  </si>
  <si>
    <t>Koninklijke Vlaamse Academie van België voor Wetenschappen en Kunsten</t>
  </si>
  <si>
    <t>http://www.wikidata.org/entity/Q50492927</t>
  </si>
  <si>
    <t>Davidsfonds afdeling Tielt</t>
  </si>
  <si>
    <t>http://www.wikidata.org/entity/Q2237463</t>
  </si>
  <si>
    <t>Maatschappij der Nederlandse Letterkunde</t>
  </si>
  <si>
    <t>http://www.wikidata.org/entity/Q27895221</t>
  </si>
  <si>
    <t>Sint-Pieterscollege</t>
  </si>
  <si>
    <t>http://www.wikidata.org/entity/Q726678</t>
  </si>
  <si>
    <t>Les Amis Philanthropes</t>
  </si>
  <si>
    <t>http://www.wikidata.org/entity/Q4325830</t>
  </si>
  <si>
    <t>Sint-Romboutscollege</t>
  </si>
  <si>
    <t>http://www.wikidata.org/entity/Q2822455</t>
  </si>
  <si>
    <t>Koninklijke Academie voor Schone Kunsten van Brussel</t>
  </si>
  <si>
    <t>http://www.wikidata.org/entity/Q14906150</t>
  </si>
  <si>
    <t>Koninklijke Commissie voor Monumenten en Landschappen</t>
  </si>
  <si>
    <t>http://www.wikidata.org/entity/Q213322</t>
  </si>
  <si>
    <t>Victoria and Albert Museum</t>
  </si>
  <si>
    <t>http://www.wikidata.org/entity/Q50412149</t>
  </si>
  <si>
    <t>Stadsarchief Leuven</t>
  </si>
  <si>
    <t>http://www.wikidata.org/entity/Q47113423</t>
  </si>
  <si>
    <t>Sint-Antoniuscollege te Ronse</t>
  </si>
  <si>
    <t>http://www.wikidata.org/entity/Q125503330</t>
  </si>
  <si>
    <t>Stedelijke Academie voor Schone Kunsten (Roeselare)</t>
  </si>
  <si>
    <t>http://www.wikidata.org/entity/Q52224323</t>
  </si>
  <si>
    <t>Congregatie van de Zusters van de Heilige Familie, Ieper</t>
  </si>
  <si>
    <t>http://www.wikidata.org/entity/Q5070708</t>
  </si>
  <si>
    <t>Chance Brothers</t>
  </si>
  <si>
    <t>http://www.wikidata.org/entity/Q6970481</t>
  </si>
  <si>
    <t>National Art Library</t>
  </si>
  <si>
    <t>http://www.wikidata.org/entity/Q118495392</t>
  </si>
  <si>
    <t>Sint-Jozefscollege (Aarschot)</t>
  </si>
  <si>
    <t>http://www.wikidata.org/entity/Q120727328</t>
  </si>
  <si>
    <t>Grand séminaire de Cambrai</t>
  </si>
  <si>
    <t>http://www.wikidata.org/entity/Q120727356</t>
  </si>
  <si>
    <t>Petit séminaire de Cambrai</t>
  </si>
  <si>
    <t>http://www.wikidata.org/entity/Q1334582</t>
  </si>
  <si>
    <t>Universiteit van Luik</t>
  </si>
  <si>
    <t>http://www.wikidata.org/entity/Q2124852</t>
  </si>
  <si>
    <t>Koninklijke Academie voor Geneeskunde van België</t>
  </si>
  <si>
    <t>http://www.wikidata.org/entity/Q2562388</t>
  </si>
  <si>
    <t>Engels Klooster</t>
  </si>
  <si>
    <t>http://www.wikidata.org/entity/Q2185331</t>
  </si>
  <si>
    <t>Sint-Janscollege</t>
  </si>
  <si>
    <t>http://www.wikidata.org/entity/Q118744262</t>
  </si>
  <si>
    <t>Swighenden Eede</t>
  </si>
  <si>
    <t>http://www.wikidata.org/entity/Q336968</t>
  </si>
  <si>
    <t>Koninklijk Conservatorium Brussel</t>
  </si>
  <si>
    <t>http://www.wikidata.org/entity/Q45031341</t>
  </si>
  <si>
    <t>Congregatie van de Broeders van Sint-Franciscus Xaverius</t>
  </si>
  <si>
    <t>http://www.wikidata.org/entity/Q2237527</t>
  </si>
  <si>
    <t>Berthoutinstituut Klein Seminarie</t>
  </si>
  <si>
    <t>http://www.wikidata.org/entity/Q123719897</t>
  </si>
  <si>
    <t>Rijksmiddelbare en Rijkstechnische School, Ieper</t>
  </si>
  <si>
    <t>http://www.wikidata.org/entity/Q2469560</t>
  </si>
  <si>
    <t>Sint-Catharinacollege</t>
  </si>
  <si>
    <t>http://www.wikidata.org/entity/Q337580</t>
  </si>
  <si>
    <t>Académie royale des sciences, des lettres et des beaux-arts de Belgique</t>
  </si>
  <si>
    <t>http://www.wikidata.org/entity/Q245247</t>
  </si>
  <si>
    <t>King's College London</t>
  </si>
  <si>
    <t>http://www.wikidata.org/entity/Q84961226</t>
  </si>
  <si>
    <t>Stedelijk Conservatorium Brugge</t>
  </si>
  <si>
    <t>http://www.wikidata.org/entity/Q52215696</t>
  </si>
  <si>
    <t>Bisschoppelijke Normaalschool Onze-Lieve-Vrouw-Presentatie</t>
  </si>
  <si>
    <t>http://www.wikidata.org/entity/Q2205233</t>
  </si>
  <si>
    <t>Koninklijk Instituut Spermalie</t>
  </si>
  <si>
    <t>http://www.wikidata.org/entity/Q21004456</t>
  </si>
  <si>
    <t>Oudheidkundig Genootschap van Brugge</t>
  </si>
  <si>
    <t>http://www.wikidata.org/entity/Q1816228</t>
  </si>
  <si>
    <t>Rijksakademie van beeldende kunsten</t>
  </si>
  <si>
    <t>http://www.wikidata.org/entity/Q118612494</t>
  </si>
  <si>
    <t>Congregatie van de Zusters van de Kindsheid van Maria Ter Spermalie</t>
  </si>
  <si>
    <t>http://www.wikidata.org/entity/Q42197335</t>
  </si>
  <si>
    <t>Met Tijd en Vlijt</t>
  </si>
  <si>
    <t>http://www.wikidata.org/entity/Q33100553</t>
  </si>
  <si>
    <t>Koninklijk Atheneum Antwerpen</t>
  </si>
  <si>
    <t>http://www.wikidata.org/entity/Q2111331</t>
  </si>
  <si>
    <t>Normaalschool van Lier</t>
  </si>
  <si>
    <t>http://www.wikidata.org/entity/Q2921791</t>
  </si>
  <si>
    <t>De Vlaamsche Vlagge</t>
  </si>
  <si>
    <t>http://www.wikidata.org/entity/Q1477551</t>
  </si>
  <si>
    <t>Katholieke Universiteit Rijsel</t>
  </si>
  <si>
    <t>http://www.wikidata.org/entity/Q209842</t>
  </si>
  <si>
    <t>Sorbonne Universiteit van Parijs</t>
  </si>
  <si>
    <t>http://www.wikidata.org/entity/Q50973665</t>
  </si>
  <si>
    <t>Congregatie van de Zusters van de H. Vincentius a Paulo (Moerzeke)</t>
  </si>
  <si>
    <t>http://www.wikidata.org/entity/Q118501218</t>
  </si>
  <si>
    <t>Sint-Jozefscollege Sint-Niklaas</t>
  </si>
  <si>
    <t>http://www.wikidata.org/entity/Q2496094</t>
  </si>
  <si>
    <t>Universiteit van Dublin</t>
  </si>
  <si>
    <t>http://www.wikidata.org/entity/Q121047069</t>
  </si>
  <si>
    <t>Zondagsscholen, Brugge</t>
  </si>
  <si>
    <t>http://www.wikidata.org/entity/Q109663038</t>
  </si>
  <si>
    <t>C.L van Langenhuysen</t>
  </si>
  <si>
    <t>http://www.wikidata.org/entity/Q49595150</t>
  </si>
  <si>
    <t>Grootseminarie, Gent</t>
  </si>
  <si>
    <t>http://www.wikidata.org/entity/Q2061988</t>
  </si>
  <si>
    <t>Koninklijk Conservatorium Gent</t>
  </si>
  <si>
    <t>http://www.wikidata.org/entity/Q119767161</t>
  </si>
  <si>
    <t>Sint-Jozefsinstituut Torhout</t>
  </si>
  <si>
    <t>http://www.wikidata.org/entity/Q1247373</t>
  </si>
  <si>
    <t>Harrow School</t>
  </si>
  <si>
    <t>http://www.wikidata.org/entity/Q2936361</t>
  </si>
  <si>
    <t>Erasmiaans Gymnasium</t>
  </si>
  <si>
    <t>http://www.wikidata.org/entity/Q125535800</t>
  </si>
  <si>
    <t>Congregatie van de Zusters van de H. Vincentius a Paulo (Anzegem)</t>
  </si>
  <si>
    <t>http://www.wikidata.org/entity/Q792369</t>
  </si>
  <si>
    <t>Defensie van België</t>
  </si>
  <si>
    <t>http://www.wikidata.org/entity/Q2304374</t>
  </si>
  <si>
    <t>Sint-Jan Berchmanscollege</t>
  </si>
  <si>
    <t>http://www.wikidata.org/entity/Q745967</t>
  </si>
  <si>
    <t>Christ Church</t>
  </si>
  <si>
    <t>http://www.wikidata.org/entity/Q875554</t>
  </si>
  <si>
    <t>Bisdom Salford</t>
  </si>
  <si>
    <t>http://www.wikidata.org/entity/Q120721459</t>
  </si>
  <si>
    <t>Klein Seminarie Sint-Truiden</t>
  </si>
  <si>
    <t>http://www.wikidata.org/entity/Q120721497</t>
  </si>
  <si>
    <t>Grootseminarie Luik</t>
  </si>
  <si>
    <t>http://www.wikidata.org/entity/Q120721543</t>
  </si>
  <si>
    <t>Petit Séminaire de Saint-Roch (Ferrières)</t>
  </si>
  <si>
    <t>http://www.wikidata.org/entity/Q2986729</t>
  </si>
  <si>
    <t>Koninklijke Commissie voor Toponymie en Dialectologie</t>
  </si>
  <si>
    <t>http://www.wikidata.org/entity/Q850730</t>
  </si>
  <si>
    <t>Rijksuniversiteit Groningen</t>
  </si>
  <si>
    <t>http://www.wikidata.org/entity/Q2327757</t>
  </si>
  <si>
    <t>Sint-Jozefscollege</t>
  </si>
  <si>
    <t>http://www.wikidata.org/entity/Q543804</t>
  </si>
  <si>
    <t>Deutsche Akademie der Wissenschaften Leopoldina</t>
  </si>
  <si>
    <t>http://www.wikidata.org/entity/Q2822396</t>
  </si>
  <si>
    <t>Accademia delle Scienze di Torino</t>
  </si>
  <si>
    <t>http://www.wikidata.org/entity/Q61679584</t>
  </si>
  <si>
    <t>http://www.wikidata.org/entity/Q118522719</t>
  </si>
  <si>
    <t>Koninklijk Atheneum Hasselt</t>
  </si>
  <si>
    <t>http://www.wikidata.org/entity/Q2869314</t>
  </si>
  <si>
    <t>Athénée Royal de Namur</t>
  </si>
  <si>
    <t>http://www.wikidata.org/entity/Q2470103</t>
  </si>
  <si>
    <t>Sint-Barbaracollege</t>
  </si>
  <si>
    <t>http://www.wikidata.org/entity/Q154804</t>
  </si>
  <si>
    <t>Universiteit Leipzig</t>
  </si>
  <si>
    <t>http://www.wikidata.org/entity/Q20754971</t>
  </si>
  <si>
    <t>Vrije Universiteit Brussel (voor 1970)</t>
  </si>
  <si>
    <t>http://www.wikidata.org/entity/Q3937018</t>
  </si>
  <si>
    <t>Stanislascollege Tienen</t>
  </si>
  <si>
    <t>http://www.wikidata.org/entity/Q113835765</t>
  </si>
  <si>
    <t>Fédération des cercles catholiques</t>
  </si>
  <si>
    <t>http://www.wikidata.org/entity/Q28521117</t>
  </si>
  <si>
    <t>Théodore van de Walle</t>
  </si>
  <si>
    <t>http://www.wikidata.org/entity/Q4431761</t>
  </si>
  <si>
    <t>De Schelde</t>
  </si>
  <si>
    <t>http://www.wikidata.org/entity/Q8019579</t>
  </si>
  <si>
    <t>William Turner</t>
  </si>
  <si>
    <t>http://www.wikidata.org/entity/Q120555736</t>
  </si>
  <si>
    <t>Koninklijk Atheneum Moeskroen</t>
  </si>
  <si>
    <t>http://www.wikidata.org/entity/Q118351827</t>
  </si>
  <si>
    <t>Bisschoppelijk college Onze-Lieve-Vrouw Ter Duinen</t>
  </si>
  <si>
    <t>http://www.wikidata.org/entity/Q2746779</t>
  </si>
  <si>
    <t>Koninklijke Academie voor Schone Kunsten van Antwerpen</t>
  </si>
  <si>
    <t>http://www.wikidata.org/entity/Q1930349</t>
  </si>
  <si>
    <t>Rechtbank van eerste aanleg</t>
  </si>
  <si>
    <t>http://www.wikidata.org/entity/Q120653276</t>
  </si>
  <si>
    <t>Congregatie van de Zwartzusters van Bethel osa (Brugge)</t>
  </si>
  <si>
    <t>http://www.wikidata.org/entity/Q120617895</t>
  </si>
  <si>
    <t>Congregatie van de Dienstmaagden van de Zaligmaker</t>
  </si>
  <si>
    <t>http://www.wikidata.org/entity/Q131926511</t>
  </si>
  <si>
    <t>Congregatie van de Zusters Augustinessen, Menen</t>
  </si>
  <si>
    <t>http://www.wikidata.org/entity/Q120922737</t>
  </si>
  <si>
    <t>Congregatie van de Zusters van de Heilige Gehoorzaamheid, Veurne/De Panne</t>
  </si>
  <si>
    <t>http://www.wikidata.org/entity/Q805285</t>
  </si>
  <si>
    <t>Balliol College</t>
  </si>
  <si>
    <t>http://www.wikidata.org/entity/Q81087</t>
  </si>
  <si>
    <t>University College</t>
  </si>
  <si>
    <t>http://www.wikidata.org/entity/Q1942100</t>
  </si>
  <si>
    <t>Koninklijk Atheneum Redingenhof Leuven</t>
  </si>
  <si>
    <t>http://www.wikidata.org/entity/Q122898958</t>
  </si>
  <si>
    <t>Congregatie van de Zusters van Maria, Izegem</t>
  </si>
  <si>
    <t>http://www.wikidata.org/entity/Q120855954</t>
  </si>
  <si>
    <t>Sint-Juliaansgesticht Brugge</t>
  </si>
  <si>
    <t>http://www.wikidata.org/entity/Q118645274</t>
  </si>
  <si>
    <t>De Jonge Taalvrienden</t>
  </si>
  <si>
    <t>http://www.wikidata.org/entity/Q1471477</t>
  </si>
  <si>
    <t>Koninklijk Museum voor Schone Kunsten Antwerpen</t>
  </si>
  <si>
    <t>http://www.wikidata.org/entity/Q13924486</t>
  </si>
  <si>
    <t>http://www.wikidata.org/entity/Q118192664</t>
  </si>
  <si>
    <t>Félicie d'Anethan</t>
  </si>
  <si>
    <t>http://www.wikidata.org/entity/Q118197697</t>
  </si>
  <si>
    <t>Marie-Caroline Germaine de Chaumontel</t>
  </si>
  <si>
    <t>http://www.wikidata.org/entity/Q118213723</t>
  </si>
  <si>
    <t>Jeanne Françoise Marie de Biolley</t>
  </si>
  <si>
    <t>http://www.wikidata.org/entity/Q118220602</t>
  </si>
  <si>
    <t>Agnes Maria Swarbreck</t>
  </si>
  <si>
    <t>http://www.wikidata.org/entity/Q118395385</t>
  </si>
  <si>
    <t>Instituut Amerlinck</t>
  </si>
  <si>
    <t>http://www.wikidata.org/entity/Q12995</t>
  </si>
  <si>
    <t>Kortrijk</t>
  </si>
  <si>
    <t>http://www.wikidata.org/entity/Q120831037</t>
  </si>
  <si>
    <t>Sint-Norbertusinstituut Antwerpen</t>
  </si>
  <si>
    <t>http://www.wikidata.org/entity/Q120706320</t>
  </si>
  <si>
    <t>Sint-Aloysiusinstituut</t>
  </si>
  <si>
    <t>http://www.wikidata.org/entity/Q28549650</t>
  </si>
  <si>
    <t>Koninklijke Academie voor Schone Kunsten van Kortrijk</t>
  </si>
  <si>
    <t>http://www.wikidata.org/entity/Q45262579</t>
  </si>
  <si>
    <t>Eigenaars- en Landbouwersbond van het Arrondissement Brugge</t>
  </si>
  <si>
    <t>http://www.wikidata.org/entity/Q2048489</t>
  </si>
  <si>
    <t>Sint-Jozefcollege Turnhout</t>
  </si>
  <si>
    <t>http://www.wikidata.org/entity/Q925942</t>
  </si>
  <si>
    <t>Middle Temple</t>
  </si>
  <si>
    <t>http://www.wikidata.org/entity/Q119626889</t>
  </si>
  <si>
    <t>Vereenigde Vrienden</t>
  </si>
  <si>
    <t>http://www.wikidata.org/entity/Q183231</t>
  </si>
  <si>
    <t>Bank of England</t>
  </si>
  <si>
    <t>http://www.wikidata.org/entity/Q120462060</t>
  </si>
  <si>
    <t>Sint-Annagesticht</t>
  </si>
  <si>
    <t>http://www.wikidata.org/entity/Q2005895</t>
  </si>
  <si>
    <t>Amerikaans College</t>
  </si>
  <si>
    <t>http://www.wikidata.org/entity/Q193196</t>
  </si>
  <si>
    <t>University College London</t>
  </si>
  <si>
    <t>http://www.wikidata.org/entity/Q2139232</t>
  </si>
  <si>
    <t>Onze-Lieve-Vrouwehospitaal</t>
  </si>
  <si>
    <t>http://www.wikidata.org/entity/Q7587793</t>
  </si>
  <si>
    <t>St. Edmund's College, Ware</t>
  </si>
  <si>
    <t>http://www.wikidata.org/entity/Q231768</t>
  </si>
  <si>
    <t>Zwarte Zusters van de H. Augustinus</t>
  </si>
  <si>
    <t>http://www.wikidata.org/entity/Q63122451</t>
  </si>
  <si>
    <t>Stadsarchief Kortrijk</t>
  </si>
  <si>
    <t>http://www.wikidata.org/entity/Q120979288</t>
  </si>
  <si>
    <t>Congregatie van de Zwarte Zusters van Oudenaarde, Kortrijk</t>
  </si>
  <si>
    <t>http://www.wikidata.org/entity/Q122904531</t>
  </si>
  <si>
    <t>Sluisch Weekblad</t>
  </si>
  <si>
    <t>http://www.wikidata.org/entity/Q2564527</t>
  </si>
  <si>
    <t>Erfgoedbibliotheek Hendrik Conscience</t>
  </si>
  <si>
    <t>http://www.wikidata.org/entity/Q25057323</t>
  </si>
  <si>
    <t>Koninklijke Commissie voor Geschiedenis</t>
  </si>
  <si>
    <t>http://www.wikidata.org/entity/Q219615</t>
  </si>
  <si>
    <t>Universiteit van Barcelona</t>
  </si>
  <si>
    <t>http://www.wikidata.org/entity/Q768224</t>
  </si>
  <si>
    <t>Universiteit van Valladolid</t>
  </si>
  <si>
    <t>http://www.wikidata.org/entity/Q120854550</t>
  </si>
  <si>
    <t>Sint-Lodewijksschool Kortrijk</t>
  </si>
  <si>
    <t>http://www.wikidata.org/entity/Q57706</t>
  </si>
  <si>
    <t>Pauselijke Zoeaven</t>
  </si>
  <si>
    <t>http://www.wikidata.org/entity/Q118574791</t>
  </si>
  <si>
    <t>De Tael is gan(t)sch het Volk</t>
  </si>
  <si>
    <t>http://www.wikidata.org/entity/Q165980</t>
  </si>
  <si>
    <t>Universiteit van Wenen</t>
  </si>
  <si>
    <t>http://www.wikidata.org/entity/Q15284</t>
  </si>
  <si>
    <t>gemeente</t>
  </si>
  <si>
    <t>http://www.wikidata.org/entity/Q29016912</t>
  </si>
  <si>
    <t>FelixArchief</t>
  </si>
  <si>
    <t>http://www.wikidata.org/entity/Q2329939</t>
  </si>
  <si>
    <t>Aardenburg</t>
  </si>
  <si>
    <t>http://www.wikidata.org/entity/Q118541225</t>
  </si>
  <si>
    <t>Hogere Handelsschool Leuven</t>
  </si>
  <si>
    <t>http://www.wikidata.org/entity/Q106556417</t>
  </si>
  <si>
    <t>Koninklijke Geschied- en Oudheidkundige Kring van Kortrijk</t>
  </si>
  <si>
    <t>http://www.wikidata.org/entity/Q120729028</t>
  </si>
  <si>
    <t>Congregatie van de Religieuzen van Sint-Andreas van Ramegnies-Chin, Assebroek</t>
  </si>
  <si>
    <t>http://www.wikidata.org/entity/Q3039683</t>
  </si>
  <si>
    <t>Biekorf.</t>
  </si>
  <si>
    <t>http://www.wikidata.org/entity/Q337421</t>
  </si>
  <si>
    <t>Acadèmia de Bones Lletres de Barcelona</t>
  </si>
  <si>
    <t>http://www.wikidata.org/entity/Q120837774</t>
  </si>
  <si>
    <t>Staatsnormaalschool Lier</t>
  </si>
  <si>
    <t>http://www.wikidata.org/entity/Q96391437</t>
  </si>
  <si>
    <t>Maetschappy der Vlaemsche Bibliophilen</t>
  </si>
  <si>
    <t>http://www.wikidata.org/entity/Q11213091</t>
  </si>
  <si>
    <t>vredegerecht</t>
  </si>
  <si>
    <t>http://www.wikidata.org/entity/Q336977</t>
  </si>
  <si>
    <t>Guido Gezelle</t>
  </si>
  <si>
    <t>http://www.wikidata.org/entity/Q120472465</t>
  </si>
  <si>
    <t>St. Cuthbert's College</t>
  </si>
  <si>
    <t>http://www.wikidata.org/entity/Q157575</t>
  </si>
  <si>
    <t>Universiteit van Straatsburg</t>
  </si>
  <si>
    <t>http://www.wikidata.org/entity/Q214341</t>
  </si>
  <si>
    <t>Universiteit van Amsterdam</t>
  </si>
  <si>
    <t>http://www.wikidata.org/entity/Q120835965</t>
  </si>
  <si>
    <t>Congregatie van de Zusters Dominicanessen van de Heilige Catharina van Siena</t>
  </si>
  <si>
    <t>http://www.wikidata.org/entity/Q120835988</t>
  </si>
  <si>
    <t>Gesticht Sint-Dominicus</t>
  </si>
  <si>
    <t>http://www.wikidata.org/entity/Q21592577</t>
  </si>
  <si>
    <t>Aix-Marseille University (1896-1971)</t>
  </si>
  <si>
    <t>http://www.wikidata.org/entity/Q3380726</t>
  </si>
  <si>
    <t>Hoofdstedelijk atheneum Karel Buls</t>
  </si>
  <si>
    <t>http://www.wikidata.org/entity/Q3465633</t>
  </si>
  <si>
    <t>Sint-Trudoabdij</t>
  </si>
  <si>
    <t>http://www.wikidata.org/entity/Q59962242</t>
  </si>
  <si>
    <t>Bibliotheek Rotterdam</t>
  </si>
  <si>
    <t>http://www.wikidata.org/entity/Q19952814</t>
  </si>
  <si>
    <t>Académie des sciences, agriculture, arts et belles-lettres d'Aix</t>
  </si>
  <si>
    <t>http://www.wikidata.org/entity/Q17626118</t>
  </si>
  <si>
    <t>Celtic dinner</t>
  </si>
  <si>
    <t>http://www.wikidata.org/entity/Q2556138</t>
  </si>
  <si>
    <t>Raad van Vlaanderen</t>
  </si>
  <si>
    <t>http://www.wikidata.org/entity/Q1165363</t>
  </si>
  <si>
    <t>Félibrige</t>
  </si>
  <si>
    <t>http://www.wikidata.org/entity/Q82133</t>
  </si>
  <si>
    <t>Bodleian Library</t>
  </si>
  <si>
    <t>http://www.wikidata.org/entity/Q2789347</t>
  </si>
  <si>
    <t>Lemmensinstituut</t>
  </si>
  <si>
    <t>http://www.wikidata.org/entity/Q28659929</t>
  </si>
  <si>
    <t>Société littéraire et scientifique de Castres</t>
  </si>
  <si>
    <t>http://www.wikidata.org/entity/Q118547498</t>
  </si>
  <si>
    <t>Zuidnederlandsche Maatschappij van Taalkunde</t>
  </si>
  <si>
    <t>http://www.wikidata.org/entity/Q2822312</t>
  </si>
  <si>
    <t>Académie de Marseille</t>
  </si>
  <si>
    <t>http://www.wikidata.org/entity/Q792293</t>
  </si>
  <si>
    <t>Federatie van Katholieke Kringen en Conservatieve Verenigingen</t>
  </si>
  <si>
    <t>http://www.wikidata.org/entity/Q41992214</t>
  </si>
  <si>
    <t>Heilige Maagdcollege</t>
  </si>
  <si>
    <t>http://www.wikidata.org/entity/Q3151805</t>
  </si>
  <si>
    <t>Institut Saint-Boniface-Parnasse</t>
  </si>
  <si>
    <t>http://www.wikidata.org/entity/Q2109623</t>
  </si>
  <si>
    <t>Séminaire Saint-Sulpice</t>
  </si>
  <si>
    <t>http://www.wikidata.org/entity/Q1391755</t>
  </si>
  <si>
    <t>Universiteit Namen</t>
  </si>
  <si>
    <t>http://www.wikidata.org/entity/Q2983632</t>
  </si>
  <si>
    <t>Collège Notre-Dame de la Tombe</t>
  </si>
  <si>
    <t>http://www.wikidata.org/entity/Q2740329</t>
  </si>
  <si>
    <t>Rijksarchief te Brugge</t>
  </si>
  <si>
    <t>http://www.wikidata.org/entity/Q4728794</t>
  </si>
  <si>
    <t>All Hallows College</t>
  </si>
  <si>
    <t>http://www.wikidata.org/entity/Q120650189</t>
  </si>
  <si>
    <t>Congregatie van de Grauwzusters Franciscanessen (Roeselare)</t>
  </si>
  <si>
    <t>http://www.wikidata.org/entity/Q123690066</t>
  </si>
  <si>
    <t>Engels wezenhuis</t>
  </si>
  <si>
    <t>http://www.wikidata.org/entity/Q120483446</t>
  </si>
  <si>
    <t>De Toekomst</t>
  </si>
  <si>
    <t>http://www.wikidata.org/entity/Q3487850</t>
  </si>
  <si>
    <t>Société d'émulation</t>
  </si>
  <si>
    <t>http://www.wikidata.org/entity/Q3240440</t>
  </si>
  <si>
    <t>La Ligue de l’Enseignement et de l’Education permanente</t>
  </si>
  <si>
    <t>http://www.wikidata.org/entity/Q5546853</t>
  </si>
  <si>
    <t>Koninklijke Academie voor Schone Kunsten van Gent</t>
  </si>
  <si>
    <t>http://www.wikidata.org/entity/Q64040765</t>
  </si>
  <si>
    <t>De Grondwet</t>
  </si>
  <si>
    <t>http://www.wikidata.org/entity/Q595802</t>
  </si>
  <si>
    <t>Museum Plantin-Moretus</t>
  </si>
  <si>
    <t>http://www.wikidata.org/entity/Q118559268</t>
  </si>
  <si>
    <t>Koninklijk Atheneum Brussel</t>
  </si>
  <si>
    <t>http://www.wikidata.org/entity/Q41726</t>
  </si>
  <si>
    <t>vrijmetselarij</t>
  </si>
  <si>
    <t>http://www.wikidata.org/entity/Q33117</t>
  </si>
  <si>
    <t>Zusters van Sint-Jozef</t>
  </si>
  <si>
    <t>http://www.wikidata.org/entity/Q34433</t>
  </si>
  <si>
    <t>Universiteit van Oxford</t>
  </si>
  <si>
    <t>http://www.wikidata.org/entity/Q123556179</t>
  </si>
  <si>
    <t>Clarissen - Monasterium van de H. Jozef Leuven/Kessel-Lo</t>
  </si>
  <si>
    <t>http://www.wikidata.org/entity/Q170027</t>
  </si>
  <si>
    <t>Universiteit van Londen</t>
  </si>
  <si>
    <t>http://www.wikidata.org/entity/Q30692913</t>
  </si>
  <si>
    <t>Gilde van Sint-Thomas en Sint-Lucas</t>
  </si>
  <si>
    <t>http://www.wikidata.org/entity/Q52380301</t>
  </si>
  <si>
    <t>Congregatie van de Zusters van de Heilige Vincentius a Paulo, Kortemark</t>
  </si>
  <si>
    <t>http://www.wikidata.org/entity/Q1180348</t>
  </si>
  <si>
    <t>De Tijd</t>
  </si>
  <si>
    <t>http://www.wikidata.org/entity/Q120999387</t>
  </si>
  <si>
    <t>Sint-Gregoriuscollege, Ledeberg</t>
  </si>
  <si>
    <t>http://www.wikidata.org/entity/Q120999938</t>
  </si>
  <si>
    <t>Sint-Camillusschool</t>
  </si>
  <si>
    <t>http://www.wikidata.org/entity/Q125965599</t>
  </si>
  <si>
    <t>Koninklijk Atheneum Mechelen</t>
  </si>
  <si>
    <t>http://www.wikidata.org/entity/Q123425604</t>
  </si>
  <si>
    <t>Comité des Dames Zélatrices de l'oeuvre des Missions du Pôle Nord</t>
  </si>
  <si>
    <t>http://www.wikidata.org/entity/Q482622</t>
  </si>
  <si>
    <t>Genootschap voor Buitenlandse Missiën te Parijs</t>
  </si>
  <si>
    <t>http://www.wikidata.org/entity/Q192621</t>
  </si>
  <si>
    <t>The Daily Telegraph</t>
  </si>
  <si>
    <t>http://www.wikidata.org/entity/Q1362697</t>
  </si>
  <si>
    <t>Zusters van Onze-Lieve-Vrouw van Namen</t>
  </si>
  <si>
    <t>http://www.wikidata.org/entity/Q52224437</t>
  </si>
  <si>
    <t>Broeders van de Christelijke Scholen, district Vlaanderen</t>
  </si>
  <si>
    <t>http://www.wikidata.org/entity/Q5053225</t>
  </si>
  <si>
    <t>Catholic Record Society</t>
  </si>
  <si>
    <t>http://www.wikidata.org/entity/Q1518472</t>
  </si>
  <si>
    <t>Catholic University of Ireland</t>
  </si>
  <si>
    <t>http://www.wikidata.org/entity/Q2957897</t>
  </si>
  <si>
    <t>Sint-Franciscus-Xaveriusinstituut (Brugge)</t>
  </si>
  <si>
    <t>http://www.wikidata.org/entity/Q123413231</t>
  </si>
  <si>
    <t>Congrégation du Très Saint Nom de Marie</t>
  </si>
  <si>
    <t>http://www.wikidata.org/entity/Q2294995</t>
  </si>
  <si>
    <t>Clongowes Wood College</t>
  </si>
  <si>
    <t>http://www.wikidata.org/entity/Q125776794</t>
  </si>
  <si>
    <t>God en recht</t>
  </si>
  <si>
    <t>http://www.wikidata.org/entity/Q916458</t>
  </si>
  <si>
    <t>Pauselijk Romeins Seminarie</t>
  </si>
  <si>
    <t>http://www.wikidata.org/entity/Q714717</t>
  </si>
  <si>
    <t>Christ's College</t>
  </si>
  <si>
    <t>http://www.wikidata.org/entity/Q723551</t>
  </si>
  <si>
    <t>British Academy</t>
  </si>
  <si>
    <t>http://www.wikidata.org/entity/Q121078675</t>
  </si>
  <si>
    <t>Sint-Elisabeth Hospitaal</t>
  </si>
  <si>
    <t>http://www.wikidata.org/entity/Q121078697</t>
  </si>
  <si>
    <t>Psychiatrisch Centrum Sint-Amedeus, Mortsel</t>
  </si>
  <si>
    <t>http://www.wikidata.org/entity/Q52215729</t>
  </si>
  <si>
    <t>Sint-Jozefinstituut, Sint-Niklaas</t>
  </si>
  <si>
    <t>http://www.wikidata.org/entity/Q125919486</t>
  </si>
  <si>
    <t>Klein Seminarie, Saint-Roch</t>
  </si>
  <si>
    <t>http://www.wikidata.org/entity/Q95909676</t>
  </si>
  <si>
    <t>Collège Saint-Quirin</t>
  </si>
  <si>
    <t>http://www.wikidata.org/entity/Q35794</t>
  </si>
  <si>
    <t>Universiteit van Cambridge</t>
  </si>
  <si>
    <t>http://www.wikidata.org/entity/Q2000918</t>
  </si>
  <si>
    <t>Jules de Villenfagne de Vogelsanck</t>
  </si>
  <si>
    <t>http://www.wikidata.org/entity/Q6410900</t>
  </si>
  <si>
    <t>King's College School</t>
  </si>
  <si>
    <t>http://www.wikidata.org/entity/Q3560910</t>
  </si>
  <si>
    <t>Highgate School</t>
  </si>
  <si>
    <t>http://www.wikidata.org/entity/Q763499</t>
  </si>
  <si>
    <t>Belgisch Pauselijk College</t>
  </si>
  <si>
    <t>http://www.wikidata.org/entity/Q120787149</t>
  </si>
  <si>
    <t>Congregatie van de Zusters van Sint-Niklaas, Augustinessen, Kortrijk</t>
  </si>
  <si>
    <t>http://www.wikidata.org/entity/Q120330461</t>
  </si>
  <si>
    <t>Congregatie van de Zusters van de Heilige Jozef, Oostende</t>
  </si>
  <si>
    <t>ID</t>
  </si>
  <si>
    <t>Label</t>
  </si>
  <si>
    <t>Type</t>
  </si>
  <si>
    <t>Beroep</t>
  </si>
  <si>
    <t>Afbeelding</t>
  </si>
  <si>
    <t>Q2424814</t>
  </si>
  <si>
    <t>Persoon</t>
  </si>
  <si>
    <t>Q55232762</t>
  </si>
  <si>
    <t>Geen afbeelding beschikbaar</t>
  </si>
  <si>
    <t>Q28973666</t>
  </si>
  <si>
    <t>Q13769746</t>
  </si>
  <si>
    <t>Q51168899</t>
  </si>
  <si>
    <t>Q5580544</t>
  </si>
  <si>
    <t>Q115813025</t>
  </si>
  <si>
    <t>Q56036023</t>
  </si>
  <si>
    <t>Q15956</t>
  </si>
  <si>
    <t>Q61506427</t>
  </si>
  <si>
    <t>Q721772</t>
  </si>
  <si>
    <t>Q115818781</t>
  </si>
  <si>
    <t>Q2134167</t>
  </si>
  <si>
    <t>Q75320317</t>
  </si>
  <si>
    <t>Q118766019</t>
  </si>
  <si>
    <t>Q20604626</t>
  </si>
  <si>
    <t>Q120855316</t>
  </si>
  <si>
    <t>Q2266893</t>
  </si>
  <si>
    <t>Q2181847</t>
  </si>
  <si>
    <t>Q119013626</t>
  </si>
  <si>
    <t>Q970833</t>
  </si>
  <si>
    <t>Q41885755</t>
  </si>
  <si>
    <t>Q3557112</t>
  </si>
  <si>
    <t>Q2100582</t>
  </si>
  <si>
    <t>Q113754119</t>
  </si>
  <si>
    <t>Q125535110</t>
  </si>
  <si>
    <t>Q125274323</t>
  </si>
  <si>
    <t>Q2524668</t>
  </si>
  <si>
    <t>Q2481707</t>
  </si>
  <si>
    <t>Q115839088</t>
  </si>
  <si>
    <t>Q2546317</t>
  </si>
  <si>
    <t>Q2190493</t>
  </si>
  <si>
    <t>Q120727152</t>
  </si>
  <si>
    <t>Q119797432</t>
  </si>
  <si>
    <t>Q2542423</t>
  </si>
  <si>
    <t>Q125819387</t>
  </si>
  <si>
    <t>Q123742237</t>
  </si>
  <si>
    <t>Q123722465</t>
  </si>
  <si>
    <t>Q119699762</t>
  </si>
  <si>
    <t>Q116672748</t>
  </si>
  <si>
    <t>Q42853596</t>
  </si>
  <si>
    <t>Q122903266</t>
  </si>
  <si>
    <t>Q119007176</t>
  </si>
  <si>
    <t>Q123413906</t>
  </si>
  <si>
    <t>Q119041487</t>
  </si>
  <si>
    <t>Q3450211</t>
  </si>
  <si>
    <t>Q116620739</t>
  </si>
  <si>
    <t>Q115836962</t>
  </si>
  <si>
    <t>Q110039180</t>
  </si>
  <si>
    <t>Q110039361</t>
  </si>
  <si>
    <t>Q2065109</t>
  </si>
  <si>
    <t>Q13575404</t>
  </si>
  <si>
    <t>Q3164253</t>
  </si>
  <si>
    <t>Q86735347</t>
  </si>
  <si>
    <t>Q119003821</t>
  </si>
  <si>
    <t>Q14101076</t>
  </si>
  <si>
    <t>Q55770641</t>
  </si>
  <si>
    <t>Q119794988</t>
  </si>
  <si>
    <t>Q2627945</t>
  </si>
  <si>
    <t>Q118772822</t>
  </si>
  <si>
    <t>Q116508494</t>
  </si>
  <si>
    <t>Q125353522</t>
  </si>
  <si>
    <t>Q119621396</t>
  </si>
  <si>
    <t>Q122971209</t>
  </si>
  <si>
    <t>Q119040262</t>
  </si>
  <si>
    <t>Q22002048</t>
  </si>
  <si>
    <t>Q2050293</t>
  </si>
  <si>
    <t>Q115833316</t>
  </si>
  <si>
    <t>Q3421496</t>
  </si>
  <si>
    <t>Q115842281</t>
  </si>
  <si>
    <t>Q115818168</t>
  </si>
  <si>
    <t>Q2658862</t>
  </si>
  <si>
    <t>Q115836783</t>
  </si>
  <si>
    <t>Q115838420</t>
  </si>
  <si>
    <t>Q115979029</t>
  </si>
  <si>
    <t>Q1877721</t>
  </si>
  <si>
    <t>Q120442396</t>
  </si>
  <si>
    <t>Q110039219</t>
  </si>
  <si>
    <t>Q115811922</t>
  </si>
  <si>
    <t>Q115838249</t>
  </si>
  <si>
    <t>Q115818541</t>
  </si>
  <si>
    <t>Q2191260</t>
  </si>
  <si>
    <t>Q115840228</t>
  </si>
  <si>
    <t>Q115839965</t>
  </si>
  <si>
    <t>Q115827506</t>
  </si>
  <si>
    <t>Q120829902</t>
  </si>
  <si>
    <t>Q115831295</t>
  </si>
  <si>
    <t>Q115819088</t>
  </si>
  <si>
    <t>Q115819139</t>
  </si>
  <si>
    <t>Q115836217</t>
  </si>
  <si>
    <t>Q115813641</t>
  </si>
  <si>
    <t>Q113675636</t>
  </si>
  <si>
    <t>Q115817390</t>
  </si>
  <si>
    <t>Q120897770</t>
  </si>
  <si>
    <t>Q100534520</t>
  </si>
  <si>
    <t>Q120556695</t>
  </si>
  <si>
    <t>Q2182589</t>
  </si>
  <si>
    <t>Q2345694</t>
  </si>
  <si>
    <t>Q115831039</t>
  </si>
  <si>
    <t>Q115814591</t>
  </si>
  <si>
    <t>Q118998340</t>
  </si>
  <si>
    <t>Q122884757</t>
  </si>
  <si>
    <t>Q122791049</t>
  </si>
  <si>
    <t>Q136703696</t>
  </si>
  <si>
    <t>Q2754460</t>
  </si>
  <si>
    <t>Q123050649</t>
  </si>
  <si>
    <t>Q123050974</t>
  </si>
  <si>
    <t>Q116621552</t>
  </si>
  <si>
    <t>Q119006339</t>
  </si>
  <si>
    <t>Q116621828</t>
  </si>
  <si>
    <t>Q56036064</t>
  </si>
  <si>
    <t>Q2450554</t>
  </si>
  <si>
    <t>Q115826830</t>
  </si>
  <si>
    <t>Q116621487</t>
  </si>
  <si>
    <t>Q122963358</t>
  </si>
  <si>
    <t>Q125541827</t>
  </si>
  <si>
    <t>Q110039252</t>
  </si>
  <si>
    <t>Q45029767</t>
  </si>
  <si>
    <t>Q115838569</t>
  </si>
  <si>
    <t>Q115832532</t>
  </si>
  <si>
    <t>Q110039178</t>
  </si>
  <si>
    <t>Q719358</t>
  </si>
  <si>
    <t>Q3531475</t>
  </si>
  <si>
    <t>Q119013806</t>
  </si>
  <si>
    <t>Q118120867</t>
  </si>
  <si>
    <t>Q119796023</t>
  </si>
  <si>
    <t>Q120552708</t>
  </si>
  <si>
    <t>Q111342238</t>
  </si>
  <si>
    <t>Q111336261</t>
  </si>
  <si>
    <t>Q118120903</t>
  </si>
  <si>
    <t>Q115826199</t>
  </si>
  <si>
    <t>Q116621407</t>
  </si>
  <si>
    <t>Q120248482</t>
  </si>
  <si>
    <t>Q111744944</t>
  </si>
  <si>
    <t>Q2360599</t>
  </si>
  <si>
    <t>Q64302</t>
  </si>
  <si>
    <t>Q123414143</t>
  </si>
  <si>
    <t>Q122872984</t>
  </si>
  <si>
    <t>Q18415039</t>
  </si>
  <si>
    <t>Q6242432</t>
  </si>
  <si>
    <t>Q322106</t>
  </si>
  <si>
    <t>Q29019503</t>
  </si>
  <si>
    <t>Q18093100</t>
  </si>
  <si>
    <t>Q2770967</t>
  </si>
  <si>
    <t>Q120550899</t>
  </si>
  <si>
    <t>Q120721942</t>
  </si>
  <si>
    <t>Q125257906</t>
  </si>
  <si>
    <t>Q55233295</t>
  </si>
  <si>
    <t>Q13576607</t>
  </si>
  <si>
    <t>Q122818902</t>
  </si>
  <si>
    <t>Q118289639</t>
  </si>
  <si>
    <t>Q118998471</t>
  </si>
  <si>
    <t>Q120493880</t>
  </si>
  <si>
    <t>Q123399726</t>
  </si>
  <si>
    <t>Q121053317</t>
  </si>
  <si>
    <t>Q3185717</t>
  </si>
  <si>
    <t>Q123741345</t>
  </si>
  <si>
    <t>Q56174577</t>
  </si>
  <si>
    <t>Q126734623</t>
  </si>
  <si>
    <t>Q56036018</t>
  </si>
  <si>
    <t>Q2360914</t>
  </si>
  <si>
    <t>Q87648661</t>
  </si>
  <si>
    <t>Q94896539</t>
  </si>
  <si>
    <t>Q3032807</t>
  </si>
  <si>
    <t>Q55672664</t>
  </si>
  <si>
    <t>Q2617184</t>
  </si>
  <si>
    <t>Q784390</t>
  </si>
  <si>
    <t>Q125544971</t>
  </si>
  <si>
    <t>Q122963909</t>
  </si>
  <si>
    <t>Q122964092</t>
  </si>
  <si>
    <t>Q115820635</t>
  </si>
  <si>
    <t>Q120733873</t>
  </si>
  <si>
    <t>Q15982596</t>
  </si>
  <si>
    <t>Q115830433</t>
  </si>
  <si>
    <t>Q122794969</t>
  </si>
  <si>
    <t>Q117244643</t>
  </si>
  <si>
    <t>Q1286149</t>
  </si>
  <si>
    <t>Q121078208</t>
  </si>
  <si>
    <t>Q118725738</t>
  </si>
  <si>
    <t>Q56036059</t>
  </si>
  <si>
    <t>Q15461013</t>
  </si>
  <si>
    <t>Q2491266</t>
  </si>
  <si>
    <t>Q120920568</t>
  </si>
  <si>
    <t>Q18533827</t>
  </si>
  <si>
    <t>Q119011751</t>
  </si>
  <si>
    <t>Q2059291</t>
  </si>
  <si>
    <t>Q4865289</t>
  </si>
  <si>
    <t>Q64727835</t>
  </si>
  <si>
    <t>Q7790140</t>
  </si>
  <si>
    <t>Q115308515</t>
  </si>
  <si>
    <t>Q5026719</t>
  </si>
  <si>
    <t>Q115839380</t>
  </si>
  <si>
    <t>Q120793054</t>
  </si>
  <si>
    <t>Q119039938</t>
  </si>
  <si>
    <t>Q115815004</t>
  </si>
  <si>
    <t>Q123416074</t>
  </si>
  <si>
    <t>Q115818849</t>
  </si>
  <si>
    <t>Q115980044</t>
  </si>
  <si>
    <t>Q113731929</t>
  </si>
  <si>
    <t>Q115820195</t>
  </si>
  <si>
    <t>Q122872579</t>
  </si>
  <si>
    <t>Q115835156</t>
  </si>
  <si>
    <t>Q115817263</t>
  </si>
  <si>
    <t>Q136734381</t>
  </si>
  <si>
    <t>Q115809464</t>
  </si>
  <si>
    <t>Q120471627</t>
  </si>
  <si>
    <t>Q672816</t>
  </si>
  <si>
    <t>Q117409336</t>
  </si>
  <si>
    <t>Q117246781</t>
  </si>
  <si>
    <t>Q125472556</t>
  </si>
  <si>
    <t>Q5006521</t>
  </si>
  <si>
    <t>Q125472922</t>
  </si>
  <si>
    <t>Q136735429</t>
  </si>
  <si>
    <t>Q119729450</t>
  </si>
  <si>
    <t>Q118495679</t>
  </si>
  <si>
    <t>Q120973922</t>
  </si>
  <si>
    <t>Q2413334</t>
  </si>
  <si>
    <t>Q43129301</t>
  </si>
  <si>
    <t>Q4722117</t>
  </si>
  <si>
    <t>Q115821483</t>
  </si>
  <si>
    <t>Q115839360</t>
  </si>
  <si>
    <t>Q2203619</t>
  </si>
  <si>
    <t>Q118733026</t>
  </si>
  <si>
    <t>Q115813555</t>
  </si>
  <si>
    <t>Q11029222</t>
  </si>
  <si>
    <t>Q28973684</t>
  </si>
  <si>
    <t>Q23895006</t>
  </si>
  <si>
    <t>Q123055332</t>
  </si>
  <si>
    <t>Q2779054</t>
  </si>
  <si>
    <t>Q2426280</t>
  </si>
  <si>
    <t>Q28584401</t>
  </si>
  <si>
    <t>Q120884878</t>
  </si>
  <si>
    <t>Q120651810</t>
  </si>
  <si>
    <t>Q37793252</t>
  </si>
  <si>
    <t>Q329468</t>
  </si>
  <si>
    <t>Q122915335</t>
  </si>
  <si>
    <t>Q2606766</t>
  </si>
  <si>
    <t>Q119040354</t>
  </si>
  <si>
    <t>Q18655152</t>
  </si>
  <si>
    <t>Q116508558</t>
  </si>
  <si>
    <t>Q122971101</t>
  </si>
  <si>
    <t>Q2677198</t>
  </si>
  <si>
    <t>Q125491053</t>
  </si>
  <si>
    <t>Q115840920</t>
  </si>
  <si>
    <t>Q822307</t>
  </si>
  <si>
    <t>Q115816445</t>
  </si>
  <si>
    <t>Q115836065</t>
  </si>
  <si>
    <t>Q115820636</t>
  </si>
  <si>
    <t>Q119690392</t>
  </si>
  <si>
    <t>Q113925472</t>
  </si>
  <si>
    <t>Q120191174</t>
  </si>
  <si>
    <t>Q121078001</t>
  </si>
  <si>
    <t>Q119794240</t>
  </si>
  <si>
    <t>Q120377148</t>
  </si>
  <si>
    <t>Q115827696</t>
  </si>
  <si>
    <t>Q120176244</t>
  </si>
  <si>
    <t>Q115980136</t>
  </si>
  <si>
    <t>Q115846413</t>
  </si>
  <si>
    <t>Q120729903</t>
  </si>
  <si>
    <t>Q115822210</t>
  </si>
  <si>
    <t>Q115807960</t>
  </si>
  <si>
    <t>Q122842009</t>
  </si>
  <si>
    <t>Q115818009</t>
  </si>
  <si>
    <t>Q116509612</t>
  </si>
  <si>
    <t>Q20902162</t>
  </si>
  <si>
    <t>Q125334130</t>
  </si>
  <si>
    <t>Q123417058</t>
  </si>
  <si>
    <t>Q124619468</t>
  </si>
  <si>
    <t>Q131923924</t>
  </si>
  <si>
    <t>Q122831276</t>
  </si>
  <si>
    <t>Q123399443</t>
  </si>
  <si>
    <t>Q116689485</t>
  </si>
  <si>
    <t>Q115855636</t>
  </si>
  <si>
    <t>Q125365215</t>
  </si>
  <si>
    <t>Q116660566</t>
  </si>
  <si>
    <t>Q117264774</t>
  </si>
  <si>
    <t>Q125360612</t>
  </si>
  <si>
    <t>Q129069726</t>
  </si>
  <si>
    <t>Q125359350</t>
  </si>
  <si>
    <t>Q115835025</t>
  </si>
  <si>
    <t>Q128034737</t>
  </si>
  <si>
    <t>Q123414712</t>
  </si>
  <si>
    <t>Q125257556</t>
  </si>
  <si>
    <t>Q125359798</t>
  </si>
  <si>
    <t>Q122753360</t>
  </si>
  <si>
    <t>Q116509131</t>
  </si>
  <si>
    <t>Q125361599</t>
  </si>
  <si>
    <t>Q75279907</t>
  </si>
  <si>
    <t>Q116621328</t>
  </si>
  <si>
    <t>Q122833200</t>
  </si>
  <si>
    <t>Q122801530</t>
  </si>
  <si>
    <t>Q131928133</t>
  </si>
  <si>
    <t>Q115844249</t>
  </si>
  <si>
    <t>Q116522102</t>
  </si>
  <si>
    <t>Q125365561</t>
  </si>
  <si>
    <t>Q116620970</t>
  </si>
  <si>
    <t>Q125394996</t>
  </si>
  <si>
    <t>Q114081509</t>
  </si>
  <si>
    <t>Q117246862</t>
  </si>
  <si>
    <t>Q120999304</t>
  </si>
  <si>
    <t>Q122884053</t>
  </si>
  <si>
    <t>Q123422368</t>
  </si>
  <si>
    <t>Q123697088</t>
  </si>
  <si>
    <t>Q117229438</t>
  </si>
  <si>
    <t>Q117244596</t>
  </si>
  <si>
    <t>Q123416923</t>
  </si>
  <si>
    <t>Q116621725</t>
  </si>
  <si>
    <t>Q125357784</t>
  </si>
  <si>
    <t>Q115852702</t>
  </si>
  <si>
    <t>Q122987963</t>
  </si>
  <si>
    <t>Q120488044</t>
  </si>
  <si>
    <t>Q121000890</t>
  </si>
  <si>
    <t>Q2062803</t>
  </si>
  <si>
    <t>Q115104760</t>
  </si>
  <si>
    <t>Q117244211</t>
  </si>
  <si>
    <t>Q129121545</t>
  </si>
  <si>
    <t>Q119013873</t>
  </si>
  <si>
    <t>Q118142378</t>
  </si>
  <si>
    <t>Q2215154</t>
  </si>
  <si>
    <t>Q115819047</t>
  </si>
  <si>
    <t>Q120556534</t>
  </si>
  <si>
    <t>Q62080181</t>
  </si>
  <si>
    <t>Q115982545</t>
  </si>
  <si>
    <t>Q115982548</t>
  </si>
  <si>
    <t>Q121002664</t>
  </si>
  <si>
    <t>Q125535061</t>
  </si>
  <si>
    <t>Q115818424</t>
  </si>
  <si>
    <t>Q115834468</t>
  </si>
  <si>
    <t>Q115834690</t>
  </si>
  <si>
    <t>Q110039191</t>
  </si>
  <si>
    <t>Q2675588</t>
  </si>
  <si>
    <t>Q2298746</t>
  </si>
  <si>
    <t>Q115815697</t>
  </si>
  <si>
    <t>Q115979418</t>
  </si>
  <si>
    <t>Q11071766</t>
  </si>
  <si>
    <t>Q115818861</t>
  </si>
  <si>
    <t>Q115979812</t>
  </si>
  <si>
    <t>Q115825488</t>
  </si>
  <si>
    <t>Q115844105</t>
  </si>
  <si>
    <t>Q115979130</t>
  </si>
  <si>
    <t>Q115823355</t>
  </si>
  <si>
    <t>Q115840234</t>
  </si>
  <si>
    <t>Q115837593</t>
  </si>
  <si>
    <t>Q115837342</t>
  </si>
  <si>
    <t>Q115839443</t>
  </si>
  <si>
    <t>Q98322098</t>
  </si>
  <si>
    <t>Q115834834</t>
  </si>
  <si>
    <t>Q13575367</t>
  </si>
  <si>
    <t>Q115839320</t>
  </si>
  <si>
    <t>Q115979952</t>
  </si>
  <si>
    <t>Q115815852</t>
  </si>
  <si>
    <t>Q115835605</t>
  </si>
  <si>
    <t>Q115811038</t>
  </si>
  <si>
    <t>Q115825992</t>
  </si>
  <si>
    <t>Q115808465</t>
  </si>
  <si>
    <t>Q115838563</t>
  </si>
  <si>
    <t>Q2684959</t>
  </si>
  <si>
    <t>Q115981931</t>
  </si>
  <si>
    <t>Q115982485</t>
  </si>
  <si>
    <t>Q120913841</t>
  </si>
  <si>
    <t>Q122971559</t>
  </si>
  <si>
    <t>Q113627806</t>
  </si>
  <si>
    <t>Q115840173</t>
  </si>
  <si>
    <t>Q115834868</t>
  </si>
  <si>
    <t>Q115979994</t>
  </si>
  <si>
    <t>Q115821479</t>
  </si>
  <si>
    <t>Q981444</t>
  </si>
  <si>
    <t>Q115839946</t>
  </si>
  <si>
    <t>Q1920135</t>
  </si>
  <si>
    <t>Q110039159</t>
  </si>
  <si>
    <t>Q3163681</t>
  </si>
  <si>
    <t>Q123689724</t>
  </si>
  <si>
    <t>Q115834873</t>
  </si>
  <si>
    <t>Q115839975</t>
  </si>
  <si>
    <t>Q76019711</t>
  </si>
  <si>
    <t>Q115806424</t>
  </si>
  <si>
    <t>Q115831509</t>
  </si>
  <si>
    <t>Q115811334</t>
  </si>
  <si>
    <t>Q2306925</t>
  </si>
  <si>
    <t>Q115809938</t>
  </si>
  <si>
    <t>Q115818649</t>
  </si>
  <si>
    <t>Q115836535</t>
  </si>
  <si>
    <t>Q115806479</t>
  </si>
  <si>
    <t>Q101627274</t>
  </si>
  <si>
    <t>Q115821474</t>
  </si>
  <si>
    <t>Q115841074</t>
  </si>
  <si>
    <t>Q55420570</t>
  </si>
  <si>
    <t>Q115979996</t>
  </si>
  <si>
    <t>Q115821481</t>
  </si>
  <si>
    <t>Q120472271</t>
  </si>
  <si>
    <t>Q115836854</t>
  </si>
  <si>
    <t>Q110039170</t>
  </si>
  <si>
    <t>Q115844668</t>
  </si>
  <si>
    <t>Q2619202</t>
  </si>
  <si>
    <t>Q56036067</t>
  </si>
  <si>
    <t>Q118175361</t>
  </si>
  <si>
    <t>Q119217815</t>
  </si>
  <si>
    <t>Q115831919</t>
  </si>
  <si>
    <t>Q115979048</t>
  </si>
  <si>
    <t>Q118136722</t>
  </si>
  <si>
    <t>Q14331462</t>
  </si>
  <si>
    <t>Q115829884</t>
  </si>
  <si>
    <t>Q115818151</t>
  </si>
  <si>
    <t>Q80079104</t>
  </si>
  <si>
    <t>Q118151362</t>
  </si>
  <si>
    <t>Q115823191</t>
  </si>
  <si>
    <t>Q115979140</t>
  </si>
  <si>
    <t>Q115829623</t>
  </si>
  <si>
    <t>Q123689972</t>
  </si>
  <si>
    <t>Q120640333</t>
  </si>
  <si>
    <t>Q115839353</t>
  </si>
  <si>
    <t>Q120504176</t>
  </si>
  <si>
    <t>Q110039260</t>
  </si>
  <si>
    <t>Q115834833</t>
  </si>
  <si>
    <t>Q123717111</t>
  </si>
  <si>
    <t>Q7190386</t>
  </si>
  <si>
    <t>Q120999228</t>
  </si>
  <si>
    <t>Q125516501</t>
  </si>
  <si>
    <t>Q125559455</t>
  </si>
  <si>
    <t>Q118644563</t>
  </si>
  <si>
    <t>Q122775600</t>
  </si>
  <si>
    <t>Q43140929</t>
  </si>
  <si>
    <t>Q2832059</t>
  </si>
  <si>
    <t>Q2332586</t>
  </si>
  <si>
    <t>Q2638823</t>
  </si>
  <si>
    <t>Q2539969</t>
  </si>
  <si>
    <t>Q120973166</t>
  </si>
  <si>
    <t>Q970036</t>
  </si>
  <si>
    <t>Q1280942</t>
  </si>
  <si>
    <t>Q13429634</t>
  </si>
  <si>
    <t>Q120639934</t>
  </si>
  <si>
    <t>Q764378</t>
  </si>
  <si>
    <t>Q2490990</t>
  </si>
  <si>
    <t>Q2715338</t>
  </si>
  <si>
    <t>Q661733</t>
  </si>
  <si>
    <t>Q3538623</t>
  </si>
  <si>
    <t>Q120555811</t>
  </si>
  <si>
    <t>Q2457997</t>
  </si>
  <si>
    <t>Q4902927</t>
  </si>
  <si>
    <t>Q2183646</t>
  </si>
  <si>
    <t>Q3080591</t>
  </si>
  <si>
    <t>Q57197744</t>
  </si>
  <si>
    <t>Q1894475</t>
  </si>
  <si>
    <t>Q2361397</t>
  </si>
  <si>
    <t>Q115844439</t>
  </si>
  <si>
    <t>Q119860278</t>
  </si>
  <si>
    <t>Q378133</t>
  </si>
  <si>
    <t>Q3346571</t>
  </si>
  <si>
    <t>Q1978131</t>
  </si>
  <si>
    <t>Q3171149</t>
  </si>
  <si>
    <t>Q2163210</t>
  </si>
  <si>
    <t>Q354052</t>
  </si>
  <si>
    <t>Q2672741</t>
  </si>
  <si>
    <t>Q17428533</t>
  </si>
  <si>
    <t>Q119041387</t>
  </si>
  <si>
    <t>Q1851297</t>
  </si>
  <si>
    <t>Q120920666</t>
  </si>
  <si>
    <t>Q1796639</t>
  </si>
  <si>
    <t>Q4423628</t>
  </si>
  <si>
    <t>Q123615494</t>
  </si>
  <si>
    <t>Q2099446</t>
  </si>
  <si>
    <t>Q120718341</t>
  </si>
  <si>
    <t>Q118792556</t>
  </si>
  <si>
    <t>Q115981938</t>
  </si>
  <si>
    <t>Q120199426</t>
  </si>
  <si>
    <t>Q115818718</t>
  </si>
  <si>
    <t>Q115835763</t>
  </si>
  <si>
    <t>Q571426</t>
  </si>
  <si>
    <t>Q125559890</t>
  </si>
  <si>
    <t>Q5983066</t>
  </si>
  <si>
    <t>Q961180</t>
  </si>
  <si>
    <t>Q119701807</t>
  </si>
  <si>
    <t>Q56036025</t>
  </si>
  <si>
    <t>Q377071</t>
  </si>
  <si>
    <t>Q1707941</t>
  </si>
  <si>
    <t>Q131957313</t>
  </si>
  <si>
    <t>Q114945031</t>
  </si>
  <si>
    <t>Q120333083</t>
  </si>
  <si>
    <t>Q2159132</t>
  </si>
  <si>
    <t>Q2319173</t>
  </si>
  <si>
    <t>Q125306156</t>
  </si>
  <si>
    <t>Q122830932</t>
  </si>
  <si>
    <t>Q116621171</t>
  </si>
  <si>
    <t>Q117227040</t>
  </si>
  <si>
    <t>Q125275288</t>
  </si>
  <si>
    <t>Q118189985</t>
  </si>
  <si>
    <t>Q120644522</t>
  </si>
  <si>
    <t>Q125538145</t>
  </si>
  <si>
    <t>Q175669</t>
  </si>
  <si>
    <t>Q15627098</t>
  </si>
  <si>
    <t>Q2580620</t>
  </si>
  <si>
    <t>Q2154331</t>
  </si>
  <si>
    <t>Q120729190</t>
  </si>
  <si>
    <t>Q122853878</t>
  </si>
  <si>
    <t>Q55911879</t>
  </si>
  <si>
    <t>Q1334711</t>
  </si>
  <si>
    <t>Q42196616</t>
  </si>
  <si>
    <t>Q42596</t>
  </si>
  <si>
    <t>Q2496044</t>
  </si>
  <si>
    <t>Q3431564</t>
  </si>
  <si>
    <t>Q115982426</t>
  </si>
  <si>
    <t>Q37766220</t>
  </si>
  <si>
    <t>Q3067739</t>
  </si>
  <si>
    <t>Q21549953</t>
  </si>
  <si>
    <t>Q1950196</t>
  </si>
  <si>
    <t>Q118555164</t>
  </si>
  <si>
    <t>Q118612085</t>
  </si>
  <si>
    <t>Q1896762</t>
  </si>
  <si>
    <t>Q3515115</t>
  </si>
  <si>
    <t>Q2087117</t>
  </si>
  <si>
    <t>Q113681935</t>
  </si>
  <si>
    <t>Q120629807</t>
  </si>
  <si>
    <t>Q116460145</t>
  </si>
  <si>
    <t>Q119039774</t>
  </si>
  <si>
    <t>Q62117109</t>
  </si>
  <si>
    <t>Q118732528</t>
  </si>
  <si>
    <t>Q15982597</t>
  </si>
  <si>
    <t>Q115982585</t>
  </si>
  <si>
    <t>Q120489194</t>
  </si>
  <si>
    <t>Q115837633</t>
  </si>
  <si>
    <t>Q115837646</t>
  </si>
  <si>
    <t>Q975292</t>
  </si>
  <si>
    <t>Q120900509</t>
  </si>
  <si>
    <t>Q122971839</t>
  </si>
  <si>
    <t>Q1978794</t>
  </si>
  <si>
    <t>Q116679969</t>
  </si>
  <si>
    <t>Q123050722</t>
  </si>
  <si>
    <t>Q586323</t>
  </si>
  <si>
    <t>Q26845752</t>
  </si>
  <si>
    <t>Q115835531</t>
  </si>
  <si>
    <t>Q116510998</t>
  </si>
  <si>
    <t>Q7343011</t>
  </si>
  <si>
    <t>Q56036026</t>
  </si>
  <si>
    <t>Q1149378</t>
  </si>
  <si>
    <t>Q113466955</t>
  </si>
  <si>
    <t>Q3166510</t>
  </si>
  <si>
    <t>Q116620790</t>
  </si>
  <si>
    <t>Q117244395</t>
  </si>
  <si>
    <t>Q116687356</t>
  </si>
  <si>
    <t>Q122798023</t>
  </si>
  <si>
    <t>Q116687401</t>
  </si>
  <si>
    <t>Q116656531</t>
  </si>
  <si>
    <t>Q125351679</t>
  </si>
  <si>
    <t>Q116620937</t>
  </si>
  <si>
    <t>Q125351404</t>
  </si>
  <si>
    <t>Q119217729</t>
  </si>
  <si>
    <t>Q123051567</t>
  </si>
  <si>
    <t>Q116687284</t>
  </si>
  <si>
    <t>Q125490771</t>
  </si>
  <si>
    <t>Q120164850</t>
  </si>
  <si>
    <t>Q119625085</t>
  </si>
  <si>
    <t>Q122842403</t>
  </si>
  <si>
    <t>Q123600982</t>
  </si>
  <si>
    <t>Q118189670</t>
  </si>
  <si>
    <t>Q122974430</t>
  </si>
  <si>
    <t>Q122974373</t>
  </si>
  <si>
    <t>Q116510419</t>
  </si>
  <si>
    <t>Q122779793</t>
  </si>
  <si>
    <t>Q126113249</t>
  </si>
  <si>
    <t>Q122903342</t>
  </si>
  <si>
    <t>Q119217748</t>
  </si>
  <si>
    <t>Q120514200</t>
  </si>
  <si>
    <t>Q121078322</t>
  </si>
  <si>
    <t>Q125859018</t>
  </si>
  <si>
    <t>Q122831483</t>
  </si>
  <si>
    <t>Q113486838</t>
  </si>
  <si>
    <t>Q117226377</t>
  </si>
  <si>
    <t>Q125282135</t>
  </si>
  <si>
    <t>Q125352256</t>
  </si>
  <si>
    <t>Q123052123</t>
  </si>
  <si>
    <t>Q116621789</t>
  </si>
  <si>
    <t>Q122754021</t>
  </si>
  <si>
    <t>Q116508871</t>
  </si>
  <si>
    <t>Q119625198</t>
  </si>
  <si>
    <t>Q118732552</t>
  </si>
  <si>
    <t>Q122854006</t>
  </si>
  <si>
    <t>Q125257816</t>
  </si>
  <si>
    <t>Q120491424</t>
  </si>
  <si>
    <t>Q125341815</t>
  </si>
  <si>
    <t>Q116508893</t>
  </si>
  <si>
    <t>Q119224999</t>
  </si>
  <si>
    <t>Q123050504</t>
  </si>
  <si>
    <t>Q117227189</t>
  </si>
  <si>
    <t>Q119627464</t>
  </si>
  <si>
    <t>Q119637011</t>
  </si>
  <si>
    <t>Q128904091</t>
  </si>
  <si>
    <t>Q120855780</t>
  </si>
  <si>
    <t>Q116688354</t>
  </si>
  <si>
    <t>Q116621811</t>
  </si>
  <si>
    <t>Q116620833</t>
  </si>
  <si>
    <t>Q125342034</t>
  </si>
  <si>
    <t>Q122790642</t>
  </si>
  <si>
    <t>Q116621244</t>
  </si>
  <si>
    <t>Q116659577</t>
  </si>
  <si>
    <t>Q117265039</t>
  </si>
  <si>
    <t>Q116621699</t>
  </si>
  <si>
    <t>Q117229566</t>
  </si>
  <si>
    <t>Q117244772</t>
  </si>
  <si>
    <t>Q123554207</t>
  </si>
  <si>
    <t>Q131928167</t>
  </si>
  <si>
    <t>Q123606015</t>
  </si>
  <si>
    <t>Q129072389</t>
  </si>
  <si>
    <t>Q128903989</t>
  </si>
  <si>
    <t>Q116510958</t>
  </si>
  <si>
    <t>Q117246934</t>
  </si>
  <si>
    <t>Q75320316</t>
  </si>
  <si>
    <t>Q122780659</t>
  </si>
  <si>
    <t>Q122842204</t>
  </si>
  <si>
    <t>Q116621363</t>
  </si>
  <si>
    <t>Q125365471</t>
  </si>
  <si>
    <t>Q42306892</t>
  </si>
  <si>
    <t>Q123050592</t>
  </si>
  <si>
    <t>Q116508674</t>
  </si>
  <si>
    <t>Q116620896</t>
  </si>
  <si>
    <t>Q118369334</t>
  </si>
  <si>
    <t>Instituut</t>
  </si>
  <si>
    <t>Niet van toepassing</t>
  </si>
  <si>
    <t>Q118388831</t>
  </si>
  <si>
    <t>Q1867263</t>
  </si>
  <si>
    <t>Q644789</t>
  </si>
  <si>
    <t>Q120693890</t>
  </si>
  <si>
    <t>Q13744144</t>
  </si>
  <si>
    <t>Q1807289</t>
  </si>
  <si>
    <t>Q119702334</t>
  </si>
  <si>
    <t>Q118369361</t>
  </si>
  <si>
    <t>Q2124530</t>
  </si>
  <si>
    <t>Q15882061</t>
  </si>
  <si>
    <t>Q2480833</t>
  </si>
  <si>
    <t>Q118464951</t>
  </si>
  <si>
    <t>Q118464788</t>
  </si>
  <si>
    <t>Q2663876</t>
  </si>
  <si>
    <t>Q118369084</t>
  </si>
  <si>
    <t>Q118456609</t>
  </si>
  <si>
    <t>Q467025</t>
  </si>
  <si>
    <t>Q590398</t>
  </si>
  <si>
    <t>Q2479554</t>
  </si>
  <si>
    <t>Q118541114</t>
  </si>
  <si>
    <t>Q122877933</t>
  </si>
  <si>
    <t>Q118390369</t>
  </si>
  <si>
    <t>Q119853947</t>
  </si>
  <si>
    <t>Q2018402</t>
  </si>
  <si>
    <t>Q3977338</t>
  </si>
  <si>
    <t>Q113988734</t>
  </si>
  <si>
    <t>Q2690997</t>
  </si>
  <si>
    <t>Q120721984</t>
  </si>
  <si>
    <t>Q2267896</t>
  </si>
  <si>
    <t>Q81162</t>
  </si>
  <si>
    <t>Q670974</t>
  </si>
  <si>
    <t>Q253439</t>
  </si>
  <si>
    <t>Q1268453</t>
  </si>
  <si>
    <t>Q337526</t>
  </si>
  <si>
    <t>Q3488098</t>
  </si>
  <si>
    <t>Q3488101</t>
  </si>
  <si>
    <t>Q118370108</t>
  </si>
  <si>
    <t>Q56022443</t>
  </si>
  <si>
    <t>Q49424872</t>
  </si>
  <si>
    <t>Q168426</t>
  </si>
  <si>
    <t>Q1137665</t>
  </si>
  <si>
    <t>Q1864590</t>
  </si>
  <si>
    <t>Q113988659</t>
  </si>
  <si>
    <t>Q52380328</t>
  </si>
  <si>
    <t>Q156598</t>
  </si>
  <si>
    <t>Q2499618</t>
  </si>
  <si>
    <t>Q2642320</t>
  </si>
  <si>
    <t>Q118464734</t>
  </si>
  <si>
    <t>Q654185</t>
  </si>
  <si>
    <t>Q981752</t>
  </si>
  <si>
    <t>Q221653</t>
  </si>
  <si>
    <t>Q111317357</t>
  </si>
  <si>
    <t>Q118524331</t>
  </si>
  <si>
    <t>Q118559307</t>
  </si>
  <si>
    <t>Q83172</t>
  </si>
  <si>
    <t>Q25399406</t>
  </si>
  <si>
    <t>Q2753709</t>
  </si>
  <si>
    <t>Q20894451</t>
  </si>
  <si>
    <t>Q209344</t>
  </si>
  <si>
    <t>Q114232670</t>
  </si>
  <si>
    <t>Q4648351</t>
  </si>
  <si>
    <t>Q7592665</t>
  </si>
  <si>
    <t>Q115825807</t>
  </si>
  <si>
    <t>Q3552548</t>
  </si>
  <si>
    <t>Q924289</t>
  </si>
  <si>
    <t>Q49425918</t>
  </si>
  <si>
    <t>Q115762138</t>
  </si>
  <si>
    <t>Q81170</t>
  </si>
  <si>
    <t>Q2619680</t>
  </si>
  <si>
    <t>Q2985460</t>
  </si>
  <si>
    <t>Q122901389</t>
  </si>
  <si>
    <t>Q113951185</t>
  </si>
  <si>
    <t>Q1301699</t>
  </si>
  <si>
    <t>Q50492927</t>
  </si>
  <si>
    <t>Q2237463</t>
  </si>
  <si>
    <t>Q27895221</t>
  </si>
  <si>
    <t>Q726678</t>
  </si>
  <si>
    <t>Q4325830</t>
  </si>
  <si>
    <t>Q2822455</t>
  </si>
  <si>
    <t>Q14906150</t>
  </si>
  <si>
    <t>Q213322</t>
  </si>
  <si>
    <t>Q50412149</t>
  </si>
  <si>
    <t>Q47113423</t>
  </si>
  <si>
    <t>Q125503330</t>
  </si>
  <si>
    <t>Q52224323</t>
  </si>
  <si>
    <t>Q5070708</t>
  </si>
  <si>
    <t>Q6970481</t>
  </si>
  <si>
    <t>Q118495392</t>
  </si>
  <si>
    <t>Q120727328</t>
  </si>
  <si>
    <t>Q120727356</t>
  </si>
  <si>
    <t>Q1334582</t>
  </si>
  <si>
    <t>Q2124852</t>
  </si>
  <si>
    <t>Q2562388</t>
  </si>
  <si>
    <t>Q2185331</t>
  </si>
  <si>
    <t>Q118744262</t>
  </si>
  <si>
    <t>Q336968</t>
  </si>
  <si>
    <t>Q45031341</t>
  </si>
  <si>
    <t>Q2237527</t>
  </si>
  <si>
    <t>Q123719897</t>
  </si>
  <si>
    <t>Q2469560</t>
  </si>
  <si>
    <t>Q337580</t>
  </si>
  <si>
    <t>Q245247</t>
  </si>
  <si>
    <t>Q84961226</t>
  </si>
  <si>
    <t>Q52215696</t>
  </si>
  <si>
    <t>Q2205233</t>
  </si>
  <si>
    <t>Q21004456</t>
  </si>
  <si>
    <t>Q1816228</t>
  </si>
  <si>
    <t>Q118612494</t>
  </si>
  <si>
    <t>Q42197335</t>
  </si>
  <si>
    <t>Q33100553</t>
  </si>
  <si>
    <t>Q2111331</t>
  </si>
  <si>
    <t>Q2921791</t>
  </si>
  <si>
    <t>Q1477551</t>
  </si>
  <si>
    <t>Q209842</t>
  </si>
  <si>
    <t>Q50973665</t>
  </si>
  <si>
    <t>Q118501218</t>
  </si>
  <si>
    <t>Q2496094</t>
  </si>
  <si>
    <t>Q121047069</t>
  </si>
  <si>
    <t>Q109663038</t>
  </si>
  <si>
    <t>Q49595150</t>
  </si>
  <si>
    <t>Q2061988</t>
  </si>
  <si>
    <t>Q119767161</t>
  </si>
  <si>
    <t>Q1247373</t>
  </si>
  <si>
    <t>Q2936361</t>
  </si>
  <si>
    <t>Q125535800</t>
  </si>
  <si>
    <t>Q792369</t>
  </si>
  <si>
    <t>Q2304374</t>
  </si>
  <si>
    <t>Q745967</t>
  </si>
  <si>
    <t>Q875554</t>
  </si>
  <si>
    <t>Q120721459</t>
  </si>
  <si>
    <t>Q120721497</t>
  </si>
  <si>
    <t>Q120721543</t>
  </si>
  <si>
    <t>Q2986729</t>
  </si>
  <si>
    <t>Q850730</t>
  </si>
  <si>
    <t>Q2327757</t>
  </si>
  <si>
    <t>Q543804</t>
  </si>
  <si>
    <t>Q2822396</t>
  </si>
  <si>
    <t>Q61679584</t>
  </si>
  <si>
    <t>Q118522719</t>
  </si>
  <si>
    <t>Q2869314</t>
  </si>
  <si>
    <t>Q2470103</t>
  </si>
  <si>
    <t>Q154804</t>
  </si>
  <si>
    <t>Q20754971</t>
  </si>
  <si>
    <t>Q3937018</t>
  </si>
  <si>
    <t>Q113835765</t>
  </si>
  <si>
    <t>Q28521117</t>
  </si>
  <si>
    <t>Q4431761</t>
  </si>
  <si>
    <t>Q8019579</t>
  </si>
  <si>
    <t>Q120555736</t>
  </si>
  <si>
    <t>Q118351827</t>
  </si>
  <si>
    <t>Q2746779</t>
  </si>
  <si>
    <t>Q1930349</t>
  </si>
  <si>
    <t>Q120653276</t>
  </si>
  <si>
    <t>Q120617895</t>
  </si>
  <si>
    <t>Q131926511</t>
  </si>
  <si>
    <t>Q120922737</t>
  </si>
  <si>
    <t>Q805285</t>
  </si>
  <si>
    <t>Q81087</t>
  </si>
  <si>
    <t>Q1942100</t>
  </si>
  <si>
    <t>Q122898958</t>
  </si>
  <si>
    <t>Q120855954</t>
  </si>
  <si>
    <t>Q118645274</t>
  </si>
  <si>
    <t>Q1471477</t>
  </si>
  <si>
    <t>Q13924486</t>
  </si>
  <si>
    <t>Q118192664</t>
  </si>
  <si>
    <t>Q118197697</t>
  </si>
  <si>
    <t>Q118213723</t>
  </si>
  <si>
    <t>Q118220602</t>
  </si>
  <si>
    <t>Q118395385</t>
  </si>
  <si>
    <t>Q12995</t>
  </si>
  <si>
    <t>Q120831037</t>
  </si>
  <si>
    <t>Q120706320</t>
  </si>
  <si>
    <t>Q28549650</t>
  </si>
  <si>
    <t>Q45262579</t>
  </si>
  <si>
    <t>Q2048489</t>
  </si>
  <si>
    <t>Q925942</t>
  </si>
  <si>
    <t>Q119626889</t>
  </si>
  <si>
    <t>Q183231</t>
  </si>
  <si>
    <t>Q120462060</t>
  </si>
  <si>
    <t>Q2005895</t>
  </si>
  <si>
    <t>Q193196</t>
  </si>
  <si>
    <t>Q2139232</t>
  </si>
  <si>
    <t>Q7587793</t>
  </si>
  <si>
    <t>Q231768</t>
  </si>
  <si>
    <t>Q63122451</t>
  </si>
  <si>
    <t>Q120979288</t>
  </si>
  <si>
    <t>Q122904531</t>
  </si>
  <si>
    <t>Q2564527</t>
  </si>
  <si>
    <t>Q25057323</t>
  </si>
  <si>
    <t>Q219615</t>
  </si>
  <si>
    <t>Q768224</t>
  </si>
  <si>
    <t>Q120854550</t>
  </si>
  <si>
    <t>Q57706</t>
  </si>
  <si>
    <t>Q118574791</t>
  </si>
  <si>
    <t>Q165980</t>
  </si>
  <si>
    <t>Q15284</t>
  </si>
  <si>
    <t>Q29016912</t>
  </si>
  <si>
    <t>Q2329939</t>
  </si>
  <si>
    <t>Q118541225</t>
  </si>
  <si>
    <t>Q106556417</t>
  </si>
  <si>
    <t>Q120729028</t>
  </si>
  <si>
    <t>Q3039683</t>
  </si>
  <si>
    <t>Q337421</t>
  </si>
  <si>
    <t>Q120837774</t>
  </si>
  <si>
    <t>Q96391437</t>
  </si>
  <si>
    <t>Q11213091</t>
  </si>
  <si>
    <t>Q336977</t>
  </si>
  <si>
    <t>Q120472465</t>
  </si>
  <si>
    <t>Q157575</t>
  </si>
  <si>
    <t>Q214341</t>
  </si>
  <si>
    <t>Q120835965</t>
  </si>
  <si>
    <t>Q120835988</t>
  </si>
  <si>
    <t>Q21592577</t>
  </si>
  <si>
    <t>Q3380726</t>
  </si>
  <si>
    <t>Q3465633</t>
  </si>
  <si>
    <t>Q59962242</t>
  </si>
  <si>
    <t>Q19952814</t>
  </si>
  <si>
    <t>Q17626118</t>
  </si>
  <si>
    <t>Q2556138</t>
  </si>
  <si>
    <t>Q1165363</t>
  </si>
  <si>
    <t>Q82133</t>
  </si>
  <si>
    <t>Q2789347</t>
  </si>
  <si>
    <t>Q28659929</t>
  </si>
  <si>
    <t>Q118547498</t>
  </si>
  <si>
    <t>Q2822312</t>
  </si>
  <si>
    <t>Q792293</t>
  </si>
  <si>
    <t>Q41992214</t>
  </si>
  <si>
    <t>Q3151805</t>
  </si>
  <si>
    <t>Q2109623</t>
  </si>
  <si>
    <t>Q1391755</t>
  </si>
  <si>
    <t>Q2983632</t>
  </si>
  <si>
    <t>Q2740329</t>
  </si>
  <si>
    <t>Q4728794</t>
  </si>
  <si>
    <t>Q120650189</t>
  </si>
  <si>
    <t>Q123690066</t>
  </si>
  <si>
    <t>Q120483446</t>
  </si>
  <si>
    <t>Q3487850</t>
  </si>
  <si>
    <t>Q3240440</t>
  </si>
  <si>
    <t>Q5546853</t>
  </si>
  <si>
    <t>Q64040765</t>
  </si>
  <si>
    <t>Q595802</t>
  </si>
  <si>
    <t>Q118559268</t>
  </si>
  <si>
    <t>Q41726</t>
  </si>
  <si>
    <t>Q33117</t>
  </si>
  <si>
    <t>Q34433</t>
  </si>
  <si>
    <t>Q123556179</t>
  </si>
  <si>
    <t>Q170027</t>
  </si>
  <si>
    <t>Q30692913</t>
  </si>
  <si>
    <t>Q52380301</t>
  </si>
  <si>
    <t>Q1180348</t>
  </si>
  <si>
    <t>Q120999387</t>
  </si>
  <si>
    <t>Q120999938</t>
  </si>
  <si>
    <t>Q125965599</t>
  </si>
  <si>
    <t>Q123425604</t>
  </si>
  <si>
    <t>Q482622</t>
  </si>
  <si>
    <t>Q192621</t>
  </si>
  <si>
    <t>Q1362697</t>
  </si>
  <si>
    <t>Q52224437</t>
  </si>
  <si>
    <t>Q5053225</t>
  </si>
  <si>
    <t>Q1518472</t>
  </si>
  <si>
    <t>Q2957897</t>
  </si>
  <si>
    <t>Q123413231</t>
  </si>
  <si>
    <t>Q2294995</t>
  </si>
  <si>
    <t>Q125776794</t>
  </si>
  <si>
    <t>Q916458</t>
  </si>
  <si>
    <t>Q714717</t>
  </si>
  <si>
    <t>Q723551</t>
  </si>
  <si>
    <t>Q121078675</t>
  </si>
  <si>
    <t>Q121078697</t>
  </si>
  <si>
    <t>Q52215729</t>
  </si>
  <si>
    <t>Q125919486</t>
  </si>
  <si>
    <t>Q95909676</t>
  </si>
  <si>
    <t>Q35794</t>
  </si>
  <si>
    <t>Q2000918</t>
  </si>
  <si>
    <t>Q6410900</t>
  </si>
  <si>
    <t>Q3560910</t>
  </si>
  <si>
    <t>Q763499</t>
  </si>
  <si>
    <t>Q120787149</t>
  </si>
  <si>
    <t>Q120330461</t>
  </si>
  <si>
    <t>Source</t>
  </si>
  <si>
    <t>Target</t>
  </si>
  <si>
    <t>Weight</t>
  </si>
  <si>
    <t>Relatie Type</t>
  </si>
  <si>
    <t>Undirected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</si>
</sst>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color rgb="FF000000"/>
    </font>
    <font>
      <color rgb="FF000000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Font="1"/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wikidata.org/entity/Q14101076" TargetMode="External"/><Relationship Id="rId391" Type="http://schemas.openxmlformats.org/officeDocument/2006/relationships/hyperlink" Target="http://commons.wikimedia.org/wiki/Special:FilePath/Joseph%20van%20den%20Gheyn%20%281854-1913%29.jpg" TargetMode="External"/><Relationship Id="rId390" Type="http://schemas.openxmlformats.org/officeDocument/2006/relationships/hyperlink" Target="http://www.wikidata.org/entity/Q435940" TargetMode="External"/><Relationship Id="rId2180" Type="http://schemas.openxmlformats.org/officeDocument/2006/relationships/hyperlink" Target="http://www.wikidata.org/entity/Q2154331" TargetMode="External"/><Relationship Id="rId2181" Type="http://schemas.openxmlformats.org/officeDocument/2006/relationships/hyperlink" Target="http://www.wikidata.org/entity/Q250867" TargetMode="External"/><Relationship Id="rId2182" Type="http://schemas.openxmlformats.org/officeDocument/2006/relationships/hyperlink" Target="http://www.wikidata.org/entity/Q2154331" TargetMode="External"/><Relationship Id="rId2183" Type="http://schemas.openxmlformats.org/officeDocument/2006/relationships/hyperlink" Target="http://www.wikidata.org/entity/Q2251335" TargetMode="External"/><Relationship Id="rId385" Type="http://schemas.openxmlformats.org/officeDocument/2006/relationships/hyperlink" Target="http://www.wikidata.org/entity/Q250867" TargetMode="External"/><Relationship Id="rId2184" Type="http://schemas.openxmlformats.org/officeDocument/2006/relationships/hyperlink" Target="http://www.wikidata.org/entity/Q2215154" TargetMode="External"/><Relationship Id="rId384" Type="http://schemas.openxmlformats.org/officeDocument/2006/relationships/hyperlink" Target="http://www.wikidata.org/entity/Q11071766" TargetMode="External"/><Relationship Id="rId2185" Type="http://schemas.openxmlformats.org/officeDocument/2006/relationships/hyperlink" Target="http://www.wikidata.org/entity/Q955464" TargetMode="External"/><Relationship Id="rId383" Type="http://schemas.openxmlformats.org/officeDocument/2006/relationships/hyperlink" Target="http://www.wikidata.org/entity/Q219477" TargetMode="External"/><Relationship Id="rId2186" Type="http://schemas.openxmlformats.org/officeDocument/2006/relationships/hyperlink" Target="http://www.wikidata.org/entity/Q2215154" TargetMode="External"/><Relationship Id="rId382" Type="http://schemas.openxmlformats.org/officeDocument/2006/relationships/hyperlink" Target="http://www.wikidata.org/entity/Q11071766" TargetMode="External"/><Relationship Id="rId2187" Type="http://schemas.openxmlformats.org/officeDocument/2006/relationships/hyperlink" Target="http://www.wikidata.org/entity/Q822146" TargetMode="External"/><Relationship Id="rId389" Type="http://schemas.openxmlformats.org/officeDocument/2006/relationships/hyperlink" Target="http://www.wikidata.org/entity/Q3185717" TargetMode="External"/><Relationship Id="rId2188" Type="http://schemas.openxmlformats.org/officeDocument/2006/relationships/hyperlink" Target="http://www.wikidata.org/entity/Q2215154" TargetMode="External"/><Relationship Id="rId388" Type="http://schemas.openxmlformats.org/officeDocument/2006/relationships/hyperlink" Target="http://commons.wikimedia.org/wiki/Special:FilePath/WLvanHelten.jpg" TargetMode="External"/><Relationship Id="rId2189" Type="http://schemas.openxmlformats.org/officeDocument/2006/relationships/hyperlink" Target="http://www.wikidata.org/entity/Q250867" TargetMode="External"/><Relationship Id="rId387" Type="http://schemas.openxmlformats.org/officeDocument/2006/relationships/hyperlink" Target="http://www.wikidata.org/entity/Q13418253" TargetMode="External"/><Relationship Id="rId386" Type="http://schemas.openxmlformats.org/officeDocument/2006/relationships/hyperlink" Target="http://www.wikidata.org/entity/Q18093100" TargetMode="External"/><Relationship Id="rId381" Type="http://schemas.openxmlformats.org/officeDocument/2006/relationships/hyperlink" Target="http://www.wikidata.org/entity/Q611644" TargetMode="External"/><Relationship Id="rId380" Type="http://schemas.openxmlformats.org/officeDocument/2006/relationships/hyperlink" Target="http://www.wikidata.org/entity/Q11071766" TargetMode="External"/><Relationship Id="rId379" Type="http://schemas.openxmlformats.org/officeDocument/2006/relationships/hyperlink" Target="http://www.wikidata.org/entity/Q955464" TargetMode="External"/><Relationship Id="rId2170" Type="http://schemas.openxmlformats.org/officeDocument/2006/relationships/hyperlink" Target="http://www.wikidata.org/entity/Q1234713" TargetMode="External"/><Relationship Id="rId2171" Type="http://schemas.openxmlformats.org/officeDocument/2006/relationships/hyperlink" Target="http://www.wikidata.org/entity/Q3080591" TargetMode="External"/><Relationship Id="rId2172" Type="http://schemas.openxmlformats.org/officeDocument/2006/relationships/hyperlink" Target="http://www.wikidata.org/entity/Q40348" TargetMode="External"/><Relationship Id="rId374" Type="http://schemas.openxmlformats.org/officeDocument/2006/relationships/hyperlink" Target="http://www.wikidata.org/entity/Q2181847" TargetMode="External"/><Relationship Id="rId2173" Type="http://schemas.openxmlformats.org/officeDocument/2006/relationships/hyperlink" Target="http://www.wikidata.org/entity/Q970833" TargetMode="External"/><Relationship Id="rId373" Type="http://schemas.openxmlformats.org/officeDocument/2006/relationships/hyperlink" Target="http://commons.wikimedia.org/wiki/Special:FilePath/Joseph%20van%20den%20Gheyn%20%281854-1913%29.jpg" TargetMode="External"/><Relationship Id="rId2174" Type="http://schemas.openxmlformats.org/officeDocument/2006/relationships/hyperlink" Target="http://www.wikidata.org/entity/Q635734" TargetMode="External"/><Relationship Id="rId372" Type="http://schemas.openxmlformats.org/officeDocument/2006/relationships/hyperlink" Target="http://www.wikidata.org/entity/Q182436" TargetMode="External"/><Relationship Id="rId2175" Type="http://schemas.openxmlformats.org/officeDocument/2006/relationships/hyperlink" Target="http://commons.wikimedia.org/wiki/Special:FilePath/KarelFransStallaert.jpg" TargetMode="External"/><Relationship Id="rId371" Type="http://schemas.openxmlformats.org/officeDocument/2006/relationships/hyperlink" Target="http://www.wikidata.org/entity/Q3185717" TargetMode="External"/><Relationship Id="rId2176" Type="http://schemas.openxmlformats.org/officeDocument/2006/relationships/hyperlink" Target="http://www.wikidata.org/entity/Q2154331" TargetMode="External"/><Relationship Id="rId378" Type="http://schemas.openxmlformats.org/officeDocument/2006/relationships/hyperlink" Target="http://www.wikidata.org/entity/Q11071766" TargetMode="External"/><Relationship Id="rId2177" Type="http://schemas.openxmlformats.org/officeDocument/2006/relationships/hyperlink" Target="http://www.wikidata.org/entity/Q82955" TargetMode="External"/><Relationship Id="rId377" Type="http://schemas.openxmlformats.org/officeDocument/2006/relationships/hyperlink" Target="http://www.wikidata.org/entity/Q1162163" TargetMode="External"/><Relationship Id="rId2178" Type="http://schemas.openxmlformats.org/officeDocument/2006/relationships/hyperlink" Target="http://www.wikidata.org/entity/Q2154331" TargetMode="External"/><Relationship Id="rId376" Type="http://schemas.openxmlformats.org/officeDocument/2006/relationships/hyperlink" Target="http://www.wikidata.org/entity/Q2181847" TargetMode="External"/><Relationship Id="rId2179" Type="http://schemas.openxmlformats.org/officeDocument/2006/relationships/hyperlink" Target="http://www.wikidata.org/entity/Q1162163" TargetMode="External"/><Relationship Id="rId375" Type="http://schemas.openxmlformats.org/officeDocument/2006/relationships/hyperlink" Target="http://www.wikidata.org/entity/Q212238" TargetMode="External"/><Relationship Id="rId2190" Type="http://schemas.openxmlformats.org/officeDocument/2006/relationships/hyperlink" Target="http://www.wikidata.org/entity/Q2546317" TargetMode="External"/><Relationship Id="rId2191" Type="http://schemas.openxmlformats.org/officeDocument/2006/relationships/hyperlink" Target="http://www.wikidata.org/entity/Q6051619" TargetMode="External"/><Relationship Id="rId2192" Type="http://schemas.openxmlformats.org/officeDocument/2006/relationships/hyperlink" Target="http://commons.wikimedia.org/wiki/Special:FilePath/Eugeen%20van%20Oye%20-%20Statue%20in%20Gistel.jpg" TargetMode="External"/><Relationship Id="rId2193" Type="http://schemas.openxmlformats.org/officeDocument/2006/relationships/hyperlink" Target="http://www.wikidata.org/entity/Q2183646" TargetMode="External"/><Relationship Id="rId2194" Type="http://schemas.openxmlformats.org/officeDocument/2006/relationships/hyperlink" Target="http://www.wikidata.org/entity/Q774306" TargetMode="External"/><Relationship Id="rId396" Type="http://schemas.openxmlformats.org/officeDocument/2006/relationships/hyperlink" Target="http://www.wikidata.org/entity/Q36180" TargetMode="External"/><Relationship Id="rId2195" Type="http://schemas.openxmlformats.org/officeDocument/2006/relationships/hyperlink" Target="http://commons.wikimedia.org/wiki/Special:FilePath/Emiel%20Lauwers%20-%20Kortrijk%20-%20Belgi%C3%AB.jpg" TargetMode="External"/><Relationship Id="rId395" Type="http://schemas.openxmlformats.org/officeDocument/2006/relationships/hyperlink" Target="http://www.wikidata.org/entity/Q18533827" TargetMode="External"/><Relationship Id="rId2196" Type="http://schemas.openxmlformats.org/officeDocument/2006/relationships/hyperlink" Target="http://www.wikidata.org/entity/Q2332586" TargetMode="External"/><Relationship Id="rId394" Type="http://schemas.openxmlformats.org/officeDocument/2006/relationships/hyperlink" Target="http://commons.wikimedia.org/wiki/Special:FilePath/PieterG%C3%A9nard.jpg" TargetMode="External"/><Relationship Id="rId2197" Type="http://schemas.openxmlformats.org/officeDocument/2006/relationships/hyperlink" Target="http://www.wikidata.org/entity/Q49757" TargetMode="External"/><Relationship Id="rId393" Type="http://schemas.openxmlformats.org/officeDocument/2006/relationships/hyperlink" Target="http://www.wikidata.org/entity/Q212238" TargetMode="External"/><Relationship Id="rId2198" Type="http://schemas.openxmlformats.org/officeDocument/2006/relationships/hyperlink" Target="http://www.wikidata.org/entity/Q2770967" TargetMode="External"/><Relationship Id="rId2199" Type="http://schemas.openxmlformats.org/officeDocument/2006/relationships/hyperlink" Target="http://www.wikidata.org/entity/Q201788" TargetMode="External"/><Relationship Id="rId399" Type="http://schemas.openxmlformats.org/officeDocument/2006/relationships/hyperlink" Target="http://www.wikidata.org/entity/Q11977377" TargetMode="External"/><Relationship Id="rId398" Type="http://schemas.openxmlformats.org/officeDocument/2006/relationships/hyperlink" Target="http://www.wikidata.org/entity/Q2450554" TargetMode="External"/><Relationship Id="rId397" Type="http://schemas.openxmlformats.org/officeDocument/2006/relationships/hyperlink" Target="http://commons.wikimedia.org/wiki/Special:FilePath/Portret%20van%20Edmond%20Van%20der%20Straeten%201895%20barcode%20910000105444.jpg" TargetMode="External"/><Relationship Id="rId1730" Type="http://schemas.openxmlformats.org/officeDocument/2006/relationships/hyperlink" Target="http://www.wikidata.org/entity/Q435940" TargetMode="External"/><Relationship Id="rId1731" Type="http://schemas.openxmlformats.org/officeDocument/2006/relationships/hyperlink" Target="http://www.wikidata.org/entity/Q118612085" TargetMode="External"/><Relationship Id="rId1732" Type="http://schemas.openxmlformats.org/officeDocument/2006/relationships/hyperlink" Target="http://www.wikidata.org/entity/Q3704253" TargetMode="External"/><Relationship Id="rId1733" Type="http://schemas.openxmlformats.org/officeDocument/2006/relationships/hyperlink" Target="http://www.wikidata.org/entity/Q120721942" TargetMode="External"/><Relationship Id="rId1734" Type="http://schemas.openxmlformats.org/officeDocument/2006/relationships/hyperlink" Target="http://www.wikidata.org/entity/Q1657500" TargetMode="External"/><Relationship Id="rId1735" Type="http://schemas.openxmlformats.org/officeDocument/2006/relationships/hyperlink" Target="http://www.wikidata.org/entity/Q118612085" TargetMode="External"/><Relationship Id="rId1736" Type="http://schemas.openxmlformats.org/officeDocument/2006/relationships/hyperlink" Target="http://www.wikidata.org/entity/Q2251335" TargetMode="External"/><Relationship Id="rId1737" Type="http://schemas.openxmlformats.org/officeDocument/2006/relationships/hyperlink" Target="http://www.wikidata.org/entity/Q118612085" TargetMode="External"/><Relationship Id="rId1738" Type="http://schemas.openxmlformats.org/officeDocument/2006/relationships/hyperlink" Target="http://www.wikidata.org/entity/Q5322166" TargetMode="External"/><Relationship Id="rId1739" Type="http://schemas.openxmlformats.org/officeDocument/2006/relationships/hyperlink" Target="http://www.wikidata.org/entity/Q115982545" TargetMode="External"/><Relationship Id="rId1720" Type="http://schemas.openxmlformats.org/officeDocument/2006/relationships/hyperlink" Target="http://www.wikidata.org/entity/Q119860278" TargetMode="External"/><Relationship Id="rId1721" Type="http://schemas.openxmlformats.org/officeDocument/2006/relationships/hyperlink" Target="http://www.wikidata.org/entity/Q998550" TargetMode="External"/><Relationship Id="rId1722" Type="http://schemas.openxmlformats.org/officeDocument/2006/relationships/hyperlink" Target="http://www.wikidata.org/entity/Q117244596" TargetMode="External"/><Relationship Id="rId1723" Type="http://schemas.openxmlformats.org/officeDocument/2006/relationships/hyperlink" Target="http://www.wikidata.org/entity/Q833860" TargetMode="External"/><Relationship Id="rId1724" Type="http://schemas.openxmlformats.org/officeDocument/2006/relationships/hyperlink" Target="http://commons.wikimedia.org/wiki/Special:FilePath/Foto%20van%20Hortense%20Gezelle.jpg" TargetMode="External"/><Relationship Id="rId1725" Type="http://schemas.openxmlformats.org/officeDocument/2006/relationships/hyperlink" Target="http://www.wikidata.org/entity/Q120729903" TargetMode="External"/><Relationship Id="rId1726" Type="http://schemas.openxmlformats.org/officeDocument/2006/relationships/hyperlink" Target="http://www.wikidata.org/entity/Q219477" TargetMode="External"/><Relationship Id="rId1727" Type="http://schemas.openxmlformats.org/officeDocument/2006/relationships/hyperlink" Target="http://www.wikidata.org/entity/Q119860278" TargetMode="External"/><Relationship Id="rId1728" Type="http://schemas.openxmlformats.org/officeDocument/2006/relationships/hyperlink" Target="http://www.wikidata.org/entity/Q6673651" TargetMode="External"/><Relationship Id="rId1729" Type="http://schemas.openxmlformats.org/officeDocument/2006/relationships/hyperlink" Target="http://www.wikidata.org/entity/Q118644563" TargetMode="External"/><Relationship Id="rId1752" Type="http://schemas.openxmlformats.org/officeDocument/2006/relationships/hyperlink" Target="http://www.wikidata.org/entity/Q876864" TargetMode="External"/><Relationship Id="rId1753" Type="http://schemas.openxmlformats.org/officeDocument/2006/relationships/hyperlink" Target="http://www.wikidata.org/entity/Q116460145" TargetMode="External"/><Relationship Id="rId1754" Type="http://schemas.openxmlformats.org/officeDocument/2006/relationships/hyperlink" Target="http://www.wikidata.org/entity/Q1021658" TargetMode="External"/><Relationship Id="rId1755" Type="http://schemas.openxmlformats.org/officeDocument/2006/relationships/hyperlink" Target="http://www.wikidata.org/entity/Q115839360" TargetMode="External"/><Relationship Id="rId1756" Type="http://schemas.openxmlformats.org/officeDocument/2006/relationships/hyperlink" Target="http://www.wikidata.org/entity/Q11977377" TargetMode="External"/><Relationship Id="rId1757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1758" Type="http://schemas.openxmlformats.org/officeDocument/2006/relationships/hyperlink" Target="http://www.wikidata.org/entity/Q118772822" TargetMode="External"/><Relationship Id="rId1759" Type="http://schemas.openxmlformats.org/officeDocument/2006/relationships/hyperlink" Target="http://www.wikidata.org/entity/Q836904" TargetMode="External"/><Relationship Id="rId1750" Type="http://schemas.openxmlformats.org/officeDocument/2006/relationships/hyperlink" Target="http://www.wikidata.org/entity/Q635734" TargetMode="External"/><Relationship Id="rId1751" Type="http://schemas.openxmlformats.org/officeDocument/2006/relationships/hyperlink" Target="http://www.wikidata.org/entity/Q116460145" TargetMode="External"/><Relationship Id="rId1741" Type="http://schemas.openxmlformats.org/officeDocument/2006/relationships/hyperlink" Target="http://www.wikidata.org/entity/Q120721942" TargetMode="External"/><Relationship Id="rId1742" Type="http://schemas.openxmlformats.org/officeDocument/2006/relationships/hyperlink" Target="http://www.wikidata.org/entity/Q1469535" TargetMode="External"/><Relationship Id="rId1743" Type="http://schemas.openxmlformats.org/officeDocument/2006/relationships/hyperlink" Target="http://www.wikidata.org/entity/Q116508494" TargetMode="External"/><Relationship Id="rId1744" Type="http://schemas.openxmlformats.org/officeDocument/2006/relationships/hyperlink" Target="http://www.wikidata.org/entity/Q37226" TargetMode="External"/><Relationship Id="rId1745" Type="http://schemas.openxmlformats.org/officeDocument/2006/relationships/hyperlink" Target="http://www.wikidata.org/entity/Q116460145" TargetMode="External"/><Relationship Id="rId1746" Type="http://schemas.openxmlformats.org/officeDocument/2006/relationships/hyperlink" Target="http://www.wikidata.org/entity/Q212238" TargetMode="External"/><Relationship Id="rId1747" Type="http://schemas.openxmlformats.org/officeDocument/2006/relationships/hyperlink" Target="http://www.wikidata.org/entity/Q116460145" TargetMode="External"/><Relationship Id="rId1748" Type="http://schemas.openxmlformats.org/officeDocument/2006/relationships/hyperlink" Target="http://www.wikidata.org/entity/Q182436" TargetMode="External"/><Relationship Id="rId1749" Type="http://schemas.openxmlformats.org/officeDocument/2006/relationships/hyperlink" Target="http://www.wikidata.org/entity/Q116460145" TargetMode="External"/><Relationship Id="rId1740" Type="http://schemas.openxmlformats.org/officeDocument/2006/relationships/hyperlink" Target="http://www.wikidata.org/entity/Q115705951" TargetMode="External"/><Relationship Id="rId1710" Type="http://schemas.openxmlformats.org/officeDocument/2006/relationships/hyperlink" Target="http://www.wikidata.org/entity/Q82955" TargetMode="External"/><Relationship Id="rId1711" Type="http://schemas.openxmlformats.org/officeDocument/2006/relationships/hyperlink" Target="http://www.wikidata.org/entity/Q120721942" TargetMode="External"/><Relationship Id="rId1712" Type="http://schemas.openxmlformats.org/officeDocument/2006/relationships/hyperlink" Target="http://www.wikidata.org/entity/Q1056391" TargetMode="External"/><Relationship Id="rId1713" Type="http://schemas.openxmlformats.org/officeDocument/2006/relationships/hyperlink" Target="http://www.wikidata.org/entity/Q115839360" TargetMode="External"/><Relationship Id="rId1714" Type="http://schemas.openxmlformats.org/officeDocument/2006/relationships/hyperlink" Target="http://www.wikidata.org/entity/Q250867" TargetMode="External"/><Relationship Id="rId1715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1716" Type="http://schemas.openxmlformats.org/officeDocument/2006/relationships/hyperlink" Target="http://www.wikidata.org/entity/Q119860278" TargetMode="External"/><Relationship Id="rId1717" Type="http://schemas.openxmlformats.org/officeDocument/2006/relationships/hyperlink" Target="http://www.wikidata.org/entity/Q2516866" TargetMode="External"/><Relationship Id="rId1718" Type="http://schemas.openxmlformats.org/officeDocument/2006/relationships/hyperlink" Target="http://www.wikidata.org/entity/Q120721942" TargetMode="External"/><Relationship Id="rId1719" Type="http://schemas.openxmlformats.org/officeDocument/2006/relationships/hyperlink" Target="http://www.wikidata.org/entity/Q2251335" TargetMode="External"/><Relationship Id="rId1700" Type="http://schemas.openxmlformats.org/officeDocument/2006/relationships/hyperlink" Target="http://www.wikidata.org/entity/Q120472271" TargetMode="External"/><Relationship Id="rId1701" Type="http://schemas.openxmlformats.org/officeDocument/2006/relationships/hyperlink" Target="http://www.wikidata.org/entity/Q1753370" TargetMode="External"/><Relationship Id="rId1702" Type="http://schemas.openxmlformats.org/officeDocument/2006/relationships/hyperlink" Target="http://www.wikidata.org/entity/Q119701807" TargetMode="External"/><Relationship Id="rId1703" Type="http://schemas.openxmlformats.org/officeDocument/2006/relationships/hyperlink" Target="http://www.wikidata.org/entity/Q37226" TargetMode="External"/><Relationship Id="rId1704" Type="http://schemas.openxmlformats.org/officeDocument/2006/relationships/hyperlink" Target="http://www.wikidata.org/entity/Q115839360" TargetMode="External"/><Relationship Id="rId1705" Type="http://schemas.openxmlformats.org/officeDocument/2006/relationships/hyperlink" Target="http://www.wikidata.org/entity/Q1056391" TargetMode="External"/><Relationship Id="rId1706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1707" Type="http://schemas.openxmlformats.org/officeDocument/2006/relationships/hyperlink" Target="http://www.wikidata.org/entity/Q120721942" TargetMode="External"/><Relationship Id="rId1708" Type="http://schemas.openxmlformats.org/officeDocument/2006/relationships/hyperlink" Target="http://www.wikidata.org/entity/Q955464" TargetMode="External"/><Relationship Id="rId1709" Type="http://schemas.openxmlformats.org/officeDocument/2006/relationships/hyperlink" Target="http://www.wikidata.org/entity/Q119860278" TargetMode="External"/><Relationship Id="rId40" Type="http://schemas.openxmlformats.org/officeDocument/2006/relationships/hyperlink" Target="http://www.wikidata.org/entity/Q2619202" TargetMode="External"/><Relationship Id="rId3513" Type="http://schemas.openxmlformats.org/officeDocument/2006/relationships/hyperlink" Target="http://www.wikidata.org/entity/Q175151" TargetMode="External"/><Relationship Id="rId3512" Type="http://schemas.openxmlformats.org/officeDocument/2006/relationships/hyperlink" Target="http://www.wikidata.org/entity/Q111336261" TargetMode="External"/><Relationship Id="rId42" Type="http://schemas.openxmlformats.org/officeDocument/2006/relationships/hyperlink" Target="http://www.wikidata.org/entity/Q2191260" TargetMode="External"/><Relationship Id="rId3515" Type="http://schemas.openxmlformats.org/officeDocument/2006/relationships/hyperlink" Target="http://www.wikidata.org/entity/Q3391743" TargetMode="External"/><Relationship Id="rId41" Type="http://schemas.openxmlformats.org/officeDocument/2006/relationships/hyperlink" Target="http://www.wikidata.org/entity/Q2251335" TargetMode="External"/><Relationship Id="rId3514" Type="http://schemas.openxmlformats.org/officeDocument/2006/relationships/hyperlink" Target="http://www.wikidata.org/entity/Q111336261" TargetMode="External"/><Relationship Id="rId44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3517" Type="http://schemas.openxmlformats.org/officeDocument/2006/relationships/hyperlink" Target="http://www.wikidata.org/entity/Q16947657" TargetMode="External"/><Relationship Id="rId43" Type="http://schemas.openxmlformats.org/officeDocument/2006/relationships/hyperlink" Target="http://www.wikidata.org/entity/Q114371470" TargetMode="External"/><Relationship Id="rId3516" Type="http://schemas.openxmlformats.org/officeDocument/2006/relationships/hyperlink" Target="http://www.wikidata.org/entity/Q111336261" TargetMode="External"/><Relationship Id="rId46" Type="http://schemas.openxmlformats.org/officeDocument/2006/relationships/hyperlink" Target="http://www.wikidata.org/entity/Q2251335" TargetMode="External"/><Relationship Id="rId3519" Type="http://schemas.openxmlformats.org/officeDocument/2006/relationships/hyperlink" Target="http://www.wikidata.org/entity/Q42603" TargetMode="External"/><Relationship Id="rId45" Type="http://schemas.openxmlformats.org/officeDocument/2006/relationships/hyperlink" Target="http://www.wikidata.org/entity/Q2298746" TargetMode="External"/><Relationship Id="rId3518" Type="http://schemas.openxmlformats.org/officeDocument/2006/relationships/hyperlink" Target="http://www.wikidata.org/entity/Q115813555" TargetMode="External"/><Relationship Id="rId48" Type="http://schemas.openxmlformats.org/officeDocument/2006/relationships/hyperlink" Target="http://www.wikidata.org/entity/Q611644" TargetMode="External"/><Relationship Id="rId47" Type="http://schemas.openxmlformats.org/officeDocument/2006/relationships/hyperlink" Target="http://www.wikidata.org/entity/Q672816" TargetMode="External"/><Relationship Id="rId49" Type="http://schemas.openxmlformats.org/officeDocument/2006/relationships/hyperlink" Target="http://commons.wikimedia.org/wiki/Special:FilePath/Wiseman.jpg" TargetMode="External"/><Relationship Id="rId3511" Type="http://schemas.openxmlformats.org/officeDocument/2006/relationships/hyperlink" Target="http://www.wikidata.org/entity/Q1657500" TargetMode="External"/><Relationship Id="rId3510" Type="http://schemas.openxmlformats.org/officeDocument/2006/relationships/hyperlink" Target="http://www.wikidata.org/entity/Q110039191" TargetMode="External"/><Relationship Id="rId3502" Type="http://schemas.openxmlformats.org/officeDocument/2006/relationships/hyperlink" Target="http://www.wikidata.org/entity/Q110039191" TargetMode="External"/><Relationship Id="rId3501" Type="http://schemas.openxmlformats.org/officeDocument/2006/relationships/hyperlink" Target="http://www.wikidata.org/entity/Q955464" TargetMode="External"/><Relationship Id="rId31" Type="http://schemas.openxmlformats.org/officeDocument/2006/relationships/hyperlink" Target="http://commons.wikimedia.org/wiki/Special:FilePath/Stijn%20Streuvels%20by%20Modest%20Huys%20%28cropped%29.jpg" TargetMode="External"/><Relationship Id="rId3504" Type="http://schemas.openxmlformats.org/officeDocument/2006/relationships/hyperlink" Target="http://www.wikidata.org/entity/Q115813555" TargetMode="External"/><Relationship Id="rId30" Type="http://schemas.openxmlformats.org/officeDocument/2006/relationships/hyperlink" Target="http://www.wikidata.org/entity/Q33231" TargetMode="External"/><Relationship Id="rId3503" Type="http://schemas.openxmlformats.org/officeDocument/2006/relationships/hyperlink" Target="http://www.wikidata.org/entity/Q1162163" TargetMode="External"/><Relationship Id="rId33" Type="http://schemas.openxmlformats.org/officeDocument/2006/relationships/hyperlink" Target="http://www.wikidata.org/entity/Q955464" TargetMode="External"/><Relationship Id="rId3506" Type="http://schemas.openxmlformats.org/officeDocument/2006/relationships/hyperlink" Target="http://www.wikidata.org/entity/Q110039191" TargetMode="External"/><Relationship Id="rId32" Type="http://schemas.openxmlformats.org/officeDocument/2006/relationships/hyperlink" Target="http://www.wikidata.org/entity/Q2619202" TargetMode="External"/><Relationship Id="rId3505" Type="http://schemas.openxmlformats.org/officeDocument/2006/relationships/hyperlink" Target="http://www.wikidata.org/entity/Q1958649" TargetMode="External"/><Relationship Id="rId35" Type="http://schemas.openxmlformats.org/officeDocument/2006/relationships/hyperlink" Target="http://www.wikidata.org/entity/Q250867" TargetMode="External"/><Relationship Id="rId3508" Type="http://schemas.openxmlformats.org/officeDocument/2006/relationships/hyperlink" Target="http://www.wikidata.org/entity/Q110039191" TargetMode="External"/><Relationship Id="rId34" Type="http://schemas.openxmlformats.org/officeDocument/2006/relationships/hyperlink" Target="http://www.wikidata.org/entity/Q2619202" TargetMode="External"/><Relationship Id="rId3507" Type="http://schemas.openxmlformats.org/officeDocument/2006/relationships/hyperlink" Target="http://www.wikidata.org/entity/Q250867" TargetMode="External"/><Relationship Id="rId3509" Type="http://schemas.openxmlformats.org/officeDocument/2006/relationships/hyperlink" Target="http://www.wikidata.org/entity/Q2251335" TargetMode="External"/><Relationship Id="rId37" Type="http://schemas.openxmlformats.org/officeDocument/2006/relationships/hyperlink" Target="http://www.wikidata.org/entity/Q955464" TargetMode="External"/><Relationship Id="rId36" Type="http://schemas.openxmlformats.org/officeDocument/2006/relationships/hyperlink" Target="http://www.wikidata.org/entity/Q2298746" TargetMode="External"/><Relationship Id="rId39" Type="http://schemas.openxmlformats.org/officeDocument/2006/relationships/hyperlink" Target="http://www.wikidata.org/entity/Q3243461" TargetMode="External"/><Relationship Id="rId38" Type="http://schemas.openxmlformats.org/officeDocument/2006/relationships/hyperlink" Target="http://www.wikidata.org/entity/Q2619202" TargetMode="External"/><Relationship Id="rId3500" Type="http://schemas.openxmlformats.org/officeDocument/2006/relationships/hyperlink" Target="http://www.wikidata.org/entity/Q110039191" TargetMode="External"/><Relationship Id="rId2203" Type="http://schemas.openxmlformats.org/officeDocument/2006/relationships/hyperlink" Target="http://www.wikidata.org/entity/Q36834" TargetMode="External"/><Relationship Id="rId3535" Type="http://schemas.openxmlformats.org/officeDocument/2006/relationships/hyperlink" Target="http://www.wikidata.org/entity/Q56036067" TargetMode="External"/><Relationship Id="rId2204" Type="http://schemas.openxmlformats.org/officeDocument/2006/relationships/hyperlink" Target="http://www.wikidata.org/entity/Q2770967" TargetMode="External"/><Relationship Id="rId3534" Type="http://schemas.openxmlformats.org/officeDocument/2006/relationships/hyperlink" Target="http://commons.wikimedia.org/wiki/Special:FilePath/Eerwaarde%20Heer%20pastoor%20Dani%C3%ABls%2C%20PA04467.jpg" TargetMode="External"/><Relationship Id="rId20" Type="http://schemas.openxmlformats.org/officeDocument/2006/relationships/hyperlink" Target="http://www.wikidata.org/entity/Q28389" TargetMode="External"/><Relationship Id="rId2205" Type="http://schemas.openxmlformats.org/officeDocument/2006/relationships/hyperlink" Target="http://www.wikidata.org/entity/Q250867" TargetMode="External"/><Relationship Id="rId3537" Type="http://schemas.openxmlformats.org/officeDocument/2006/relationships/hyperlink" Target="http://www.wikidata.org/entity/Q56036026" TargetMode="External"/><Relationship Id="rId2206" Type="http://schemas.openxmlformats.org/officeDocument/2006/relationships/hyperlink" Target="http://www.wikidata.org/entity/Q7190386" TargetMode="External"/><Relationship Id="rId3536" Type="http://schemas.openxmlformats.org/officeDocument/2006/relationships/hyperlink" Target="http://www.wikidata.org/entity/Q955464" TargetMode="External"/><Relationship Id="rId22" Type="http://schemas.openxmlformats.org/officeDocument/2006/relationships/hyperlink" Target="http://www.wikidata.org/entity/Q4902927" TargetMode="External"/><Relationship Id="rId2207" Type="http://schemas.openxmlformats.org/officeDocument/2006/relationships/hyperlink" Target="http://www.wikidata.org/entity/Q1753370" TargetMode="External"/><Relationship Id="rId3539" Type="http://schemas.openxmlformats.org/officeDocument/2006/relationships/hyperlink" Target="http://www.wikidata.org/entity/Q56036026" TargetMode="External"/><Relationship Id="rId21" Type="http://schemas.openxmlformats.org/officeDocument/2006/relationships/hyperlink" Target="http://commons.wikimedia.org/wiki/Special:FilePath/Stijn%20Streuvels%20by%20Modest%20Huys%20%28cropped%29.jpg" TargetMode="External"/><Relationship Id="rId2208" Type="http://schemas.openxmlformats.org/officeDocument/2006/relationships/hyperlink" Target="http://www.wikidata.org/entity/Q2332586" TargetMode="External"/><Relationship Id="rId3538" Type="http://schemas.openxmlformats.org/officeDocument/2006/relationships/hyperlink" Target="http://www.wikidata.org/entity/Q333634" TargetMode="External"/><Relationship Id="rId24" Type="http://schemas.openxmlformats.org/officeDocument/2006/relationships/hyperlink" Target="http://www.wikidata.org/entity/Q4902927" TargetMode="External"/><Relationship Id="rId2209" Type="http://schemas.openxmlformats.org/officeDocument/2006/relationships/hyperlink" Target="http://www.wikidata.org/entity/Q42603" TargetMode="External"/><Relationship Id="rId23" Type="http://schemas.openxmlformats.org/officeDocument/2006/relationships/hyperlink" Target="http://www.wikidata.org/entity/Q82955" TargetMode="External"/><Relationship Id="rId26" Type="http://schemas.openxmlformats.org/officeDocument/2006/relationships/hyperlink" Target="http://www.wikidata.org/entity/Q175669" TargetMode="External"/><Relationship Id="rId25" Type="http://schemas.openxmlformats.org/officeDocument/2006/relationships/hyperlink" Target="http://www.wikidata.org/entity/Q333634" TargetMode="External"/><Relationship Id="rId28" Type="http://schemas.openxmlformats.org/officeDocument/2006/relationships/hyperlink" Target="http://commons.wikimedia.org/wiki/Special:FilePath/Stijn%20Streuvels%20by%20Modest%20Huys.jpg" TargetMode="External"/><Relationship Id="rId27" Type="http://schemas.openxmlformats.org/officeDocument/2006/relationships/hyperlink" Target="http://www.wikidata.org/entity/Q33231" TargetMode="External"/><Relationship Id="rId3531" Type="http://schemas.openxmlformats.org/officeDocument/2006/relationships/hyperlink" Target="http://commons.wikimedia.org/wiki/Special:FilePath/Eerwaarde%20Heer%20pastoor%20Dani%C3%ABls%2C%20PA04467.jpg" TargetMode="External"/><Relationship Id="rId29" Type="http://schemas.openxmlformats.org/officeDocument/2006/relationships/hyperlink" Target="http://www.wikidata.org/entity/Q175669" TargetMode="External"/><Relationship Id="rId2200" Type="http://schemas.openxmlformats.org/officeDocument/2006/relationships/hyperlink" Target="http://www.wikidata.org/entity/Q13576607" TargetMode="External"/><Relationship Id="rId3530" Type="http://schemas.openxmlformats.org/officeDocument/2006/relationships/hyperlink" Target="http://www.wikidata.org/entity/Q250867" TargetMode="External"/><Relationship Id="rId2201" Type="http://schemas.openxmlformats.org/officeDocument/2006/relationships/hyperlink" Target="http://www.wikidata.org/entity/Q42603" TargetMode="External"/><Relationship Id="rId3533" Type="http://schemas.openxmlformats.org/officeDocument/2006/relationships/hyperlink" Target="http://www.wikidata.org/entity/Q125919425" TargetMode="External"/><Relationship Id="rId2202" Type="http://schemas.openxmlformats.org/officeDocument/2006/relationships/hyperlink" Target="http://www.wikidata.org/entity/Q2332586" TargetMode="External"/><Relationship Id="rId3532" Type="http://schemas.openxmlformats.org/officeDocument/2006/relationships/hyperlink" Target="http://www.wikidata.org/entity/Q110039361" TargetMode="External"/><Relationship Id="rId3524" Type="http://schemas.openxmlformats.org/officeDocument/2006/relationships/hyperlink" Target="http://www.wikidata.org/entity/Q2251335" TargetMode="External"/><Relationship Id="rId3523" Type="http://schemas.openxmlformats.org/officeDocument/2006/relationships/hyperlink" Target="http://www.wikidata.org/entity/Q110039361" TargetMode="External"/><Relationship Id="rId3526" Type="http://schemas.openxmlformats.org/officeDocument/2006/relationships/hyperlink" Target="http://www.wikidata.org/entity/Q110039361" TargetMode="External"/><Relationship Id="rId3525" Type="http://schemas.openxmlformats.org/officeDocument/2006/relationships/hyperlink" Target="http://commons.wikimedia.org/wiki/Special:FilePath/Eerwaarde%20Heer%20pastoor%20Dani%C3%ABls%2C%20PA04467.jpg" TargetMode="External"/><Relationship Id="rId11" Type="http://schemas.openxmlformats.org/officeDocument/2006/relationships/hyperlink" Target="http://www.wikidata.org/entity/Q36180" TargetMode="External"/><Relationship Id="rId3528" Type="http://schemas.openxmlformats.org/officeDocument/2006/relationships/hyperlink" Target="http://commons.wikimedia.org/wiki/Special:FilePath/Eerwaarde%20Heer%20pastoor%20Dani%C3%ABls%2C%20PA04467.jpg" TargetMode="External"/><Relationship Id="rId10" Type="http://schemas.openxmlformats.org/officeDocument/2006/relationships/hyperlink" Target="http://www.wikidata.org/entity/Q1334711" TargetMode="External"/><Relationship Id="rId3527" Type="http://schemas.openxmlformats.org/officeDocument/2006/relationships/hyperlink" Target="http://www.wikidata.org/entity/Q674426" TargetMode="External"/><Relationship Id="rId13" Type="http://schemas.openxmlformats.org/officeDocument/2006/relationships/hyperlink" Target="http://www.wikidata.org/entity/Q1334711" TargetMode="External"/><Relationship Id="rId12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3529" Type="http://schemas.openxmlformats.org/officeDocument/2006/relationships/hyperlink" Target="http://www.wikidata.org/entity/Q110039361" TargetMode="External"/><Relationship Id="rId15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4" Type="http://schemas.openxmlformats.org/officeDocument/2006/relationships/hyperlink" Target="http://www.wikidata.org/entity/Q49757" TargetMode="External"/><Relationship Id="rId17" Type="http://schemas.openxmlformats.org/officeDocument/2006/relationships/hyperlink" Target="http://www.wikidata.org/entity/Q28389" TargetMode="External"/><Relationship Id="rId16" Type="http://schemas.openxmlformats.org/officeDocument/2006/relationships/hyperlink" Target="http://www.wikidata.org/entity/Q175669" TargetMode="External"/><Relationship Id="rId19" Type="http://schemas.openxmlformats.org/officeDocument/2006/relationships/hyperlink" Target="http://www.wikidata.org/entity/Q175669" TargetMode="External"/><Relationship Id="rId3520" Type="http://schemas.openxmlformats.org/officeDocument/2006/relationships/hyperlink" Target="http://www.wikidata.org/entity/Q110039361" TargetMode="External"/><Relationship Id="rId18" Type="http://schemas.openxmlformats.org/officeDocument/2006/relationships/hyperlink" Target="http://commons.wikimedia.org/wiki/Special:FilePath/Stijn%20Streuvels%20by%20Modest%20Huys.jpg" TargetMode="External"/><Relationship Id="rId3522" Type="http://schemas.openxmlformats.org/officeDocument/2006/relationships/hyperlink" Target="http://commons.wikimedia.org/wiki/Special:FilePath/Eerwaarde%20Heer%20pastoor%20Dani%C3%ABls%2C%20PA04467.jpg" TargetMode="External"/><Relationship Id="rId3521" Type="http://schemas.openxmlformats.org/officeDocument/2006/relationships/hyperlink" Target="http://www.wikidata.org/entity/Q1072363" TargetMode="External"/><Relationship Id="rId84" Type="http://schemas.openxmlformats.org/officeDocument/2006/relationships/hyperlink" Target="http://www.wikidata.org/entity/Q3163681" TargetMode="External"/><Relationship Id="rId1774" Type="http://schemas.openxmlformats.org/officeDocument/2006/relationships/hyperlink" Target="http://www.wikidata.org/entity/Q116460145" TargetMode="External"/><Relationship Id="rId83" Type="http://schemas.openxmlformats.org/officeDocument/2006/relationships/hyperlink" Target="http://commons.wikimedia.org/wiki/Special:FilePath/Hendrik%20Conscience.jpg" TargetMode="External"/><Relationship Id="rId1775" Type="http://schemas.openxmlformats.org/officeDocument/2006/relationships/hyperlink" Target="http://www.wikidata.org/entity/Q1365552" TargetMode="External"/><Relationship Id="rId86" Type="http://schemas.openxmlformats.org/officeDocument/2006/relationships/hyperlink" Target="http://www.wikidata.org/entity/Q6242432" TargetMode="External"/><Relationship Id="rId1776" Type="http://schemas.openxmlformats.org/officeDocument/2006/relationships/hyperlink" Target="http://www.wikidata.org/entity/Q119006339" TargetMode="External"/><Relationship Id="rId85" Type="http://schemas.openxmlformats.org/officeDocument/2006/relationships/hyperlink" Target="http://www.wikidata.org/entity/Q250867" TargetMode="External"/><Relationship Id="rId1777" Type="http://schemas.openxmlformats.org/officeDocument/2006/relationships/hyperlink" Target="http://www.wikidata.org/entity/Q833860" TargetMode="External"/><Relationship Id="rId88" Type="http://schemas.openxmlformats.org/officeDocument/2006/relationships/hyperlink" Target="http://commons.wikimedia.org/wiki/Special:FilePath/PieterWillems.png" TargetMode="External"/><Relationship Id="rId1778" Type="http://schemas.openxmlformats.org/officeDocument/2006/relationships/hyperlink" Target="http://www.wikidata.org/entity/Q118142378" TargetMode="External"/><Relationship Id="rId87" Type="http://schemas.openxmlformats.org/officeDocument/2006/relationships/hyperlink" Target="http://www.wikidata.org/entity/Q201788" TargetMode="External"/><Relationship Id="rId1779" Type="http://schemas.openxmlformats.org/officeDocument/2006/relationships/hyperlink" Target="http://www.wikidata.org/entity/Q250867" TargetMode="External"/><Relationship Id="rId89" Type="http://schemas.openxmlformats.org/officeDocument/2006/relationships/hyperlink" Target="http://www.wikidata.org/entity/Q3163681" TargetMode="External"/><Relationship Id="rId80" Type="http://schemas.openxmlformats.org/officeDocument/2006/relationships/hyperlink" Target="http://commons.wikimedia.org/wiki/Special:FilePath/Hendrik%20Conscience.jpg" TargetMode="External"/><Relationship Id="rId82" Type="http://schemas.openxmlformats.org/officeDocument/2006/relationships/hyperlink" Target="http://www.wikidata.org/entity/Q47064" TargetMode="External"/><Relationship Id="rId81" Type="http://schemas.openxmlformats.org/officeDocument/2006/relationships/hyperlink" Target="http://www.wikidata.org/entity/Q378133" TargetMode="External"/><Relationship Id="rId1770" Type="http://schemas.openxmlformats.org/officeDocument/2006/relationships/hyperlink" Target="http://www.wikidata.org/entity/Q115982545" TargetMode="External"/><Relationship Id="rId1771" Type="http://schemas.openxmlformats.org/officeDocument/2006/relationships/hyperlink" Target="http://www.wikidata.org/entity/Q2251335" TargetMode="External"/><Relationship Id="rId1772" Type="http://schemas.openxmlformats.org/officeDocument/2006/relationships/hyperlink" Target="http://www.wikidata.org/entity/Q115982548" TargetMode="External"/><Relationship Id="rId1773" Type="http://schemas.openxmlformats.org/officeDocument/2006/relationships/hyperlink" Target="http://www.wikidata.org/entity/Q2251335" TargetMode="External"/><Relationship Id="rId73" Type="http://schemas.openxmlformats.org/officeDocument/2006/relationships/hyperlink" Target="http://www.wikidata.org/entity/Q36180" TargetMode="External"/><Relationship Id="rId1763" Type="http://schemas.openxmlformats.org/officeDocument/2006/relationships/hyperlink" Target="http://www.wikidata.org/entity/Q955464" TargetMode="External"/><Relationship Id="rId72" Type="http://schemas.openxmlformats.org/officeDocument/2006/relationships/hyperlink" Target="http://www.wikidata.org/entity/Q378133" TargetMode="External"/><Relationship Id="rId1764" Type="http://schemas.openxmlformats.org/officeDocument/2006/relationships/hyperlink" Target="http://www.wikidata.org/entity/Q115982548" TargetMode="External"/><Relationship Id="rId75" Type="http://schemas.openxmlformats.org/officeDocument/2006/relationships/hyperlink" Target="http://www.wikidata.org/entity/Q6242432" TargetMode="External"/><Relationship Id="rId1765" Type="http://schemas.openxmlformats.org/officeDocument/2006/relationships/hyperlink" Target="http://www.wikidata.org/entity/Q955464" TargetMode="External"/><Relationship Id="rId74" Type="http://schemas.openxmlformats.org/officeDocument/2006/relationships/hyperlink" Target="http://commons.wikimedia.org/wiki/Special:FilePath/Hendrik%20Conscience.jpg" TargetMode="External"/><Relationship Id="rId1766" Type="http://schemas.openxmlformats.org/officeDocument/2006/relationships/hyperlink" Target="http://www.wikidata.org/entity/Q115982545" TargetMode="External"/><Relationship Id="rId77" Type="http://schemas.openxmlformats.org/officeDocument/2006/relationships/hyperlink" Target="http://commons.wikimedia.org/wiki/Special:FilePath/PieterWillems.png" TargetMode="External"/><Relationship Id="rId1767" Type="http://schemas.openxmlformats.org/officeDocument/2006/relationships/hyperlink" Target="http://www.wikidata.org/entity/Q250867" TargetMode="External"/><Relationship Id="rId76" Type="http://schemas.openxmlformats.org/officeDocument/2006/relationships/hyperlink" Target="http://www.wikidata.org/entity/Q16267607" TargetMode="External"/><Relationship Id="rId1768" Type="http://schemas.openxmlformats.org/officeDocument/2006/relationships/hyperlink" Target="http://www.wikidata.org/entity/Q115982548" TargetMode="External"/><Relationship Id="rId79" Type="http://schemas.openxmlformats.org/officeDocument/2006/relationships/hyperlink" Target="http://www.wikidata.org/entity/Q49757" TargetMode="External"/><Relationship Id="rId1769" Type="http://schemas.openxmlformats.org/officeDocument/2006/relationships/hyperlink" Target="http://www.wikidata.org/entity/Q250867" TargetMode="External"/><Relationship Id="rId78" Type="http://schemas.openxmlformats.org/officeDocument/2006/relationships/hyperlink" Target="http://www.wikidata.org/entity/Q378133" TargetMode="External"/><Relationship Id="rId71" Type="http://schemas.openxmlformats.org/officeDocument/2006/relationships/hyperlink" Target="http://www.wikidata.org/entity/Q955464" TargetMode="External"/><Relationship Id="rId70" Type="http://schemas.openxmlformats.org/officeDocument/2006/relationships/hyperlink" Target="http://www.wikidata.org/entity/Q3163681" TargetMode="External"/><Relationship Id="rId1760" Type="http://schemas.openxmlformats.org/officeDocument/2006/relationships/hyperlink" Target="http://www.wikidata.org/entity/Q116460145" TargetMode="External"/><Relationship Id="rId1761" Type="http://schemas.openxmlformats.org/officeDocument/2006/relationships/hyperlink" Target="http://www.wikidata.org/entity/Q998550" TargetMode="External"/><Relationship Id="rId1762" Type="http://schemas.openxmlformats.org/officeDocument/2006/relationships/hyperlink" Target="http://www.wikidata.org/entity/Q115982545" TargetMode="External"/><Relationship Id="rId62" Type="http://schemas.openxmlformats.org/officeDocument/2006/relationships/hyperlink" Target="http://www.wikidata.org/entity/Q36180" TargetMode="External"/><Relationship Id="rId1796" Type="http://schemas.openxmlformats.org/officeDocument/2006/relationships/hyperlink" Target="http://www.wikidata.org/entity/Q118644563" TargetMode="External"/><Relationship Id="rId61" Type="http://schemas.openxmlformats.org/officeDocument/2006/relationships/hyperlink" Target="http://www.wikidata.org/entity/Q2087117" TargetMode="External"/><Relationship Id="rId1797" Type="http://schemas.openxmlformats.org/officeDocument/2006/relationships/hyperlink" Target="http://www.wikidata.org/entity/Q42603" TargetMode="External"/><Relationship Id="rId64" Type="http://schemas.openxmlformats.org/officeDocument/2006/relationships/hyperlink" Target="http://www.wikidata.org/entity/Q49757" TargetMode="External"/><Relationship Id="rId1798" Type="http://schemas.openxmlformats.org/officeDocument/2006/relationships/hyperlink" Target="http://www.wikidata.org/entity/Q118792556" TargetMode="External"/><Relationship Id="rId63" Type="http://schemas.openxmlformats.org/officeDocument/2006/relationships/hyperlink" Target="http://www.wikidata.org/entity/Q2087117" TargetMode="External"/><Relationship Id="rId1799" Type="http://schemas.openxmlformats.org/officeDocument/2006/relationships/hyperlink" Target="http://www.wikidata.org/entity/Q208762" TargetMode="External"/><Relationship Id="rId66" Type="http://schemas.openxmlformats.org/officeDocument/2006/relationships/hyperlink" Target="http://www.wikidata.org/entity/Q250867" TargetMode="External"/><Relationship Id="rId65" Type="http://schemas.openxmlformats.org/officeDocument/2006/relationships/hyperlink" Target="http://www.wikidata.org/entity/Q672816" TargetMode="External"/><Relationship Id="rId68" Type="http://schemas.openxmlformats.org/officeDocument/2006/relationships/hyperlink" Target="http://www.wikidata.org/entity/Q2619202" TargetMode="External"/><Relationship Id="rId67" Type="http://schemas.openxmlformats.org/officeDocument/2006/relationships/hyperlink" Target="http://commons.wikimedia.org/wiki/Special:FilePath/Wiseman.jpg" TargetMode="External"/><Relationship Id="rId60" Type="http://schemas.openxmlformats.org/officeDocument/2006/relationships/hyperlink" Target="http://www.wikidata.org/entity/Q1595570" TargetMode="External"/><Relationship Id="rId69" Type="http://schemas.openxmlformats.org/officeDocument/2006/relationships/hyperlink" Target="http://www.wikidata.org/entity/Q1753370" TargetMode="External"/><Relationship Id="rId1790" Type="http://schemas.openxmlformats.org/officeDocument/2006/relationships/hyperlink" Target="http://www.wikidata.org/entity/Q37226" TargetMode="External"/><Relationship Id="rId1791" Type="http://schemas.openxmlformats.org/officeDocument/2006/relationships/hyperlink" Target="http://www.wikidata.org/entity/Q115839360" TargetMode="External"/><Relationship Id="rId1792" Type="http://schemas.openxmlformats.org/officeDocument/2006/relationships/hyperlink" Target="http://www.wikidata.org/entity/Q1958649" TargetMode="External"/><Relationship Id="rId1793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1794" Type="http://schemas.openxmlformats.org/officeDocument/2006/relationships/hyperlink" Target="http://www.wikidata.org/entity/Q119217729" TargetMode="External"/><Relationship Id="rId1795" Type="http://schemas.openxmlformats.org/officeDocument/2006/relationships/hyperlink" Target="http://www.wikidata.org/entity/Q119637011" TargetMode="External"/><Relationship Id="rId51" Type="http://schemas.openxmlformats.org/officeDocument/2006/relationships/hyperlink" Target="http://www.wikidata.org/entity/Q13418253" TargetMode="External"/><Relationship Id="rId1785" Type="http://schemas.openxmlformats.org/officeDocument/2006/relationships/hyperlink" Target="http://www.wikidata.org/entity/Q1657500" TargetMode="External"/><Relationship Id="rId50" Type="http://schemas.openxmlformats.org/officeDocument/2006/relationships/hyperlink" Target="http://www.wikidata.org/entity/Q6242432" TargetMode="External"/><Relationship Id="rId1786" Type="http://schemas.openxmlformats.org/officeDocument/2006/relationships/hyperlink" Target="http://www.wikidata.org/entity/Q118142378" TargetMode="External"/><Relationship Id="rId53" Type="http://schemas.openxmlformats.org/officeDocument/2006/relationships/hyperlink" Target="http://www.wikidata.org/entity/Q175669" TargetMode="External"/><Relationship Id="rId1787" Type="http://schemas.openxmlformats.org/officeDocument/2006/relationships/hyperlink" Target="http://www.wikidata.org/entity/Q2251335" TargetMode="External"/><Relationship Id="rId52" Type="http://schemas.openxmlformats.org/officeDocument/2006/relationships/hyperlink" Target="http://commons.wikimedia.org/wiki/Special:FilePath/PieterWillems.png" TargetMode="External"/><Relationship Id="rId1788" Type="http://schemas.openxmlformats.org/officeDocument/2006/relationships/hyperlink" Target="http://www.wikidata.org/entity/Q118189670" TargetMode="External"/><Relationship Id="rId55" Type="http://schemas.openxmlformats.org/officeDocument/2006/relationships/hyperlink" Target="http://commons.wikimedia.org/wiki/Special:FilePath/Stijn%20Streuvels%20by%20Modest%20Huys.jpg" TargetMode="External"/><Relationship Id="rId1789" Type="http://schemas.openxmlformats.org/officeDocument/2006/relationships/hyperlink" Target="http://www.wikidata.org/entity/Q118644563" TargetMode="External"/><Relationship Id="rId54" Type="http://schemas.openxmlformats.org/officeDocument/2006/relationships/hyperlink" Target="http://www.wikidata.org/entity/Q107212688" TargetMode="External"/><Relationship Id="rId57" Type="http://schemas.openxmlformats.org/officeDocument/2006/relationships/hyperlink" Target="http://www.wikidata.org/entity/Q107212688" TargetMode="External"/><Relationship Id="rId56" Type="http://schemas.openxmlformats.org/officeDocument/2006/relationships/hyperlink" Target="http://www.wikidata.org/entity/Q175669" TargetMode="External"/><Relationship Id="rId59" Type="http://schemas.openxmlformats.org/officeDocument/2006/relationships/hyperlink" Target="http://www.wikidata.org/entity/Q2619202" TargetMode="External"/><Relationship Id="rId58" Type="http://schemas.openxmlformats.org/officeDocument/2006/relationships/hyperlink" Target="http://commons.wikimedia.org/wiki/Special:FilePath/Stijn%20Streuvels%20by%20Modest%20Huys%20%28cropped%29.jpg" TargetMode="External"/><Relationship Id="rId1780" Type="http://schemas.openxmlformats.org/officeDocument/2006/relationships/hyperlink" Target="http://www.wikidata.org/entity/Q119006339" TargetMode="External"/><Relationship Id="rId1781" Type="http://schemas.openxmlformats.org/officeDocument/2006/relationships/hyperlink" Target="http://www.wikidata.org/entity/Q833899" TargetMode="External"/><Relationship Id="rId1782" Type="http://schemas.openxmlformats.org/officeDocument/2006/relationships/hyperlink" Target="http://www.wikidata.org/entity/Q116510958" TargetMode="External"/><Relationship Id="rId1783" Type="http://schemas.openxmlformats.org/officeDocument/2006/relationships/hyperlink" Target="http://www.wikidata.org/entity/Q117265039" TargetMode="External"/><Relationship Id="rId1784" Type="http://schemas.openxmlformats.org/officeDocument/2006/relationships/hyperlink" Target="http://www.wikidata.org/entity/Q115982548" TargetMode="External"/><Relationship Id="rId2269" Type="http://schemas.openxmlformats.org/officeDocument/2006/relationships/hyperlink" Target="http://commons.wikimedia.org/wiki/Special:FilePath/J%20O%20Andries%201836.jpg" TargetMode="External"/><Relationship Id="rId349" Type="http://schemas.openxmlformats.org/officeDocument/2006/relationships/hyperlink" Target="http://www.wikidata.org/entity/Q250867" TargetMode="External"/><Relationship Id="rId348" Type="http://schemas.openxmlformats.org/officeDocument/2006/relationships/hyperlink" Target="http://www.wikidata.org/entity/Q2684959" TargetMode="External"/><Relationship Id="rId347" Type="http://schemas.openxmlformats.org/officeDocument/2006/relationships/hyperlink" Target="http://www.wikidata.org/entity/Q250867" TargetMode="External"/><Relationship Id="rId346" Type="http://schemas.openxmlformats.org/officeDocument/2006/relationships/hyperlink" Target="http://www.wikidata.org/entity/Q2450554" TargetMode="External"/><Relationship Id="rId3591" Type="http://schemas.openxmlformats.org/officeDocument/2006/relationships/hyperlink" Target="http://www.wikidata.org/entity/Q1753370" TargetMode="External"/><Relationship Id="rId2260" Type="http://schemas.openxmlformats.org/officeDocument/2006/relationships/hyperlink" Target="http://www.wikidata.org/entity/Q55911879" TargetMode="External"/><Relationship Id="rId3590" Type="http://schemas.openxmlformats.org/officeDocument/2006/relationships/hyperlink" Target="http://www.wikidata.org/entity/Q56036067" TargetMode="External"/><Relationship Id="rId341" Type="http://schemas.openxmlformats.org/officeDocument/2006/relationships/hyperlink" Target="http://www.wikidata.org/entity/Q1162163" TargetMode="External"/><Relationship Id="rId2261" Type="http://schemas.openxmlformats.org/officeDocument/2006/relationships/hyperlink" Target="http://www.wikidata.org/entity/Q49757" TargetMode="External"/><Relationship Id="rId3593" Type="http://schemas.openxmlformats.org/officeDocument/2006/relationships/hyperlink" Target="http://www.wikidata.org/entity/Q2251335" TargetMode="External"/><Relationship Id="rId340" Type="http://schemas.openxmlformats.org/officeDocument/2006/relationships/hyperlink" Target="http://www.wikidata.org/entity/Q2450554" TargetMode="External"/><Relationship Id="rId2262" Type="http://schemas.openxmlformats.org/officeDocument/2006/relationships/hyperlink" Target="http://www.wikidata.org/entity/Q41885755" TargetMode="External"/><Relationship Id="rId3592" Type="http://schemas.openxmlformats.org/officeDocument/2006/relationships/hyperlink" Target="http://www.wikidata.org/entity/Q115821483" TargetMode="External"/><Relationship Id="rId2263" Type="http://schemas.openxmlformats.org/officeDocument/2006/relationships/hyperlink" Target="http://www.wikidata.org/entity/Q1622272" TargetMode="External"/><Relationship Id="rId3595" Type="http://schemas.openxmlformats.org/officeDocument/2006/relationships/hyperlink" Target="http://www.wikidata.org/entity/Q2251335" TargetMode="External"/><Relationship Id="rId2264" Type="http://schemas.openxmlformats.org/officeDocument/2006/relationships/hyperlink" Target="http://www.wikidata.org/entity/Q18655152" TargetMode="External"/><Relationship Id="rId3594" Type="http://schemas.openxmlformats.org/officeDocument/2006/relationships/hyperlink" Target="http://www.wikidata.org/entity/Q115821479" TargetMode="External"/><Relationship Id="rId345" Type="http://schemas.openxmlformats.org/officeDocument/2006/relationships/hyperlink" Target="http://www.wikidata.org/entity/Q1056391" TargetMode="External"/><Relationship Id="rId2265" Type="http://schemas.openxmlformats.org/officeDocument/2006/relationships/hyperlink" Target="http://www.wikidata.org/entity/Q4594605" TargetMode="External"/><Relationship Id="rId3597" Type="http://schemas.openxmlformats.org/officeDocument/2006/relationships/hyperlink" Target="http://www.wikidata.org/entity/Q1162163" TargetMode="External"/><Relationship Id="rId344" Type="http://schemas.openxmlformats.org/officeDocument/2006/relationships/hyperlink" Target="http://www.wikidata.org/entity/Q2450554" TargetMode="External"/><Relationship Id="rId2266" Type="http://schemas.openxmlformats.org/officeDocument/2006/relationships/hyperlink" Target="http://commons.wikimedia.org/wiki/Special:FilePath/NapoleonDePauw.jpg" TargetMode="External"/><Relationship Id="rId3596" Type="http://schemas.openxmlformats.org/officeDocument/2006/relationships/hyperlink" Target="http://www.wikidata.org/entity/Q115826830" TargetMode="External"/><Relationship Id="rId343" Type="http://schemas.openxmlformats.org/officeDocument/2006/relationships/hyperlink" Target="http://www.wikidata.org/entity/Q201788" TargetMode="External"/><Relationship Id="rId2267" Type="http://schemas.openxmlformats.org/officeDocument/2006/relationships/hyperlink" Target="http://www.wikidata.org/entity/Q2306925" TargetMode="External"/><Relationship Id="rId3599" Type="http://schemas.openxmlformats.org/officeDocument/2006/relationships/hyperlink" Target="http://www.wikidata.org/entity/Q121594" TargetMode="External"/><Relationship Id="rId342" Type="http://schemas.openxmlformats.org/officeDocument/2006/relationships/hyperlink" Target="http://www.wikidata.org/entity/Q2450554" TargetMode="External"/><Relationship Id="rId2268" Type="http://schemas.openxmlformats.org/officeDocument/2006/relationships/hyperlink" Target="http://www.wikidata.org/entity/Q2251335" TargetMode="External"/><Relationship Id="rId3598" Type="http://schemas.openxmlformats.org/officeDocument/2006/relationships/hyperlink" Target="http://www.wikidata.org/entity/Q5983066" TargetMode="External"/><Relationship Id="rId2258" Type="http://schemas.openxmlformats.org/officeDocument/2006/relationships/hyperlink" Target="http://www.wikidata.org/entity/Q55911879" TargetMode="External"/><Relationship Id="rId2259" Type="http://schemas.openxmlformats.org/officeDocument/2006/relationships/hyperlink" Target="http://www.wikidata.org/entity/Q37226" TargetMode="External"/><Relationship Id="rId3589" Type="http://schemas.openxmlformats.org/officeDocument/2006/relationships/hyperlink" Target="http://www.wikidata.org/entity/Q2251335" TargetMode="External"/><Relationship Id="rId338" Type="http://schemas.openxmlformats.org/officeDocument/2006/relationships/hyperlink" Target="http://www.wikidata.org/entity/Q1056391" TargetMode="External"/><Relationship Id="rId337" Type="http://schemas.openxmlformats.org/officeDocument/2006/relationships/hyperlink" Target="http://www.wikidata.org/entity/Q2684959" TargetMode="External"/><Relationship Id="rId336" Type="http://schemas.openxmlformats.org/officeDocument/2006/relationships/hyperlink" Target="http://www.wikidata.org/entity/Q36180" TargetMode="External"/><Relationship Id="rId335" Type="http://schemas.openxmlformats.org/officeDocument/2006/relationships/hyperlink" Target="http://www.wikidata.org/entity/Q2580620" TargetMode="External"/><Relationship Id="rId3580" Type="http://schemas.openxmlformats.org/officeDocument/2006/relationships/hyperlink" Target="http://www.wikidata.org/entity/Q115821479" TargetMode="External"/><Relationship Id="rId339" Type="http://schemas.openxmlformats.org/officeDocument/2006/relationships/hyperlink" Target="http://commons.wikimedia.org/wiki/Special:FilePath/Ferdinand%20Van%20de%20Putte.jpg" TargetMode="External"/><Relationship Id="rId330" Type="http://schemas.openxmlformats.org/officeDocument/2006/relationships/hyperlink" Target="http://www.wikidata.org/entity/Q3185717" TargetMode="External"/><Relationship Id="rId2250" Type="http://schemas.openxmlformats.org/officeDocument/2006/relationships/hyperlink" Target="http://www.wikidata.org/entity/Q201788" TargetMode="External"/><Relationship Id="rId3582" Type="http://schemas.openxmlformats.org/officeDocument/2006/relationships/hyperlink" Target="http://www.wikidata.org/entity/Q115818424" TargetMode="External"/><Relationship Id="rId2251" Type="http://schemas.openxmlformats.org/officeDocument/2006/relationships/hyperlink" Target="http://www.wikidata.org/entity/Q41885755" TargetMode="External"/><Relationship Id="rId3581" Type="http://schemas.openxmlformats.org/officeDocument/2006/relationships/hyperlink" Target="http://www.wikidata.org/entity/Q250867" TargetMode="External"/><Relationship Id="rId2252" Type="http://schemas.openxmlformats.org/officeDocument/2006/relationships/hyperlink" Target="http://www.wikidata.org/entity/Q212238" TargetMode="External"/><Relationship Id="rId3584" Type="http://schemas.openxmlformats.org/officeDocument/2006/relationships/hyperlink" Target="http://www.wikidata.org/entity/Q115823191" TargetMode="External"/><Relationship Id="rId2253" Type="http://schemas.openxmlformats.org/officeDocument/2006/relationships/hyperlink" Target="http://www.wikidata.org/entity/Q2306925" TargetMode="External"/><Relationship Id="rId3583" Type="http://schemas.openxmlformats.org/officeDocument/2006/relationships/hyperlink" Target="http://www.wikidata.org/entity/Q2251335" TargetMode="External"/><Relationship Id="rId334" Type="http://schemas.openxmlformats.org/officeDocument/2006/relationships/hyperlink" Target="http://www.wikidata.org/entity/Q36180" TargetMode="External"/><Relationship Id="rId2254" Type="http://schemas.openxmlformats.org/officeDocument/2006/relationships/hyperlink" Target="http://www.wikidata.org/entity/Q201788" TargetMode="External"/><Relationship Id="rId3586" Type="http://schemas.openxmlformats.org/officeDocument/2006/relationships/hyperlink" Target="http://www.wikidata.org/entity/Q115823191" TargetMode="External"/><Relationship Id="rId333" Type="http://schemas.openxmlformats.org/officeDocument/2006/relationships/hyperlink" Target="http://www.wikidata.org/entity/Q21549953" TargetMode="External"/><Relationship Id="rId2255" Type="http://schemas.openxmlformats.org/officeDocument/2006/relationships/hyperlink" Target="http://commons.wikimedia.org/wiki/Special:FilePath/J%20O%20Andries%201836.jpg" TargetMode="External"/><Relationship Id="rId3585" Type="http://schemas.openxmlformats.org/officeDocument/2006/relationships/hyperlink" Target="http://www.wikidata.org/entity/Q955464" TargetMode="External"/><Relationship Id="rId332" Type="http://schemas.openxmlformats.org/officeDocument/2006/relationships/hyperlink" Target="http://commons.wikimedia.org/wiki/Special:FilePath/Joseph%20van%20den%20Gheyn%20%281854-1913%29.jpg" TargetMode="External"/><Relationship Id="rId2256" Type="http://schemas.openxmlformats.org/officeDocument/2006/relationships/hyperlink" Target="http://www.wikidata.org/entity/Q55911879" TargetMode="External"/><Relationship Id="rId3588" Type="http://schemas.openxmlformats.org/officeDocument/2006/relationships/hyperlink" Target="http://www.wikidata.org/entity/Q80079104" TargetMode="External"/><Relationship Id="rId331" Type="http://schemas.openxmlformats.org/officeDocument/2006/relationships/hyperlink" Target="http://www.wikidata.org/entity/Q17166634" TargetMode="External"/><Relationship Id="rId2257" Type="http://schemas.openxmlformats.org/officeDocument/2006/relationships/hyperlink" Target="http://www.wikidata.org/entity/Q36180" TargetMode="External"/><Relationship Id="rId3587" Type="http://schemas.openxmlformats.org/officeDocument/2006/relationships/hyperlink" Target="http://www.wikidata.org/entity/Q250867" TargetMode="External"/><Relationship Id="rId370" Type="http://schemas.openxmlformats.org/officeDocument/2006/relationships/hyperlink" Target="http://commons.wikimedia.org/wiki/Special:FilePath/Ferdinand%20Van%20de%20Putte.jpg" TargetMode="External"/><Relationship Id="rId369" Type="http://schemas.openxmlformats.org/officeDocument/2006/relationships/hyperlink" Target="http://www.wikidata.org/entity/Q36180" TargetMode="External"/><Relationship Id="rId368" Type="http://schemas.openxmlformats.org/officeDocument/2006/relationships/hyperlink" Target="http://www.wikidata.org/entity/Q2684959" TargetMode="External"/><Relationship Id="rId2280" Type="http://schemas.openxmlformats.org/officeDocument/2006/relationships/hyperlink" Target="http://commons.wikimedia.org/wiki/Special:FilePath/Wazenaar%20Amand%20de%20Vos.jpg" TargetMode="External"/><Relationship Id="rId2281" Type="http://schemas.openxmlformats.org/officeDocument/2006/relationships/hyperlink" Target="http://www.wikidata.org/entity/Q2481707" TargetMode="External"/><Relationship Id="rId2282" Type="http://schemas.openxmlformats.org/officeDocument/2006/relationships/hyperlink" Target="http://www.wikidata.org/entity/Q36180" TargetMode="External"/><Relationship Id="rId363" Type="http://schemas.openxmlformats.org/officeDocument/2006/relationships/hyperlink" Target="http://www.wikidata.org/entity/Q4958876" TargetMode="External"/><Relationship Id="rId2283" Type="http://schemas.openxmlformats.org/officeDocument/2006/relationships/hyperlink" Target="http://commons.wikimedia.org/wiki/Special:FilePath/Wazenaar%20Amand%20de%20Vos.jpg" TargetMode="External"/><Relationship Id="rId362" Type="http://schemas.openxmlformats.org/officeDocument/2006/relationships/hyperlink" Target="http://www.wikidata.org/entity/Q2345694" TargetMode="External"/><Relationship Id="rId2284" Type="http://schemas.openxmlformats.org/officeDocument/2006/relationships/hyperlink" Target="http://www.wikidata.org/entity/Q2481707" TargetMode="External"/><Relationship Id="rId361" Type="http://schemas.openxmlformats.org/officeDocument/2006/relationships/hyperlink" Target="http://commons.wikimedia.org/wiki/Special:FilePath/Ferdinand%20Van%20de%20Putte.jpg" TargetMode="External"/><Relationship Id="rId2285" Type="http://schemas.openxmlformats.org/officeDocument/2006/relationships/hyperlink" Target="http://www.wikidata.org/entity/Q49757" TargetMode="External"/><Relationship Id="rId360" Type="http://schemas.openxmlformats.org/officeDocument/2006/relationships/hyperlink" Target="http://www.wikidata.org/entity/Q115705951" TargetMode="External"/><Relationship Id="rId2286" Type="http://schemas.openxmlformats.org/officeDocument/2006/relationships/hyperlink" Target="http://commons.wikimedia.org/wiki/Special:FilePath/Wazenaar%20Amand%20de%20Vos.jpg" TargetMode="External"/><Relationship Id="rId367" Type="http://schemas.openxmlformats.org/officeDocument/2006/relationships/hyperlink" Target="http://commons.wikimedia.org/wiki/Special:FilePath/PieterG%C3%A9nard.jpg" TargetMode="External"/><Relationship Id="rId2287" Type="http://schemas.openxmlformats.org/officeDocument/2006/relationships/hyperlink" Target="http://www.wikidata.org/entity/Q2617184" TargetMode="External"/><Relationship Id="rId366" Type="http://schemas.openxmlformats.org/officeDocument/2006/relationships/hyperlink" Target="http://www.wikidata.org/entity/Q864380" TargetMode="External"/><Relationship Id="rId2288" Type="http://schemas.openxmlformats.org/officeDocument/2006/relationships/hyperlink" Target="http://www.wikidata.org/entity/Q13418253" TargetMode="External"/><Relationship Id="rId365" Type="http://schemas.openxmlformats.org/officeDocument/2006/relationships/hyperlink" Target="http://www.wikidata.org/entity/Q14101076" TargetMode="External"/><Relationship Id="rId2289" Type="http://schemas.openxmlformats.org/officeDocument/2006/relationships/hyperlink" Target="http://www.wikidata.org/entity/Q2306925" TargetMode="External"/><Relationship Id="rId364" Type="http://schemas.openxmlformats.org/officeDocument/2006/relationships/hyperlink" Target="http://commons.wikimedia.org/wiki/Special:FilePath/Edward%20De%20Gryse%20-%20priester-deken%20-%20Kortrijk.jpg" TargetMode="External"/><Relationship Id="rId95" Type="http://schemas.openxmlformats.org/officeDocument/2006/relationships/hyperlink" Target="http://www.wikidata.org/entity/Q36180" TargetMode="External"/><Relationship Id="rId94" Type="http://schemas.openxmlformats.org/officeDocument/2006/relationships/hyperlink" Target="http://www.wikidata.org/entity/Q672816" TargetMode="External"/><Relationship Id="rId97" Type="http://schemas.openxmlformats.org/officeDocument/2006/relationships/hyperlink" Target="http://www.wikidata.org/entity/Q2191260" TargetMode="External"/><Relationship Id="rId96" Type="http://schemas.openxmlformats.org/officeDocument/2006/relationships/hyperlink" Target="http://commons.wikimedia.org/wiki/Special:FilePath/Wiseman.jpg" TargetMode="External"/><Relationship Id="rId99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98" Type="http://schemas.openxmlformats.org/officeDocument/2006/relationships/hyperlink" Target="http://www.wikidata.org/entity/Q1162163" TargetMode="External"/><Relationship Id="rId91" Type="http://schemas.openxmlformats.org/officeDocument/2006/relationships/hyperlink" Target="http://www.wikidata.org/entity/Q1796639" TargetMode="External"/><Relationship Id="rId90" Type="http://schemas.openxmlformats.org/officeDocument/2006/relationships/hyperlink" Target="http://www.wikidata.org/entity/Q1622272" TargetMode="External"/><Relationship Id="rId93" Type="http://schemas.openxmlformats.org/officeDocument/2006/relationships/hyperlink" Target="http://commons.wikimedia.org/wiki/Special:FilePath/Raf%20Verhulst.jpg" TargetMode="External"/><Relationship Id="rId92" Type="http://schemas.openxmlformats.org/officeDocument/2006/relationships/hyperlink" Target="http://www.wikidata.org/entity/Q82955" TargetMode="External"/><Relationship Id="rId359" Type="http://schemas.openxmlformats.org/officeDocument/2006/relationships/hyperlink" Target="http://www.wikidata.org/entity/Q2684959" TargetMode="External"/><Relationship Id="rId358" Type="http://schemas.openxmlformats.org/officeDocument/2006/relationships/hyperlink" Target="http://www.wikidata.org/entity/Q2251335" TargetMode="External"/><Relationship Id="rId357" Type="http://schemas.openxmlformats.org/officeDocument/2006/relationships/hyperlink" Target="http://www.wikidata.org/entity/Q2450554" TargetMode="External"/><Relationship Id="rId2270" Type="http://schemas.openxmlformats.org/officeDocument/2006/relationships/hyperlink" Target="http://www.wikidata.org/entity/Q2638823" TargetMode="External"/><Relationship Id="rId2271" Type="http://schemas.openxmlformats.org/officeDocument/2006/relationships/hyperlink" Target="http://www.wikidata.org/entity/Q82955" TargetMode="External"/><Relationship Id="rId352" Type="http://schemas.openxmlformats.org/officeDocument/2006/relationships/hyperlink" Target="http://www.wikidata.org/entity/Q2251335" TargetMode="External"/><Relationship Id="rId2272" Type="http://schemas.openxmlformats.org/officeDocument/2006/relationships/hyperlink" Target="http://commons.wikimedia.org/wiki/Special:FilePath/Alfons%20Janssens.jpg" TargetMode="External"/><Relationship Id="rId351" Type="http://schemas.openxmlformats.org/officeDocument/2006/relationships/hyperlink" Target="http://www.wikidata.org/entity/Q571426" TargetMode="External"/><Relationship Id="rId2273" Type="http://schemas.openxmlformats.org/officeDocument/2006/relationships/hyperlink" Target="http://www.wikidata.org/entity/Q15982596" TargetMode="External"/><Relationship Id="rId350" Type="http://schemas.openxmlformats.org/officeDocument/2006/relationships/hyperlink" Target="http://commons.wikimedia.org/wiki/Special:FilePath/Ferdinand%20Van%20de%20Putte.jpg" TargetMode="External"/><Relationship Id="rId2274" Type="http://schemas.openxmlformats.org/officeDocument/2006/relationships/hyperlink" Target="http://www.wikidata.org/entity/Q758780" TargetMode="External"/><Relationship Id="rId2275" Type="http://schemas.openxmlformats.org/officeDocument/2006/relationships/hyperlink" Target="http://www.wikidata.org/entity/Q20604626" TargetMode="External"/><Relationship Id="rId356" Type="http://schemas.openxmlformats.org/officeDocument/2006/relationships/hyperlink" Target="http://commons.wikimedia.org/wiki/Special:FilePath/Johan%20Hendrik%20Caspar%20Kern.jpg" TargetMode="External"/><Relationship Id="rId2276" Type="http://schemas.openxmlformats.org/officeDocument/2006/relationships/hyperlink" Target="http://www.wikidata.org/entity/Q36180" TargetMode="External"/><Relationship Id="rId355" Type="http://schemas.openxmlformats.org/officeDocument/2006/relationships/hyperlink" Target="http://www.wikidata.org/entity/Q333634" TargetMode="External"/><Relationship Id="rId2277" Type="http://schemas.openxmlformats.org/officeDocument/2006/relationships/hyperlink" Target="http://commons.wikimedia.org/wiki/Special:FilePath/Jan%20van%20Wageningen%20thoe%20Dekema.jpg" TargetMode="External"/><Relationship Id="rId354" Type="http://schemas.openxmlformats.org/officeDocument/2006/relationships/hyperlink" Target="http://www.wikidata.org/entity/Q571426" TargetMode="External"/><Relationship Id="rId2278" Type="http://schemas.openxmlformats.org/officeDocument/2006/relationships/hyperlink" Target="http://www.wikidata.org/entity/Q2481707" TargetMode="External"/><Relationship Id="rId353" Type="http://schemas.openxmlformats.org/officeDocument/2006/relationships/hyperlink" Target="http://commons.wikimedia.org/wiki/Special:FilePath/Johan%20Hendrik%20Caspar%20Kern.jpg" TargetMode="External"/><Relationship Id="rId2279" Type="http://schemas.openxmlformats.org/officeDocument/2006/relationships/hyperlink" Target="http://www.wikidata.org/entity/Q39631" TargetMode="External"/><Relationship Id="rId2225" Type="http://schemas.openxmlformats.org/officeDocument/2006/relationships/hyperlink" Target="http://www.wikidata.org/entity/Q1753370" TargetMode="External"/><Relationship Id="rId3557" Type="http://schemas.openxmlformats.org/officeDocument/2006/relationships/hyperlink" Target="http://www.wikidata.org/entity/Q115818424" TargetMode="External"/><Relationship Id="rId2226" Type="http://schemas.openxmlformats.org/officeDocument/2006/relationships/hyperlink" Target="http://www.wikidata.org/entity/Q2770967" TargetMode="External"/><Relationship Id="rId3556" Type="http://schemas.openxmlformats.org/officeDocument/2006/relationships/hyperlink" Target="http://www.wikidata.org/entity/Q1162163" TargetMode="External"/><Relationship Id="rId2227" Type="http://schemas.openxmlformats.org/officeDocument/2006/relationships/hyperlink" Target="http://www.wikidata.org/entity/Q1104153" TargetMode="External"/><Relationship Id="rId3559" Type="http://schemas.openxmlformats.org/officeDocument/2006/relationships/hyperlink" Target="http://www.wikidata.org/entity/Q20902162" TargetMode="External"/><Relationship Id="rId2228" Type="http://schemas.openxmlformats.org/officeDocument/2006/relationships/hyperlink" Target="http://www.wikidata.org/entity/Q7190386" TargetMode="External"/><Relationship Id="rId3558" Type="http://schemas.openxmlformats.org/officeDocument/2006/relationships/hyperlink" Target="http://www.wikidata.org/entity/Q955464" TargetMode="External"/><Relationship Id="rId2229" Type="http://schemas.openxmlformats.org/officeDocument/2006/relationships/hyperlink" Target="http://www.wikidata.org/entity/Q3043179" TargetMode="External"/><Relationship Id="rId305" Type="http://schemas.openxmlformats.org/officeDocument/2006/relationships/hyperlink" Target="http://www.wikidata.org/entity/Q3067739" TargetMode="External"/><Relationship Id="rId304" Type="http://schemas.openxmlformats.org/officeDocument/2006/relationships/hyperlink" Target="http://commons.wikimedia.org/wiki/Special:FilePath/Ferdinand%20Van%20de%20Putte.jpg" TargetMode="External"/><Relationship Id="rId303" Type="http://schemas.openxmlformats.org/officeDocument/2006/relationships/hyperlink" Target="http://www.wikidata.org/entity/Q201788" TargetMode="External"/><Relationship Id="rId302" Type="http://schemas.openxmlformats.org/officeDocument/2006/relationships/hyperlink" Target="http://www.wikidata.org/entity/Q2684959" TargetMode="External"/><Relationship Id="rId309" Type="http://schemas.openxmlformats.org/officeDocument/2006/relationships/hyperlink" Target="http://www.wikidata.org/entity/Q2251335" TargetMode="External"/><Relationship Id="rId308" Type="http://schemas.openxmlformats.org/officeDocument/2006/relationships/hyperlink" Target="http://www.wikidata.org/entity/Q2684959" TargetMode="External"/><Relationship Id="rId307" Type="http://schemas.openxmlformats.org/officeDocument/2006/relationships/hyperlink" Target="http://commons.wikimedia.org/wiki/Special:FilePath/Rubio%20i%20ors.jpg" TargetMode="External"/><Relationship Id="rId306" Type="http://schemas.openxmlformats.org/officeDocument/2006/relationships/hyperlink" Target="http://www.wikidata.org/entity/Q1622272" TargetMode="External"/><Relationship Id="rId3551" Type="http://schemas.openxmlformats.org/officeDocument/2006/relationships/hyperlink" Target="http://www.wikidata.org/entity/Q115831295" TargetMode="External"/><Relationship Id="rId2220" Type="http://schemas.openxmlformats.org/officeDocument/2006/relationships/hyperlink" Target="http://www.wikidata.org/entity/Q82955" TargetMode="External"/><Relationship Id="rId3550" Type="http://schemas.openxmlformats.org/officeDocument/2006/relationships/hyperlink" Target="http://www.wikidata.org/entity/Q955464" TargetMode="External"/><Relationship Id="rId301" Type="http://schemas.openxmlformats.org/officeDocument/2006/relationships/hyperlink" Target="http://commons.wikimedia.org/wiki/Special:FilePath/Pieter%20Lansens.jpg" TargetMode="External"/><Relationship Id="rId2221" Type="http://schemas.openxmlformats.org/officeDocument/2006/relationships/hyperlink" Target="http://commons.wikimedia.org/wiki/Special:FilePath/Jules%20van%20den%20Peereboom.jpg" TargetMode="External"/><Relationship Id="rId3553" Type="http://schemas.openxmlformats.org/officeDocument/2006/relationships/hyperlink" Target="http://www.wikidata.org/entity/Q115815852" TargetMode="External"/><Relationship Id="rId300" Type="http://schemas.openxmlformats.org/officeDocument/2006/relationships/hyperlink" Target="http://www.wikidata.org/entity/Q1056391" TargetMode="External"/><Relationship Id="rId2222" Type="http://schemas.openxmlformats.org/officeDocument/2006/relationships/hyperlink" Target="http://www.wikidata.org/entity/Q2215154" TargetMode="External"/><Relationship Id="rId3552" Type="http://schemas.openxmlformats.org/officeDocument/2006/relationships/hyperlink" Target="http://www.wikidata.org/entity/Q114371470" TargetMode="External"/><Relationship Id="rId2223" Type="http://schemas.openxmlformats.org/officeDocument/2006/relationships/hyperlink" Target="http://www.wikidata.org/entity/Q1657500" TargetMode="External"/><Relationship Id="rId3555" Type="http://schemas.openxmlformats.org/officeDocument/2006/relationships/hyperlink" Target="http://www.wikidata.org/entity/Q115818168" TargetMode="External"/><Relationship Id="rId2224" Type="http://schemas.openxmlformats.org/officeDocument/2006/relationships/hyperlink" Target="http://www.wikidata.org/entity/Q2154331" TargetMode="External"/><Relationship Id="rId3554" Type="http://schemas.openxmlformats.org/officeDocument/2006/relationships/hyperlink" Target="http://www.wikidata.org/entity/Q250867" TargetMode="External"/><Relationship Id="rId2214" Type="http://schemas.openxmlformats.org/officeDocument/2006/relationships/hyperlink" Target="http://commons.wikimedia.org/wiki/Special:FilePath/Emiel%20Lauwers%20-%20Kortrijk%20-%20Belgi%C3%AB.jpg" TargetMode="External"/><Relationship Id="rId3546" Type="http://schemas.openxmlformats.org/officeDocument/2006/relationships/hyperlink" Target="http://www.wikidata.org/entity/Q2251335" TargetMode="External"/><Relationship Id="rId2215" Type="http://schemas.openxmlformats.org/officeDocument/2006/relationships/hyperlink" Target="http://www.wikidata.org/entity/Q2154331" TargetMode="External"/><Relationship Id="rId3545" Type="http://schemas.openxmlformats.org/officeDocument/2006/relationships/hyperlink" Target="http://www.wikidata.org/entity/Q56036026" TargetMode="External"/><Relationship Id="rId2216" Type="http://schemas.openxmlformats.org/officeDocument/2006/relationships/hyperlink" Target="http://www.wikidata.org/entity/Q1657500" TargetMode="External"/><Relationship Id="rId3548" Type="http://schemas.openxmlformats.org/officeDocument/2006/relationships/hyperlink" Target="http://www.wikidata.org/entity/Q82955" TargetMode="External"/><Relationship Id="rId2217" Type="http://schemas.openxmlformats.org/officeDocument/2006/relationships/hyperlink" Target="http://www.wikidata.org/entity/Q2627945" TargetMode="External"/><Relationship Id="rId3547" Type="http://schemas.openxmlformats.org/officeDocument/2006/relationships/hyperlink" Target="http://www.wikidata.org/entity/Q57197744" TargetMode="External"/><Relationship Id="rId2218" Type="http://schemas.openxmlformats.org/officeDocument/2006/relationships/hyperlink" Target="http://www.wikidata.org/entity/Q36180" TargetMode="External"/><Relationship Id="rId2219" Type="http://schemas.openxmlformats.org/officeDocument/2006/relationships/hyperlink" Target="http://www.wikidata.org/entity/Q721772" TargetMode="External"/><Relationship Id="rId3549" Type="http://schemas.openxmlformats.org/officeDocument/2006/relationships/hyperlink" Target="http://www.wikidata.org/entity/Q115815852" TargetMode="External"/><Relationship Id="rId3540" Type="http://schemas.openxmlformats.org/officeDocument/2006/relationships/hyperlink" Target="http://www.wikidata.org/entity/Q589298" TargetMode="External"/><Relationship Id="rId2210" Type="http://schemas.openxmlformats.org/officeDocument/2006/relationships/hyperlink" Target="http://www.wikidata.org/entity/Q2770967" TargetMode="External"/><Relationship Id="rId3542" Type="http://schemas.openxmlformats.org/officeDocument/2006/relationships/hyperlink" Target="http://www.wikidata.org/entity/Q250867" TargetMode="External"/><Relationship Id="rId2211" Type="http://schemas.openxmlformats.org/officeDocument/2006/relationships/hyperlink" Target="http://www.wikidata.org/entity/Q1622272" TargetMode="External"/><Relationship Id="rId3541" Type="http://schemas.openxmlformats.org/officeDocument/2006/relationships/hyperlink" Target="http://www.wikidata.org/entity/Q56036067" TargetMode="External"/><Relationship Id="rId2212" Type="http://schemas.openxmlformats.org/officeDocument/2006/relationships/hyperlink" Target="http://www.wikidata.org/entity/Q2183646" TargetMode="External"/><Relationship Id="rId3544" Type="http://schemas.openxmlformats.org/officeDocument/2006/relationships/hyperlink" Target="http://www.wikidata.org/entity/Q114371470" TargetMode="External"/><Relationship Id="rId2213" Type="http://schemas.openxmlformats.org/officeDocument/2006/relationships/hyperlink" Target="http://www.wikidata.org/entity/Q39631" TargetMode="External"/><Relationship Id="rId3543" Type="http://schemas.openxmlformats.org/officeDocument/2006/relationships/hyperlink" Target="http://www.wikidata.org/entity/Q115818168" TargetMode="External"/><Relationship Id="rId2247" Type="http://schemas.openxmlformats.org/officeDocument/2006/relationships/hyperlink" Target="http://www.wikidata.org/entity/Q2251335" TargetMode="External"/><Relationship Id="rId3579" Type="http://schemas.openxmlformats.org/officeDocument/2006/relationships/hyperlink" Target="http://www.wikidata.org/entity/Q250867" TargetMode="External"/><Relationship Id="rId2248" Type="http://schemas.openxmlformats.org/officeDocument/2006/relationships/hyperlink" Target="http://commons.wikimedia.org/wiki/Special:FilePath/Leonard%20Lodewijk%20De%20Bo.jpg" TargetMode="External"/><Relationship Id="rId3578" Type="http://schemas.openxmlformats.org/officeDocument/2006/relationships/hyperlink" Target="http://www.wikidata.org/entity/Q80079104" TargetMode="External"/><Relationship Id="rId2249" Type="http://schemas.openxmlformats.org/officeDocument/2006/relationships/hyperlink" Target="http://www.wikidata.org/entity/Q2617184" TargetMode="External"/><Relationship Id="rId327" Type="http://schemas.openxmlformats.org/officeDocument/2006/relationships/hyperlink" Target="http://commons.wikimedia.org/wiki/Special:FilePath/Portret%20van%20Edmond%20Van%20der%20Straeten%201895%20barcode%20910000105444.jpg" TargetMode="External"/><Relationship Id="rId326" Type="http://schemas.openxmlformats.org/officeDocument/2006/relationships/hyperlink" Target="http://www.wikidata.org/entity/Q185351" TargetMode="External"/><Relationship Id="rId325" Type="http://schemas.openxmlformats.org/officeDocument/2006/relationships/hyperlink" Target="http://www.wikidata.org/entity/Q18533827" TargetMode="External"/><Relationship Id="rId324" Type="http://schemas.openxmlformats.org/officeDocument/2006/relationships/hyperlink" Target="http://commons.wikimedia.org/wiki/Special:FilePath/James%20Weale.jpg" TargetMode="External"/><Relationship Id="rId329" Type="http://schemas.openxmlformats.org/officeDocument/2006/relationships/hyperlink" Target="http://www.wikidata.org/entity/Q36180" TargetMode="External"/><Relationship Id="rId328" Type="http://schemas.openxmlformats.org/officeDocument/2006/relationships/hyperlink" Target="http://www.wikidata.org/entity/Q3431564" TargetMode="External"/><Relationship Id="rId3571" Type="http://schemas.openxmlformats.org/officeDocument/2006/relationships/hyperlink" Target="http://www.wikidata.org/entity/Q589298" TargetMode="External"/><Relationship Id="rId2240" Type="http://schemas.openxmlformats.org/officeDocument/2006/relationships/hyperlink" Target="http://www.wikidata.org/entity/Q36180" TargetMode="External"/><Relationship Id="rId3570" Type="http://schemas.openxmlformats.org/officeDocument/2006/relationships/hyperlink" Target="http://www.wikidata.org/entity/Q115820635" TargetMode="External"/><Relationship Id="rId2241" Type="http://schemas.openxmlformats.org/officeDocument/2006/relationships/hyperlink" Target="http://www.wikidata.org/entity/Q3346571" TargetMode="External"/><Relationship Id="rId3573" Type="http://schemas.openxmlformats.org/officeDocument/2006/relationships/hyperlink" Target="http://www.wikidata.org/entity/Q955464" TargetMode="External"/><Relationship Id="rId2242" Type="http://schemas.openxmlformats.org/officeDocument/2006/relationships/hyperlink" Target="http://www.wikidata.org/entity/Q82955" TargetMode="External"/><Relationship Id="rId3572" Type="http://schemas.openxmlformats.org/officeDocument/2006/relationships/hyperlink" Target="http://www.wikidata.org/entity/Q80079104" TargetMode="External"/><Relationship Id="rId323" Type="http://schemas.openxmlformats.org/officeDocument/2006/relationships/hyperlink" Target="http://www.wikidata.org/entity/Q11997597" TargetMode="External"/><Relationship Id="rId2243" Type="http://schemas.openxmlformats.org/officeDocument/2006/relationships/hyperlink" Target="http://www.wikidata.org/entity/Q2306925" TargetMode="External"/><Relationship Id="rId3575" Type="http://schemas.openxmlformats.org/officeDocument/2006/relationships/hyperlink" Target="http://www.wikidata.org/entity/Q219477" TargetMode="External"/><Relationship Id="rId322" Type="http://schemas.openxmlformats.org/officeDocument/2006/relationships/hyperlink" Target="http://www.wikidata.org/entity/Q2062803" TargetMode="External"/><Relationship Id="rId2244" Type="http://schemas.openxmlformats.org/officeDocument/2006/relationships/hyperlink" Target="http://www.wikidata.org/entity/Q82955" TargetMode="External"/><Relationship Id="rId3574" Type="http://schemas.openxmlformats.org/officeDocument/2006/relationships/hyperlink" Target="http://www.wikidata.org/entity/Q115820635" TargetMode="External"/><Relationship Id="rId321" Type="http://schemas.openxmlformats.org/officeDocument/2006/relationships/hyperlink" Target="http://commons.wikimedia.org/wiki/Special:FilePath/James%20Weale.jpg" TargetMode="External"/><Relationship Id="rId2245" Type="http://schemas.openxmlformats.org/officeDocument/2006/relationships/hyperlink" Target="http://commons.wikimedia.org/wiki/Special:FilePath/J%20O%20Andries%201836.jpg" TargetMode="External"/><Relationship Id="rId3577" Type="http://schemas.openxmlformats.org/officeDocument/2006/relationships/hyperlink" Target="http://www.wikidata.org/entity/Q955464" TargetMode="External"/><Relationship Id="rId320" Type="http://schemas.openxmlformats.org/officeDocument/2006/relationships/hyperlink" Target="http://www.wikidata.org/entity/Q1792450" TargetMode="External"/><Relationship Id="rId2246" Type="http://schemas.openxmlformats.org/officeDocument/2006/relationships/hyperlink" Target="http://www.wikidata.org/entity/Q2779054" TargetMode="External"/><Relationship Id="rId3576" Type="http://schemas.openxmlformats.org/officeDocument/2006/relationships/hyperlink" Target="http://www.wikidata.org/entity/Q115821479" TargetMode="External"/><Relationship Id="rId2236" Type="http://schemas.openxmlformats.org/officeDocument/2006/relationships/hyperlink" Target="http://www.wikidata.org/entity/Q2306925" TargetMode="External"/><Relationship Id="rId3568" Type="http://schemas.openxmlformats.org/officeDocument/2006/relationships/hyperlink" Target="http://www.wikidata.org/entity/Q115818424" TargetMode="External"/><Relationship Id="rId2237" Type="http://schemas.openxmlformats.org/officeDocument/2006/relationships/hyperlink" Target="http://www.wikidata.org/entity/Q955464" TargetMode="External"/><Relationship Id="rId3567" Type="http://schemas.openxmlformats.org/officeDocument/2006/relationships/hyperlink" Target="http://www.wikidata.org/entity/Q1056391" TargetMode="External"/><Relationship Id="rId2238" Type="http://schemas.openxmlformats.org/officeDocument/2006/relationships/hyperlink" Target="http://commons.wikimedia.org/wiki/Special:FilePath/J%20O%20Andries%201836.jpg" TargetMode="External"/><Relationship Id="rId2239" Type="http://schemas.openxmlformats.org/officeDocument/2006/relationships/hyperlink" Target="http://www.wikidata.org/entity/Q1950196" TargetMode="External"/><Relationship Id="rId3569" Type="http://schemas.openxmlformats.org/officeDocument/2006/relationships/hyperlink" Target="http://www.wikidata.org/entity/Q250867" TargetMode="External"/><Relationship Id="rId316" Type="http://schemas.openxmlformats.org/officeDocument/2006/relationships/hyperlink" Target="http://commons.wikimedia.org/wiki/Special:FilePath/Pieter%20Lansens.jpg" TargetMode="External"/><Relationship Id="rId315" Type="http://schemas.openxmlformats.org/officeDocument/2006/relationships/hyperlink" Target="http://www.wikidata.org/entity/Q37226" TargetMode="External"/><Relationship Id="rId314" Type="http://schemas.openxmlformats.org/officeDocument/2006/relationships/hyperlink" Target="http://www.wikidata.org/entity/Q2159132" TargetMode="External"/><Relationship Id="rId313" Type="http://schemas.openxmlformats.org/officeDocument/2006/relationships/hyperlink" Target="http://commons.wikimedia.org/wiki/Special:FilePath/Pieter%20Lansens.jpg" TargetMode="External"/><Relationship Id="rId319" Type="http://schemas.openxmlformats.org/officeDocument/2006/relationships/hyperlink" Target="http://www.wikidata.org/entity/Q2062803" TargetMode="External"/><Relationship Id="rId318" Type="http://schemas.openxmlformats.org/officeDocument/2006/relationships/hyperlink" Target="http://www.wikidata.org/entity/Q82955" TargetMode="External"/><Relationship Id="rId317" Type="http://schemas.openxmlformats.org/officeDocument/2006/relationships/hyperlink" Target="http://www.wikidata.org/entity/Q1894475" TargetMode="External"/><Relationship Id="rId3560" Type="http://schemas.openxmlformats.org/officeDocument/2006/relationships/hyperlink" Target="http://www.wikidata.org/entity/Q67205775" TargetMode="External"/><Relationship Id="rId2230" Type="http://schemas.openxmlformats.org/officeDocument/2006/relationships/hyperlink" Target="http://www.wikidata.org/entity/Q2539969" TargetMode="External"/><Relationship Id="rId3562" Type="http://schemas.openxmlformats.org/officeDocument/2006/relationships/hyperlink" Target="http://www.wikidata.org/entity/Q115818168" TargetMode="External"/><Relationship Id="rId2231" Type="http://schemas.openxmlformats.org/officeDocument/2006/relationships/hyperlink" Target="http://www.wikidata.org/entity/Q175151" TargetMode="External"/><Relationship Id="rId3561" Type="http://schemas.openxmlformats.org/officeDocument/2006/relationships/hyperlink" Target="http://commons.wikimedia.org/wiki/Special:FilePath/Foto%20van%20Louise%20Gezelle%20en%20Stijn%20Streuvels.jpg" TargetMode="External"/><Relationship Id="rId312" Type="http://schemas.openxmlformats.org/officeDocument/2006/relationships/hyperlink" Target="http://www.wikidata.org/entity/Q36180" TargetMode="External"/><Relationship Id="rId2232" Type="http://schemas.openxmlformats.org/officeDocument/2006/relationships/hyperlink" Target="http://commons.wikimedia.org/wiki/Special:FilePath/Alfons%20Siffer%201850-1941.jpg" TargetMode="External"/><Relationship Id="rId3564" Type="http://schemas.openxmlformats.org/officeDocument/2006/relationships/hyperlink" Target="http://www.wikidata.org/entity/Q115818168" TargetMode="External"/><Relationship Id="rId311" Type="http://schemas.openxmlformats.org/officeDocument/2006/relationships/hyperlink" Target="http://www.wikidata.org/entity/Q2159132" TargetMode="External"/><Relationship Id="rId2233" Type="http://schemas.openxmlformats.org/officeDocument/2006/relationships/hyperlink" Target="http://www.wikidata.org/entity/Q20604626" TargetMode="External"/><Relationship Id="rId3563" Type="http://schemas.openxmlformats.org/officeDocument/2006/relationships/hyperlink" Target="http://www.wikidata.org/entity/Q219477" TargetMode="External"/><Relationship Id="rId310" Type="http://schemas.openxmlformats.org/officeDocument/2006/relationships/hyperlink" Target="http://commons.wikimedia.org/wiki/Special:FilePath/Ferdinand%20Van%20de%20Putte.jpg" TargetMode="External"/><Relationship Id="rId2234" Type="http://schemas.openxmlformats.org/officeDocument/2006/relationships/hyperlink" Target="http://www.wikidata.org/entity/Q131512" TargetMode="External"/><Relationship Id="rId3566" Type="http://schemas.openxmlformats.org/officeDocument/2006/relationships/hyperlink" Target="http://www.wikidata.org/entity/Q115818424" TargetMode="External"/><Relationship Id="rId2235" Type="http://schemas.openxmlformats.org/officeDocument/2006/relationships/hyperlink" Target="http://commons.wikimedia.org/wiki/Special:FilePath/Jan%20van%20Wageningen%20thoe%20Dekema.jpg" TargetMode="External"/><Relationship Id="rId3565" Type="http://schemas.openxmlformats.org/officeDocument/2006/relationships/hyperlink" Target="http://www.wikidata.org/entity/Q250867" TargetMode="External"/><Relationship Id="rId4040" Type="http://schemas.openxmlformats.org/officeDocument/2006/relationships/hyperlink" Target="http://www.wikidata.org/entity/Q39631" TargetMode="External"/><Relationship Id="rId4042" Type="http://schemas.openxmlformats.org/officeDocument/2006/relationships/hyperlink" Target="http://www.wikidata.org/entity/Q435940" TargetMode="External"/><Relationship Id="rId4041" Type="http://schemas.openxmlformats.org/officeDocument/2006/relationships/hyperlink" Target="http://www.wikidata.org/entity/Q125516501" TargetMode="External"/><Relationship Id="rId4044" Type="http://schemas.openxmlformats.org/officeDocument/2006/relationships/hyperlink" Target="http://www.wikidata.org/entity/Q13418253" TargetMode="External"/><Relationship Id="rId4043" Type="http://schemas.openxmlformats.org/officeDocument/2006/relationships/hyperlink" Target="http://www.wikidata.org/entity/Q961180" TargetMode="External"/><Relationship Id="rId4046" Type="http://schemas.openxmlformats.org/officeDocument/2006/relationships/hyperlink" Target="http://www.wikidata.org/entity/Q120829902" TargetMode="External"/><Relationship Id="rId4045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4048" Type="http://schemas.openxmlformats.org/officeDocument/2006/relationships/hyperlink" Target="http://www.wikidata.org/entity/Q125535061" TargetMode="External"/><Relationship Id="rId4047" Type="http://schemas.openxmlformats.org/officeDocument/2006/relationships/hyperlink" Target="http://www.wikidata.org/entity/Q1469535" TargetMode="External"/><Relationship Id="rId4049" Type="http://schemas.openxmlformats.org/officeDocument/2006/relationships/hyperlink" Target="http://www.wikidata.org/entity/Q1753370" TargetMode="External"/><Relationship Id="rId4031" Type="http://schemas.openxmlformats.org/officeDocument/2006/relationships/hyperlink" Target="http://www.wikidata.org/entity/Q125306156" TargetMode="External"/><Relationship Id="rId4030" Type="http://schemas.openxmlformats.org/officeDocument/2006/relationships/hyperlink" Target="http://www.wikidata.org/entity/Q1056391" TargetMode="External"/><Relationship Id="rId297" Type="http://schemas.openxmlformats.org/officeDocument/2006/relationships/hyperlink" Target="http://www.wikidata.org/entity/Q2542423" TargetMode="External"/><Relationship Id="rId4033" Type="http://schemas.openxmlformats.org/officeDocument/2006/relationships/hyperlink" Target="http://www.wikidata.org/entity/Q136734381" TargetMode="External"/><Relationship Id="rId296" Type="http://schemas.openxmlformats.org/officeDocument/2006/relationships/hyperlink" Target="http://www.wikidata.org/entity/Q39631" TargetMode="External"/><Relationship Id="rId4032" Type="http://schemas.openxmlformats.org/officeDocument/2006/relationships/hyperlink" Target="http://www.wikidata.org/entity/Q7313543" TargetMode="External"/><Relationship Id="rId295" Type="http://schemas.openxmlformats.org/officeDocument/2006/relationships/hyperlink" Target="http://www.wikidata.org/entity/Q2542423" TargetMode="External"/><Relationship Id="rId4035" Type="http://schemas.openxmlformats.org/officeDocument/2006/relationships/hyperlink" Target="http://www.wikidata.org/entity/Q131923924" TargetMode="External"/><Relationship Id="rId294" Type="http://schemas.openxmlformats.org/officeDocument/2006/relationships/hyperlink" Target="http://www.wikidata.org/entity/Q1642960" TargetMode="External"/><Relationship Id="rId4034" Type="http://schemas.openxmlformats.org/officeDocument/2006/relationships/hyperlink" Target="http://www.wikidata.org/entity/Q435940" TargetMode="External"/><Relationship Id="rId4037" Type="http://schemas.openxmlformats.org/officeDocument/2006/relationships/hyperlink" Target="http://www.wikidata.org/entity/Q119039774" TargetMode="External"/><Relationship Id="rId4036" Type="http://schemas.openxmlformats.org/officeDocument/2006/relationships/hyperlink" Target="http://www.wikidata.org/entity/Q830337" TargetMode="External"/><Relationship Id="rId299" Type="http://schemas.openxmlformats.org/officeDocument/2006/relationships/hyperlink" Target="http://www.wikidata.org/entity/Q2159132" TargetMode="External"/><Relationship Id="rId4039" Type="http://schemas.openxmlformats.org/officeDocument/2006/relationships/hyperlink" Target="http://www.wikidata.org/entity/Q125819387" TargetMode="External"/><Relationship Id="rId298" Type="http://schemas.openxmlformats.org/officeDocument/2006/relationships/hyperlink" Target="http://www.wikidata.org/entity/Q49757" TargetMode="External"/><Relationship Id="rId4038" Type="http://schemas.openxmlformats.org/officeDocument/2006/relationships/hyperlink" Target="http://www.wikidata.org/entity/Q80687" TargetMode="External"/><Relationship Id="rId4060" Type="http://schemas.openxmlformats.org/officeDocument/2006/relationships/hyperlink" Target="http://www.wikidata.org/entity/Q125538145" TargetMode="External"/><Relationship Id="rId4062" Type="http://schemas.openxmlformats.org/officeDocument/2006/relationships/hyperlink" Target="http://www.wikidata.org/entity/Q119039774" TargetMode="External"/><Relationship Id="rId4061" Type="http://schemas.openxmlformats.org/officeDocument/2006/relationships/hyperlink" Target="http://www.wikidata.org/entity/Q1469535" TargetMode="External"/><Relationship Id="rId4064" Type="http://schemas.openxmlformats.org/officeDocument/2006/relationships/hyperlink" Target="http://www.wikidata.org/entity/Q123050974" TargetMode="External"/><Relationship Id="rId4063" Type="http://schemas.openxmlformats.org/officeDocument/2006/relationships/hyperlink" Target="http://www.wikidata.org/entity/Q388338" TargetMode="External"/><Relationship Id="rId4066" Type="http://schemas.openxmlformats.org/officeDocument/2006/relationships/hyperlink" Target="http://www.wikidata.org/entity/Q125538145" TargetMode="External"/><Relationship Id="rId4065" Type="http://schemas.openxmlformats.org/officeDocument/2006/relationships/hyperlink" Target="http://www.wikidata.org/entity/Q833860" TargetMode="External"/><Relationship Id="rId4068" Type="http://schemas.openxmlformats.org/officeDocument/2006/relationships/hyperlink" Target="http://www.wikidata.org/entity/Q15461013" TargetMode="External"/><Relationship Id="rId4067" Type="http://schemas.openxmlformats.org/officeDocument/2006/relationships/hyperlink" Target="http://www.wikidata.org/entity/Q1753370" TargetMode="External"/><Relationship Id="rId4069" Type="http://schemas.openxmlformats.org/officeDocument/2006/relationships/hyperlink" Target="http://www.wikidata.org/entity/Q589298" TargetMode="External"/><Relationship Id="rId4051" Type="http://schemas.openxmlformats.org/officeDocument/2006/relationships/hyperlink" Target="http://www.wikidata.org/entity/Q37226" TargetMode="External"/><Relationship Id="rId4050" Type="http://schemas.openxmlformats.org/officeDocument/2006/relationships/hyperlink" Target="http://www.wikidata.org/entity/Q123697088" TargetMode="External"/><Relationship Id="rId4053" Type="http://schemas.openxmlformats.org/officeDocument/2006/relationships/hyperlink" Target="http://www.wikidata.org/entity/Q191808" TargetMode="External"/><Relationship Id="rId4052" Type="http://schemas.openxmlformats.org/officeDocument/2006/relationships/hyperlink" Target="http://www.wikidata.org/entity/Q131957313" TargetMode="External"/><Relationship Id="rId4055" Type="http://schemas.openxmlformats.org/officeDocument/2006/relationships/hyperlink" Target="http://www.wikidata.org/entity/Q2113250" TargetMode="External"/><Relationship Id="rId4054" Type="http://schemas.openxmlformats.org/officeDocument/2006/relationships/hyperlink" Target="http://www.wikidata.org/entity/Q125535061" TargetMode="External"/><Relationship Id="rId4057" Type="http://schemas.openxmlformats.org/officeDocument/2006/relationships/hyperlink" Target="http://www.wikidata.org/entity/Q1753370" TargetMode="External"/><Relationship Id="rId4056" Type="http://schemas.openxmlformats.org/officeDocument/2006/relationships/hyperlink" Target="http://www.wikidata.org/entity/Q120829902" TargetMode="External"/><Relationship Id="rId4059" Type="http://schemas.openxmlformats.org/officeDocument/2006/relationships/hyperlink" Target="http://www.wikidata.org/entity/Q2251335" TargetMode="External"/><Relationship Id="rId4058" Type="http://schemas.openxmlformats.org/officeDocument/2006/relationships/hyperlink" Target="http://www.wikidata.org/entity/Q123055332" TargetMode="External"/><Relationship Id="rId4008" Type="http://schemas.openxmlformats.org/officeDocument/2006/relationships/hyperlink" Target="http://www.wikidata.org/entity/Q16947657" TargetMode="External"/><Relationship Id="rId4007" Type="http://schemas.openxmlformats.org/officeDocument/2006/relationships/hyperlink" Target="http://www.wikidata.org/entity/Q122915335" TargetMode="External"/><Relationship Id="rId4009" Type="http://schemas.openxmlformats.org/officeDocument/2006/relationships/hyperlink" Target="http://www.wikidata.org/entity/Q122790642" TargetMode="External"/><Relationship Id="rId271" Type="http://schemas.openxmlformats.org/officeDocument/2006/relationships/hyperlink" Target="http://www.wikidata.org/entity/Q250867" TargetMode="External"/><Relationship Id="rId270" Type="http://schemas.openxmlformats.org/officeDocument/2006/relationships/hyperlink" Target="http://www.wikidata.org/entity/Q1877721" TargetMode="External"/><Relationship Id="rId269" Type="http://schemas.openxmlformats.org/officeDocument/2006/relationships/hyperlink" Target="http://commons.wikimedia.org/wiki/Special:FilePath/Brugge%20-%20Bisschop%20Faict%20%281864-1894%29%20-%20Brugge%20-%20Belgi%C3%AB.jpg" TargetMode="External"/><Relationship Id="rId264" Type="http://schemas.openxmlformats.org/officeDocument/2006/relationships/hyperlink" Target="http://www.wikidata.org/entity/Q3166510" TargetMode="External"/><Relationship Id="rId4000" Type="http://schemas.openxmlformats.org/officeDocument/2006/relationships/hyperlink" Target="http://www.wikidata.org/entity/Q694116" TargetMode="External"/><Relationship Id="rId263" Type="http://schemas.openxmlformats.org/officeDocument/2006/relationships/hyperlink" Target="http://commons.wikimedia.org/wiki/Special:FilePath/Charles%20Carton.jpg" TargetMode="External"/><Relationship Id="rId262" Type="http://schemas.openxmlformats.org/officeDocument/2006/relationships/hyperlink" Target="http://www.wikidata.org/entity/Q208762" TargetMode="External"/><Relationship Id="rId4002" Type="http://schemas.openxmlformats.org/officeDocument/2006/relationships/hyperlink" Target="http://www.wikidata.org/entity/Q1776501" TargetMode="External"/><Relationship Id="rId261" Type="http://schemas.openxmlformats.org/officeDocument/2006/relationships/hyperlink" Target="http://www.wikidata.org/entity/Q1877721" TargetMode="External"/><Relationship Id="rId4001" Type="http://schemas.openxmlformats.org/officeDocument/2006/relationships/hyperlink" Target="http://www.wikidata.org/entity/Q123417058" TargetMode="External"/><Relationship Id="rId268" Type="http://schemas.openxmlformats.org/officeDocument/2006/relationships/hyperlink" Target="http://www.wikidata.org/entity/Q1234713" TargetMode="External"/><Relationship Id="rId4004" Type="http://schemas.openxmlformats.org/officeDocument/2006/relationships/hyperlink" Target="http://www.wikidata.org/entity/Q121594" TargetMode="External"/><Relationship Id="rId267" Type="http://schemas.openxmlformats.org/officeDocument/2006/relationships/hyperlink" Target="http://www.wikidata.org/entity/Q3166510" TargetMode="External"/><Relationship Id="rId4003" Type="http://schemas.openxmlformats.org/officeDocument/2006/relationships/hyperlink" Target="http://www.wikidata.org/entity/Q961180" TargetMode="External"/><Relationship Id="rId266" Type="http://schemas.openxmlformats.org/officeDocument/2006/relationships/hyperlink" Target="http://commons.wikimedia.org/wiki/Special:FilePath/Brugge%20-%20Bisschop%20Faict%20%281864-1894%29%20-%20Brugge%20-%20Belgi%C3%AB.jpg" TargetMode="External"/><Relationship Id="rId4006" Type="http://schemas.openxmlformats.org/officeDocument/2006/relationships/hyperlink" Target="http://www.wikidata.org/entity/Q121078322" TargetMode="External"/><Relationship Id="rId265" Type="http://schemas.openxmlformats.org/officeDocument/2006/relationships/hyperlink" Target="http://www.wikidata.org/entity/Q1622272" TargetMode="External"/><Relationship Id="rId4005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260" Type="http://schemas.openxmlformats.org/officeDocument/2006/relationships/hyperlink" Target="http://www.wikidata.org/entity/Q285759" TargetMode="External"/><Relationship Id="rId259" Type="http://schemas.openxmlformats.org/officeDocument/2006/relationships/hyperlink" Target="http://www.wikidata.org/entity/Q2087117" TargetMode="External"/><Relationship Id="rId258" Type="http://schemas.openxmlformats.org/officeDocument/2006/relationships/hyperlink" Target="http://commons.wikimedia.org/wiki/Special:FilePath/Stijn%20Streuvels%20by%20Modest%20Huys%20%28cropped%29.jpg" TargetMode="External"/><Relationship Id="rId2290" Type="http://schemas.openxmlformats.org/officeDocument/2006/relationships/hyperlink" Target="http://www.wikidata.org/entity/Q118395622" TargetMode="External"/><Relationship Id="rId2291" Type="http://schemas.openxmlformats.org/officeDocument/2006/relationships/hyperlink" Target="http://commons.wikimedia.org/wiki/Special:FilePath/J%20O%20Andries%201836.jpg" TargetMode="External"/><Relationship Id="rId2292" Type="http://schemas.openxmlformats.org/officeDocument/2006/relationships/hyperlink" Target="http://www.wikidata.org/entity/Q41885755" TargetMode="External"/><Relationship Id="rId2293" Type="http://schemas.openxmlformats.org/officeDocument/2006/relationships/hyperlink" Target="http://www.wikidata.org/entity/Q15253558" TargetMode="External"/><Relationship Id="rId253" Type="http://schemas.openxmlformats.org/officeDocument/2006/relationships/hyperlink" Target="http://www.wikidata.org/entity/Q175669" TargetMode="External"/><Relationship Id="rId2294" Type="http://schemas.openxmlformats.org/officeDocument/2006/relationships/hyperlink" Target="http://www.wikidata.org/entity/Q2638823" TargetMode="External"/><Relationship Id="rId252" Type="http://schemas.openxmlformats.org/officeDocument/2006/relationships/hyperlink" Target="http://commons.wikimedia.org/wiki/Special:FilePath/Brugge%20-%20Bisschop%20Faict%20%281864-1894%29%20-%20Brugge%20-%20Belgi%C3%AB.jpg" TargetMode="External"/><Relationship Id="rId2295" Type="http://schemas.openxmlformats.org/officeDocument/2006/relationships/hyperlink" Target="http://www.wikidata.org/entity/Q482980" TargetMode="External"/><Relationship Id="rId251" Type="http://schemas.openxmlformats.org/officeDocument/2006/relationships/hyperlink" Target="http://www.wikidata.org/entity/Q45684" TargetMode="External"/><Relationship Id="rId2296" Type="http://schemas.openxmlformats.org/officeDocument/2006/relationships/hyperlink" Target="http://commons.wikimedia.org/wiki/Special:FilePath/Alfons%20Janssens.jpg" TargetMode="External"/><Relationship Id="rId250" Type="http://schemas.openxmlformats.org/officeDocument/2006/relationships/hyperlink" Target="http://www.wikidata.org/entity/Q3166510" TargetMode="External"/><Relationship Id="rId2297" Type="http://schemas.openxmlformats.org/officeDocument/2006/relationships/hyperlink" Target="http://www.wikidata.org/entity/Q4423628" TargetMode="External"/><Relationship Id="rId257" Type="http://schemas.openxmlformats.org/officeDocument/2006/relationships/hyperlink" Target="http://www.wikidata.org/entity/Q36180" TargetMode="External"/><Relationship Id="rId2298" Type="http://schemas.openxmlformats.org/officeDocument/2006/relationships/hyperlink" Target="http://www.wikidata.org/entity/Q82955" TargetMode="External"/><Relationship Id="rId256" Type="http://schemas.openxmlformats.org/officeDocument/2006/relationships/hyperlink" Target="http://www.wikidata.org/entity/Q175669" TargetMode="External"/><Relationship Id="rId2299" Type="http://schemas.openxmlformats.org/officeDocument/2006/relationships/hyperlink" Target="http://www.wikidata.org/entity/Q4423628" TargetMode="External"/><Relationship Id="rId255" Type="http://schemas.openxmlformats.org/officeDocument/2006/relationships/hyperlink" Target="http://commons.wikimedia.org/wiki/Special:FilePath/Stijn%20Streuvels%20by%20Modest%20Huys.jpg" TargetMode="External"/><Relationship Id="rId254" Type="http://schemas.openxmlformats.org/officeDocument/2006/relationships/hyperlink" Target="http://www.wikidata.org/entity/Q36180" TargetMode="External"/><Relationship Id="rId4029" Type="http://schemas.openxmlformats.org/officeDocument/2006/relationships/hyperlink" Target="http://www.wikidata.org/entity/Q131957313" TargetMode="External"/><Relationship Id="rId293" Type="http://schemas.openxmlformats.org/officeDocument/2006/relationships/hyperlink" Target="http://www.wikidata.org/entity/Q18415039" TargetMode="External"/><Relationship Id="rId292" Type="http://schemas.openxmlformats.org/officeDocument/2006/relationships/hyperlink" Target="http://www.wikidata.org/entity/Q13418253" TargetMode="External"/><Relationship Id="rId291" Type="http://schemas.openxmlformats.org/officeDocument/2006/relationships/hyperlink" Target="http://www.wikidata.org/entity/Q18415039" TargetMode="External"/><Relationship Id="rId290" Type="http://schemas.openxmlformats.org/officeDocument/2006/relationships/hyperlink" Target="http://commons.wikimedia.org/wiki/Special:FilePath/Johan%20Hendrik%20Caspar%20Kern.jpg" TargetMode="External"/><Relationship Id="rId4020" Type="http://schemas.openxmlformats.org/officeDocument/2006/relationships/hyperlink" Target="http://www.wikidata.org/entity/Q125257816" TargetMode="External"/><Relationship Id="rId286" Type="http://schemas.openxmlformats.org/officeDocument/2006/relationships/hyperlink" Target="http://www.wikidata.org/entity/Q121594" TargetMode="External"/><Relationship Id="rId4022" Type="http://schemas.openxmlformats.org/officeDocument/2006/relationships/hyperlink" Target="http://www.wikidata.org/entity/Q125352256" TargetMode="External"/><Relationship Id="rId285" Type="http://schemas.openxmlformats.org/officeDocument/2006/relationships/hyperlink" Target="http://www.wikidata.org/entity/Q571426" TargetMode="External"/><Relationship Id="rId4021" Type="http://schemas.openxmlformats.org/officeDocument/2006/relationships/hyperlink" Target="http://www.wikidata.org/entity/Q125342034" TargetMode="External"/><Relationship Id="rId284" Type="http://schemas.openxmlformats.org/officeDocument/2006/relationships/hyperlink" Target="http://commons.wikimedia.org/wiki/Special:FilePath/Ferdinand%20Van%20de%20Putte.jpg" TargetMode="External"/><Relationship Id="rId4024" Type="http://schemas.openxmlformats.org/officeDocument/2006/relationships/hyperlink" Target="http://www.wikidata.org/entity/Q125859018" TargetMode="External"/><Relationship Id="rId283" Type="http://schemas.openxmlformats.org/officeDocument/2006/relationships/hyperlink" Target="http://www.wikidata.org/entity/Q955464" TargetMode="External"/><Relationship Id="rId4023" Type="http://schemas.openxmlformats.org/officeDocument/2006/relationships/hyperlink" Target="http://www.wikidata.org/entity/Q125365471" TargetMode="External"/><Relationship Id="rId4026" Type="http://schemas.openxmlformats.org/officeDocument/2006/relationships/hyperlink" Target="http://www.wikidata.org/entity/Q128903989" TargetMode="External"/><Relationship Id="rId289" Type="http://schemas.openxmlformats.org/officeDocument/2006/relationships/hyperlink" Target="http://www.wikidata.org/entity/Q3621491" TargetMode="External"/><Relationship Id="rId4025" Type="http://schemas.openxmlformats.org/officeDocument/2006/relationships/hyperlink" Target="http://www.wikidata.org/entity/Q126113249" TargetMode="External"/><Relationship Id="rId288" Type="http://schemas.openxmlformats.org/officeDocument/2006/relationships/hyperlink" Target="http://www.wikidata.org/entity/Q571426" TargetMode="External"/><Relationship Id="rId4028" Type="http://schemas.openxmlformats.org/officeDocument/2006/relationships/hyperlink" Target="http://www.wikidata.org/entity/Q131928167" TargetMode="External"/><Relationship Id="rId287" Type="http://schemas.openxmlformats.org/officeDocument/2006/relationships/hyperlink" Target="http://commons.wikimedia.org/wiki/Special:FilePath/Johan%20Hendrik%20Caspar%20Kern.jpg" TargetMode="External"/><Relationship Id="rId4027" Type="http://schemas.openxmlformats.org/officeDocument/2006/relationships/hyperlink" Target="http://www.wikidata.org/entity/Q128904091" TargetMode="External"/><Relationship Id="rId4019" Type="http://schemas.openxmlformats.org/officeDocument/2006/relationships/hyperlink" Target="http://www.wikidata.org/entity/Q37226" TargetMode="External"/><Relationship Id="rId4018" Type="http://schemas.openxmlformats.org/officeDocument/2006/relationships/hyperlink" Target="http://www.wikidata.org/entity/Q122987963" TargetMode="External"/><Relationship Id="rId282" Type="http://schemas.openxmlformats.org/officeDocument/2006/relationships/hyperlink" Target="http://www.wikidata.org/entity/Q2684959" TargetMode="External"/><Relationship Id="rId281" Type="http://schemas.openxmlformats.org/officeDocument/2006/relationships/hyperlink" Target="http://commons.wikimedia.org/wiki/Special:FilePath/Rubio%20i%20ors.jpg" TargetMode="External"/><Relationship Id="rId280" Type="http://schemas.openxmlformats.org/officeDocument/2006/relationships/hyperlink" Target="http://www.wikidata.org/entity/Q49757" TargetMode="External"/><Relationship Id="rId275" Type="http://schemas.openxmlformats.org/officeDocument/2006/relationships/hyperlink" Target="http://commons.wikimedia.org/wiki/Special:FilePath/James%20Weale.jpg" TargetMode="External"/><Relationship Id="rId4011" Type="http://schemas.openxmlformats.org/officeDocument/2006/relationships/hyperlink" Target="http://www.wikidata.org/entity/Q122854006" TargetMode="External"/><Relationship Id="rId274" Type="http://schemas.openxmlformats.org/officeDocument/2006/relationships/hyperlink" Target="http://www.wikidata.org/entity/Q37226" TargetMode="External"/><Relationship Id="rId4010" Type="http://schemas.openxmlformats.org/officeDocument/2006/relationships/hyperlink" Target="http://www.wikidata.org/entity/Q122842204" TargetMode="External"/><Relationship Id="rId273" Type="http://schemas.openxmlformats.org/officeDocument/2006/relationships/hyperlink" Target="http://www.wikidata.org/entity/Q2062803" TargetMode="External"/><Relationship Id="rId4013" Type="http://schemas.openxmlformats.org/officeDocument/2006/relationships/hyperlink" Target="http://www.wikidata.org/entity/Q82955" TargetMode="External"/><Relationship Id="rId272" Type="http://schemas.openxmlformats.org/officeDocument/2006/relationships/hyperlink" Target="http://commons.wikimedia.org/wiki/Special:FilePath/Charles%20Carton.jpg" TargetMode="External"/><Relationship Id="rId4012" Type="http://schemas.openxmlformats.org/officeDocument/2006/relationships/hyperlink" Target="http://www.wikidata.org/entity/Q1978131" TargetMode="External"/><Relationship Id="rId279" Type="http://schemas.openxmlformats.org/officeDocument/2006/relationships/hyperlink" Target="http://www.wikidata.org/entity/Q3067739" TargetMode="External"/><Relationship Id="rId4015" Type="http://schemas.openxmlformats.org/officeDocument/2006/relationships/hyperlink" Target="http://www.wikidata.org/entity/Q123051567" TargetMode="External"/><Relationship Id="rId278" Type="http://schemas.openxmlformats.org/officeDocument/2006/relationships/hyperlink" Target="http://commons.wikimedia.org/wiki/Special:FilePath/Rubio%20i%20ors.jpg" TargetMode="External"/><Relationship Id="rId4014" Type="http://schemas.openxmlformats.org/officeDocument/2006/relationships/hyperlink" Target="http://www.wikidata.org/entity/Q123050592" TargetMode="External"/><Relationship Id="rId277" Type="http://schemas.openxmlformats.org/officeDocument/2006/relationships/hyperlink" Target="http://www.wikidata.org/entity/Q36180" TargetMode="External"/><Relationship Id="rId4017" Type="http://schemas.openxmlformats.org/officeDocument/2006/relationships/hyperlink" Target="http://www.wikidata.org/entity/Q123600982" TargetMode="External"/><Relationship Id="rId276" Type="http://schemas.openxmlformats.org/officeDocument/2006/relationships/hyperlink" Target="http://www.wikidata.org/entity/Q3067739" TargetMode="External"/><Relationship Id="rId4016" Type="http://schemas.openxmlformats.org/officeDocument/2006/relationships/hyperlink" Target="http://www.wikidata.org/entity/Q123554207" TargetMode="External"/><Relationship Id="rId1851" Type="http://schemas.openxmlformats.org/officeDocument/2006/relationships/hyperlink" Target="http://www.wikidata.org/entity/Q1279568" TargetMode="External"/><Relationship Id="rId1852" Type="http://schemas.openxmlformats.org/officeDocument/2006/relationships/hyperlink" Target="http://www.wikidata.org/entity/Q119041487" TargetMode="External"/><Relationship Id="rId1853" Type="http://schemas.openxmlformats.org/officeDocument/2006/relationships/hyperlink" Target="http://www.wikidata.org/entity/Q7501153" TargetMode="External"/><Relationship Id="rId1854" Type="http://schemas.openxmlformats.org/officeDocument/2006/relationships/hyperlink" Target="http://www.wikidata.org/entity/Q122831276" TargetMode="External"/><Relationship Id="rId1855" Type="http://schemas.openxmlformats.org/officeDocument/2006/relationships/hyperlink" Target="http://www.wikidata.org/entity/Q1776501" TargetMode="External"/><Relationship Id="rId1856" Type="http://schemas.openxmlformats.org/officeDocument/2006/relationships/hyperlink" Target="http://www.wikidata.org/entity/Q120920568" TargetMode="External"/><Relationship Id="rId1857" Type="http://schemas.openxmlformats.org/officeDocument/2006/relationships/hyperlink" Target="http://www.wikidata.org/entity/Q1930187" TargetMode="External"/><Relationship Id="rId1858" Type="http://schemas.openxmlformats.org/officeDocument/2006/relationships/hyperlink" Target="http://www.wikidata.org/entity/Q116672748" TargetMode="External"/><Relationship Id="rId1859" Type="http://schemas.openxmlformats.org/officeDocument/2006/relationships/hyperlink" Target="http://www.wikidata.org/entity/Q160131" TargetMode="External"/><Relationship Id="rId1850" Type="http://schemas.openxmlformats.org/officeDocument/2006/relationships/hyperlink" Target="http://www.wikidata.org/entity/Q119041487" TargetMode="External"/><Relationship Id="rId1840" Type="http://schemas.openxmlformats.org/officeDocument/2006/relationships/hyperlink" Target="http://www.wikidata.org/entity/Q122842009" TargetMode="External"/><Relationship Id="rId1841" Type="http://schemas.openxmlformats.org/officeDocument/2006/relationships/hyperlink" Target="http://www.wikidata.org/entity/Q639669" TargetMode="External"/><Relationship Id="rId1842" Type="http://schemas.openxmlformats.org/officeDocument/2006/relationships/hyperlink" Target="http://www.wikidata.org/entity/Q122842009" TargetMode="External"/><Relationship Id="rId1843" Type="http://schemas.openxmlformats.org/officeDocument/2006/relationships/hyperlink" Target="http://www.wikidata.org/entity/Q2675537" TargetMode="External"/><Relationship Id="rId1844" Type="http://schemas.openxmlformats.org/officeDocument/2006/relationships/hyperlink" Target="http://www.wikidata.org/entity/Q122831276" TargetMode="External"/><Relationship Id="rId1845" Type="http://schemas.openxmlformats.org/officeDocument/2006/relationships/hyperlink" Target="http://www.wikidata.org/entity/Q191808" TargetMode="External"/><Relationship Id="rId1846" Type="http://schemas.openxmlformats.org/officeDocument/2006/relationships/hyperlink" Target="http://www.wikidata.org/entity/Q118555164" TargetMode="External"/><Relationship Id="rId1847" Type="http://schemas.openxmlformats.org/officeDocument/2006/relationships/hyperlink" Target="http://www.wikidata.org/entity/Q36180" TargetMode="External"/><Relationship Id="rId1848" Type="http://schemas.openxmlformats.org/officeDocument/2006/relationships/hyperlink" Target="http://www.wikidata.org/entity/Q118555164" TargetMode="External"/><Relationship Id="rId1849" Type="http://schemas.openxmlformats.org/officeDocument/2006/relationships/hyperlink" Target="http://www.wikidata.org/entity/Q49757" TargetMode="External"/><Relationship Id="rId1873" Type="http://schemas.openxmlformats.org/officeDocument/2006/relationships/hyperlink" Target="http://www.wikidata.org/entity/Q115840173" TargetMode="External"/><Relationship Id="rId1874" Type="http://schemas.openxmlformats.org/officeDocument/2006/relationships/hyperlink" Target="http://www.wikidata.org/entity/Q219477" TargetMode="External"/><Relationship Id="rId1875" Type="http://schemas.openxmlformats.org/officeDocument/2006/relationships/hyperlink" Target="http://www.wikidata.org/entity/Q116672748" TargetMode="External"/><Relationship Id="rId1876" Type="http://schemas.openxmlformats.org/officeDocument/2006/relationships/hyperlink" Target="http://www.wikidata.org/entity/Q2664461" TargetMode="External"/><Relationship Id="rId1877" Type="http://schemas.openxmlformats.org/officeDocument/2006/relationships/hyperlink" Target="http://commons.wikimedia.org/wiki/Special:FilePath/Foto%20Caesar%20Gezelle%2C%20Philomena%20De%20Smet%20en%20Elisa%20Lateur.jpg" TargetMode="External"/><Relationship Id="rId1878" Type="http://schemas.openxmlformats.org/officeDocument/2006/relationships/hyperlink" Target="http://www.wikidata.org/entity/Q115840173" TargetMode="External"/><Relationship Id="rId1879" Type="http://schemas.openxmlformats.org/officeDocument/2006/relationships/hyperlink" Target="http://www.wikidata.org/entity/Q250867" TargetMode="External"/><Relationship Id="rId1870" Type="http://schemas.openxmlformats.org/officeDocument/2006/relationships/hyperlink" Target="http://www.wikidata.org/entity/Q215536" TargetMode="External"/><Relationship Id="rId1871" Type="http://schemas.openxmlformats.org/officeDocument/2006/relationships/hyperlink" Target="http://www.wikidata.org/entity/Q115840173" TargetMode="External"/><Relationship Id="rId1872" Type="http://schemas.openxmlformats.org/officeDocument/2006/relationships/hyperlink" Target="http://www.wikidata.org/entity/Q955464" TargetMode="External"/><Relationship Id="rId1862" Type="http://schemas.openxmlformats.org/officeDocument/2006/relationships/hyperlink" Target="http://www.wikidata.org/entity/Q3704253" TargetMode="External"/><Relationship Id="rId1863" Type="http://schemas.openxmlformats.org/officeDocument/2006/relationships/hyperlink" Target="http://www.wikidata.org/entity/Q115982426" TargetMode="External"/><Relationship Id="rId1864" Type="http://schemas.openxmlformats.org/officeDocument/2006/relationships/hyperlink" Target="http://www.wikidata.org/entity/Q36180" TargetMode="External"/><Relationship Id="rId1865" Type="http://schemas.openxmlformats.org/officeDocument/2006/relationships/hyperlink" Target="http://www.wikidata.org/entity/Q123422368" TargetMode="External"/><Relationship Id="rId1866" Type="http://schemas.openxmlformats.org/officeDocument/2006/relationships/hyperlink" Target="http://www.wikidata.org/entity/Q37226" TargetMode="External"/><Relationship Id="rId1867" Type="http://schemas.openxmlformats.org/officeDocument/2006/relationships/hyperlink" Target="http://www.wikidata.org/entity/Q122964092" TargetMode="External"/><Relationship Id="rId1868" Type="http://schemas.openxmlformats.org/officeDocument/2006/relationships/hyperlink" Target="http://www.wikidata.org/entity/Q1639239" TargetMode="External"/><Relationship Id="rId1869" Type="http://schemas.openxmlformats.org/officeDocument/2006/relationships/hyperlink" Target="http://www.wikidata.org/entity/Q119729450" TargetMode="External"/><Relationship Id="rId1860" Type="http://schemas.openxmlformats.org/officeDocument/2006/relationships/hyperlink" Target="http://commons.wikimedia.org/wiki/Special:FilePath/Foto%20Caesar%20Gezelle%2C%20Philomena%20De%20Smet%20en%20Elisa%20Lateur.jpg" TargetMode="External"/><Relationship Id="rId1861" Type="http://schemas.openxmlformats.org/officeDocument/2006/relationships/hyperlink" Target="http://www.wikidata.org/entity/Q120920568" TargetMode="External"/><Relationship Id="rId1810" Type="http://schemas.openxmlformats.org/officeDocument/2006/relationships/hyperlink" Target="http://www.wikidata.org/entity/Q119794988" TargetMode="External"/><Relationship Id="rId1811" Type="http://schemas.openxmlformats.org/officeDocument/2006/relationships/hyperlink" Target="http://www.wikidata.org/entity/Q998550" TargetMode="External"/><Relationship Id="rId1812" Type="http://schemas.openxmlformats.org/officeDocument/2006/relationships/hyperlink" Target="http://www.wikidata.org/entity/Q119013873" TargetMode="External"/><Relationship Id="rId1813" Type="http://schemas.openxmlformats.org/officeDocument/2006/relationships/hyperlink" Target="http://www.wikidata.org/entity/Q1753370" TargetMode="External"/><Relationship Id="rId1814" Type="http://schemas.openxmlformats.org/officeDocument/2006/relationships/hyperlink" Target="http://www.wikidata.org/entity/Q117229438" TargetMode="External"/><Relationship Id="rId1815" Type="http://schemas.openxmlformats.org/officeDocument/2006/relationships/hyperlink" Target="http://www.wikidata.org/entity/Q37226" TargetMode="External"/><Relationship Id="rId1816" Type="http://schemas.openxmlformats.org/officeDocument/2006/relationships/hyperlink" Target="http://www.wikidata.org/entity/Q120900509" TargetMode="External"/><Relationship Id="rId1817" Type="http://schemas.openxmlformats.org/officeDocument/2006/relationships/hyperlink" Target="http://www.wikidata.org/entity/Q214917" TargetMode="External"/><Relationship Id="rId1818" Type="http://schemas.openxmlformats.org/officeDocument/2006/relationships/hyperlink" Target="http://www.wikidata.org/entity/Q123414143" TargetMode="External"/><Relationship Id="rId1819" Type="http://schemas.openxmlformats.org/officeDocument/2006/relationships/hyperlink" Target="http://www.wikidata.org/entity/Q42855995" TargetMode="External"/><Relationship Id="rId4080" Type="http://schemas.openxmlformats.org/officeDocument/2006/relationships/hyperlink" Target="http://www.wikidata.org/entity/Q876864" TargetMode="External"/><Relationship Id="rId4082" Type="http://schemas.openxmlformats.org/officeDocument/2006/relationships/hyperlink" Target="http://www.wikidata.org/entity/Q2251335" TargetMode="External"/><Relationship Id="rId4081" Type="http://schemas.openxmlformats.org/officeDocument/2006/relationships/hyperlink" Target="http://www.wikidata.org/entity/Q125559890" TargetMode="External"/><Relationship Id="rId4084" Type="http://schemas.openxmlformats.org/officeDocument/2006/relationships/hyperlink" Target="http://www.wikidata.org/entity/Q876864" TargetMode="External"/><Relationship Id="rId4083" Type="http://schemas.openxmlformats.org/officeDocument/2006/relationships/hyperlink" Target="http://www.wikidata.org/entity/Q15461013" TargetMode="External"/><Relationship Id="rId4086" Type="http://schemas.openxmlformats.org/officeDocument/2006/relationships/hyperlink" Target="http://www.wikidata.org/entity/Q122963909" TargetMode="External"/><Relationship Id="rId4085" Type="http://schemas.openxmlformats.org/officeDocument/2006/relationships/hyperlink" Target="http://commons.wikimedia.org/wiki/Special:FilePath/De%20Potter%20Frans%20070512.png" TargetMode="External"/><Relationship Id="rId4088" Type="http://schemas.openxmlformats.org/officeDocument/2006/relationships/hyperlink" Target="http://www.wikidata.org/entity/Q136703696" TargetMode="External"/><Relationship Id="rId4087" Type="http://schemas.openxmlformats.org/officeDocument/2006/relationships/hyperlink" Target="http://www.wikidata.org/entity/Q1639239" TargetMode="External"/><Relationship Id="rId4089" Type="http://schemas.openxmlformats.org/officeDocument/2006/relationships/hyperlink" Target="http://www.wikidata.org/entity/Q955464" TargetMode="External"/><Relationship Id="rId1800" Type="http://schemas.openxmlformats.org/officeDocument/2006/relationships/hyperlink" Target="http://www.wikidata.org/entity/Q117244596" TargetMode="External"/><Relationship Id="rId1801" Type="http://schemas.openxmlformats.org/officeDocument/2006/relationships/hyperlink" Target="http://www.wikidata.org/entity/Q38126150" TargetMode="External"/><Relationship Id="rId1802" Type="http://schemas.openxmlformats.org/officeDocument/2006/relationships/hyperlink" Target="http://commons.wikimedia.org/wiki/Special:FilePath/Foto%20van%20Hortense%20Gezelle.jpg" TargetMode="External"/><Relationship Id="rId1803" Type="http://schemas.openxmlformats.org/officeDocument/2006/relationships/hyperlink" Target="http://www.wikidata.org/entity/Q122754021" TargetMode="External"/><Relationship Id="rId1804" Type="http://schemas.openxmlformats.org/officeDocument/2006/relationships/hyperlink" Target="http://www.wikidata.org/entity/Q123050504" TargetMode="External"/><Relationship Id="rId1805" Type="http://schemas.openxmlformats.org/officeDocument/2006/relationships/hyperlink" Target="http://www.wikidata.org/entity/Q119794988" TargetMode="External"/><Relationship Id="rId1806" Type="http://schemas.openxmlformats.org/officeDocument/2006/relationships/hyperlink" Target="http://www.wikidata.org/entity/Q1413170" TargetMode="External"/><Relationship Id="rId1807" Type="http://schemas.openxmlformats.org/officeDocument/2006/relationships/hyperlink" Target="http://www.wikidata.org/entity/Q125490771" TargetMode="External"/><Relationship Id="rId1808" Type="http://schemas.openxmlformats.org/officeDocument/2006/relationships/hyperlink" Target="http://www.wikidata.org/entity/Q122884053" TargetMode="External"/><Relationship Id="rId1809" Type="http://schemas.openxmlformats.org/officeDocument/2006/relationships/hyperlink" Target="http://www.wikidata.org/entity/Q37226" TargetMode="External"/><Relationship Id="rId4071" Type="http://schemas.openxmlformats.org/officeDocument/2006/relationships/hyperlink" Target="http://www.wikidata.org/entity/Q123050974" TargetMode="External"/><Relationship Id="rId4070" Type="http://schemas.openxmlformats.org/officeDocument/2006/relationships/hyperlink" Target="http://commons.wikimedia.org/wiki/Special:FilePath/De%20Potter%20Frans%20070512.png" TargetMode="External"/><Relationship Id="rId4073" Type="http://schemas.openxmlformats.org/officeDocument/2006/relationships/hyperlink" Target="http://www.wikidata.org/entity/Q125559890" TargetMode="External"/><Relationship Id="rId4072" Type="http://schemas.openxmlformats.org/officeDocument/2006/relationships/hyperlink" Target="http://www.wikidata.org/entity/Q1540278" TargetMode="External"/><Relationship Id="rId4075" Type="http://schemas.openxmlformats.org/officeDocument/2006/relationships/hyperlink" Target="http://www.wikidata.org/entity/Q125559890" TargetMode="External"/><Relationship Id="rId4074" Type="http://schemas.openxmlformats.org/officeDocument/2006/relationships/hyperlink" Target="http://www.wikidata.org/entity/Q121594" TargetMode="External"/><Relationship Id="rId4077" Type="http://schemas.openxmlformats.org/officeDocument/2006/relationships/hyperlink" Target="http://www.wikidata.org/entity/Q122963358" TargetMode="External"/><Relationship Id="rId4076" Type="http://schemas.openxmlformats.org/officeDocument/2006/relationships/hyperlink" Target="http://www.wikidata.org/entity/Q1162163" TargetMode="External"/><Relationship Id="rId4079" Type="http://schemas.openxmlformats.org/officeDocument/2006/relationships/hyperlink" Target="http://www.wikidata.org/entity/Q122963358" TargetMode="External"/><Relationship Id="rId4078" Type="http://schemas.openxmlformats.org/officeDocument/2006/relationships/hyperlink" Target="http://www.wikidata.org/entity/Q1162163" TargetMode="External"/><Relationship Id="rId1830" Type="http://schemas.openxmlformats.org/officeDocument/2006/relationships/hyperlink" Target="http://www.wikidata.org/entity/Q125544971" TargetMode="External"/><Relationship Id="rId1831" Type="http://schemas.openxmlformats.org/officeDocument/2006/relationships/hyperlink" Target="http://www.wikidata.org/entity/Q201788" TargetMode="External"/><Relationship Id="rId1832" Type="http://schemas.openxmlformats.org/officeDocument/2006/relationships/hyperlink" Target="http://www.wikidata.org/entity/Q123050722" TargetMode="External"/><Relationship Id="rId1833" Type="http://schemas.openxmlformats.org/officeDocument/2006/relationships/hyperlink" Target="http://www.wikidata.org/entity/Q685433" TargetMode="External"/><Relationship Id="rId1834" Type="http://schemas.openxmlformats.org/officeDocument/2006/relationships/hyperlink" Target="http://www.wikidata.org/entity/Q125541827" TargetMode="External"/><Relationship Id="rId1835" Type="http://schemas.openxmlformats.org/officeDocument/2006/relationships/hyperlink" Target="http://www.wikidata.org/entity/Q2251335" TargetMode="External"/><Relationship Id="rId1836" Type="http://schemas.openxmlformats.org/officeDocument/2006/relationships/hyperlink" Target="http://www.wikidata.org/entity/Q123050722" TargetMode="External"/><Relationship Id="rId1837" Type="http://schemas.openxmlformats.org/officeDocument/2006/relationships/hyperlink" Target="http://www.wikidata.org/entity/Q3704253" TargetMode="External"/><Relationship Id="rId1838" Type="http://schemas.openxmlformats.org/officeDocument/2006/relationships/hyperlink" Target="http://www.wikidata.org/entity/Q120729190" TargetMode="External"/><Relationship Id="rId1839" Type="http://schemas.openxmlformats.org/officeDocument/2006/relationships/hyperlink" Target="http://www.wikidata.org/entity/Q36180" TargetMode="External"/><Relationship Id="rId1820" Type="http://schemas.openxmlformats.org/officeDocument/2006/relationships/hyperlink" Target="http://www.wikidata.org/entity/Q120900509" TargetMode="External"/><Relationship Id="rId1821" Type="http://schemas.openxmlformats.org/officeDocument/2006/relationships/hyperlink" Target="http://www.wikidata.org/entity/Q1930187" TargetMode="External"/><Relationship Id="rId1822" Type="http://schemas.openxmlformats.org/officeDocument/2006/relationships/hyperlink" Target="http://www.wikidata.org/entity/Q125541827" TargetMode="External"/><Relationship Id="rId1823" Type="http://schemas.openxmlformats.org/officeDocument/2006/relationships/hyperlink" Target="http://www.wikidata.org/entity/Q1162163" TargetMode="External"/><Relationship Id="rId1824" Type="http://schemas.openxmlformats.org/officeDocument/2006/relationships/hyperlink" Target="http://www.wikidata.org/entity/Q121002664" TargetMode="External"/><Relationship Id="rId1825" Type="http://schemas.openxmlformats.org/officeDocument/2006/relationships/hyperlink" Target="http://www.wikidata.org/entity/Q1753370" TargetMode="External"/><Relationship Id="rId1826" Type="http://schemas.openxmlformats.org/officeDocument/2006/relationships/hyperlink" Target="http://www.wikidata.org/entity/Q120900509" TargetMode="External"/><Relationship Id="rId1827" Type="http://schemas.openxmlformats.org/officeDocument/2006/relationships/hyperlink" Target="http://www.wikidata.org/entity/Q2251335" TargetMode="External"/><Relationship Id="rId1828" Type="http://schemas.openxmlformats.org/officeDocument/2006/relationships/hyperlink" Target="http://www.wikidata.org/entity/Q120900509" TargetMode="External"/><Relationship Id="rId1829" Type="http://schemas.openxmlformats.org/officeDocument/2006/relationships/hyperlink" Target="http://www.wikidata.org/entity/Q326653" TargetMode="External"/><Relationship Id="rId4091" Type="http://schemas.openxmlformats.org/officeDocument/2006/relationships/hyperlink" Target="http://www.wikidata.org/entity/Q1162163" TargetMode="External"/><Relationship Id="rId4090" Type="http://schemas.openxmlformats.org/officeDocument/2006/relationships/hyperlink" Target="http://www.wikidata.org/entity/Q136703696" TargetMode="External"/><Relationship Id="rId4093" Type="http://schemas.openxmlformats.org/officeDocument/2006/relationships/hyperlink" Target="http://www.wikidata.org/entity/Q250867" TargetMode="External"/><Relationship Id="rId4092" Type="http://schemas.openxmlformats.org/officeDocument/2006/relationships/hyperlink" Target="http://www.wikidata.org/entity/Q136703696" TargetMode="External"/><Relationship Id="rId4095" Type="http://schemas.openxmlformats.org/officeDocument/2006/relationships/hyperlink" Target="http://www.wikidata.org/entity/Q36180" TargetMode="External"/><Relationship Id="rId4094" Type="http://schemas.openxmlformats.org/officeDocument/2006/relationships/hyperlink" Target="http://www.wikidata.org/entity/Q125516501" TargetMode="External"/><Relationship Id="rId4097" Type="http://schemas.openxmlformats.org/officeDocument/2006/relationships/hyperlink" Target="http://www.wikidata.org/entity/Q955464" TargetMode="External"/><Relationship Id="rId4096" Type="http://schemas.openxmlformats.org/officeDocument/2006/relationships/hyperlink" Target="http://www.wikidata.org/entity/Q2496044" TargetMode="External"/><Relationship Id="rId4099" Type="http://schemas.openxmlformats.org/officeDocument/2006/relationships/hyperlink" Target="http://www.wikidata.org/entity/Q82955" TargetMode="External"/><Relationship Id="rId4098" Type="http://schemas.openxmlformats.org/officeDocument/2006/relationships/hyperlink" Target="http://www.wikidata.org/entity/Q2496044" TargetMode="External"/><Relationship Id="rId2302" Type="http://schemas.openxmlformats.org/officeDocument/2006/relationships/hyperlink" Target="http://www.wikidata.org/entity/Q1162163" TargetMode="External"/><Relationship Id="rId3634" Type="http://schemas.openxmlformats.org/officeDocument/2006/relationships/hyperlink" Target="http://www.wikidata.org/entity/Q115818424" TargetMode="External"/><Relationship Id="rId2303" Type="http://schemas.openxmlformats.org/officeDocument/2006/relationships/hyperlink" Target="http://www.wikidata.org/entity/Q2306925" TargetMode="External"/><Relationship Id="rId3633" Type="http://schemas.openxmlformats.org/officeDocument/2006/relationships/hyperlink" Target="http://www.wikidata.org/entity/Q1753370" TargetMode="External"/><Relationship Id="rId2304" Type="http://schemas.openxmlformats.org/officeDocument/2006/relationships/hyperlink" Target="http://www.wikidata.org/entity/Q1753370" TargetMode="External"/><Relationship Id="rId3636" Type="http://schemas.openxmlformats.org/officeDocument/2006/relationships/hyperlink" Target="http://www.wikidata.org/entity/Q115829884" TargetMode="External"/><Relationship Id="rId2305" Type="http://schemas.openxmlformats.org/officeDocument/2006/relationships/hyperlink" Target="http://commons.wikimedia.org/wiki/Special:FilePath/J%20O%20Andries%201836.jpg" TargetMode="External"/><Relationship Id="rId3635" Type="http://schemas.openxmlformats.org/officeDocument/2006/relationships/hyperlink" Target="http://www.wikidata.org/entity/Q1753370" TargetMode="External"/><Relationship Id="rId2306" Type="http://schemas.openxmlformats.org/officeDocument/2006/relationships/hyperlink" Target="http://www.wikidata.org/entity/Q110039252" TargetMode="External"/><Relationship Id="rId3638" Type="http://schemas.openxmlformats.org/officeDocument/2006/relationships/hyperlink" Target="http://www.wikidata.org/entity/Q14331462" TargetMode="External"/><Relationship Id="rId2307" Type="http://schemas.openxmlformats.org/officeDocument/2006/relationships/hyperlink" Target="http://www.wikidata.org/entity/Q1056391" TargetMode="External"/><Relationship Id="rId3637" Type="http://schemas.openxmlformats.org/officeDocument/2006/relationships/hyperlink" Target="http://www.wikidata.org/entity/Q2251335" TargetMode="External"/><Relationship Id="rId2308" Type="http://schemas.openxmlformats.org/officeDocument/2006/relationships/hyperlink" Target="http://www.wikidata.org/entity/Q110039252" TargetMode="External"/><Relationship Id="rId2309" Type="http://schemas.openxmlformats.org/officeDocument/2006/relationships/hyperlink" Target="http://www.wikidata.org/entity/Q250867" TargetMode="External"/><Relationship Id="rId3639" Type="http://schemas.openxmlformats.org/officeDocument/2006/relationships/hyperlink" Target="http://www.wikidata.org/entity/Q955464" TargetMode="External"/><Relationship Id="rId3630" Type="http://schemas.openxmlformats.org/officeDocument/2006/relationships/hyperlink" Target="http://www.wikidata.org/entity/Q115829884" TargetMode="External"/><Relationship Id="rId2300" Type="http://schemas.openxmlformats.org/officeDocument/2006/relationships/hyperlink" Target="http://www.wikidata.org/entity/Q765778" TargetMode="External"/><Relationship Id="rId3632" Type="http://schemas.openxmlformats.org/officeDocument/2006/relationships/hyperlink" Target="http://www.wikidata.org/entity/Q115818168" TargetMode="External"/><Relationship Id="rId2301" Type="http://schemas.openxmlformats.org/officeDocument/2006/relationships/hyperlink" Target="http://www.wikidata.org/entity/Q110039252" TargetMode="External"/><Relationship Id="rId3631" Type="http://schemas.openxmlformats.org/officeDocument/2006/relationships/hyperlink" Target="http://www.wikidata.org/entity/Q4958876" TargetMode="External"/><Relationship Id="rId3623" Type="http://schemas.openxmlformats.org/officeDocument/2006/relationships/hyperlink" Target="http://www.wikidata.org/entity/Q208762" TargetMode="External"/><Relationship Id="rId3622" Type="http://schemas.openxmlformats.org/officeDocument/2006/relationships/hyperlink" Target="http://www.wikidata.org/entity/Q115818168" TargetMode="External"/><Relationship Id="rId3625" Type="http://schemas.openxmlformats.org/officeDocument/2006/relationships/hyperlink" Target="http://www.wikidata.org/entity/Q1162163" TargetMode="External"/><Relationship Id="rId3624" Type="http://schemas.openxmlformats.org/officeDocument/2006/relationships/hyperlink" Target="http://www.wikidata.org/entity/Q115829884" TargetMode="External"/><Relationship Id="rId3627" Type="http://schemas.openxmlformats.org/officeDocument/2006/relationships/hyperlink" Target="http://www.wikidata.org/entity/Q250867" TargetMode="External"/><Relationship Id="rId3626" Type="http://schemas.openxmlformats.org/officeDocument/2006/relationships/hyperlink" Target="http://www.wikidata.org/entity/Q115829884" TargetMode="External"/><Relationship Id="rId3629" Type="http://schemas.openxmlformats.org/officeDocument/2006/relationships/hyperlink" Target="http://www.wikidata.org/entity/Q1753370" TargetMode="External"/><Relationship Id="rId3628" Type="http://schemas.openxmlformats.org/officeDocument/2006/relationships/hyperlink" Target="http://www.wikidata.org/entity/Q115815852" TargetMode="External"/><Relationship Id="rId3621" Type="http://schemas.openxmlformats.org/officeDocument/2006/relationships/hyperlink" Target="http://www.wikidata.org/entity/Q955464" TargetMode="External"/><Relationship Id="rId3620" Type="http://schemas.openxmlformats.org/officeDocument/2006/relationships/hyperlink" Target="http://www.wikidata.org/entity/Q115829884" TargetMode="External"/><Relationship Id="rId2324" Type="http://schemas.openxmlformats.org/officeDocument/2006/relationships/hyperlink" Target="http://www.wikidata.org/entity/Q4423628" TargetMode="External"/><Relationship Id="rId3656" Type="http://schemas.openxmlformats.org/officeDocument/2006/relationships/hyperlink" Target="http://www.wikidata.org/entity/Q115823191" TargetMode="External"/><Relationship Id="rId2325" Type="http://schemas.openxmlformats.org/officeDocument/2006/relationships/hyperlink" Target="http://www.wikidata.org/entity/Q1365552" TargetMode="External"/><Relationship Id="rId3655" Type="http://schemas.openxmlformats.org/officeDocument/2006/relationships/hyperlink" Target="http://www.wikidata.org/entity/Q208762" TargetMode="External"/><Relationship Id="rId2326" Type="http://schemas.openxmlformats.org/officeDocument/2006/relationships/hyperlink" Target="http://www.wikidata.org/entity/Q2638823" TargetMode="External"/><Relationship Id="rId3658" Type="http://schemas.openxmlformats.org/officeDocument/2006/relationships/hyperlink" Target="http://www.wikidata.org/entity/Q14331462" TargetMode="External"/><Relationship Id="rId2327" Type="http://schemas.openxmlformats.org/officeDocument/2006/relationships/hyperlink" Target="http://www.wikidata.org/entity/Q6606110" TargetMode="External"/><Relationship Id="rId3657" Type="http://schemas.openxmlformats.org/officeDocument/2006/relationships/hyperlink" Target="http://www.wikidata.org/entity/Q1753370" TargetMode="External"/><Relationship Id="rId2328" Type="http://schemas.openxmlformats.org/officeDocument/2006/relationships/hyperlink" Target="http://commons.wikimedia.org/wiki/Special:FilePath/Alfons%20Janssens.jpg" TargetMode="External"/><Relationship Id="rId2329" Type="http://schemas.openxmlformats.org/officeDocument/2006/relationships/hyperlink" Target="http://www.wikidata.org/entity/Q2638823" TargetMode="External"/><Relationship Id="rId3659" Type="http://schemas.openxmlformats.org/officeDocument/2006/relationships/hyperlink" Target="http://www.wikidata.org/entity/Q2251335" TargetMode="External"/><Relationship Id="rId3650" Type="http://schemas.openxmlformats.org/officeDocument/2006/relationships/hyperlink" Target="http://www.wikidata.org/entity/Q115821479" TargetMode="External"/><Relationship Id="rId2320" Type="http://schemas.openxmlformats.org/officeDocument/2006/relationships/hyperlink" Target="http://commons.wikimedia.org/wiki/Special:FilePath/Leonard%20Lodewijk%20De%20Bo.jpg" TargetMode="External"/><Relationship Id="rId3652" Type="http://schemas.openxmlformats.org/officeDocument/2006/relationships/hyperlink" Target="http://www.wikidata.org/entity/Q115826830" TargetMode="External"/><Relationship Id="rId2321" Type="http://schemas.openxmlformats.org/officeDocument/2006/relationships/hyperlink" Target="http://www.wikidata.org/entity/Q2306925" TargetMode="External"/><Relationship Id="rId3651" Type="http://schemas.openxmlformats.org/officeDocument/2006/relationships/hyperlink" Target="http://www.wikidata.org/entity/Q1753370" TargetMode="External"/><Relationship Id="rId2322" Type="http://schemas.openxmlformats.org/officeDocument/2006/relationships/hyperlink" Target="http://www.wikidata.org/entity/Q250867" TargetMode="External"/><Relationship Id="rId3654" Type="http://schemas.openxmlformats.org/officeDocument/2006/relationships/hyperlink" Target="http://www.wikidata.org/entity/Q115827696" TargetMode="External"/><Relationship Id="rId2323" Type="http://schemas.openxmlformats.org/officeDocument/2006/relationships/hyperlink" Target="http://commons.wikimedia.org/wiki/Special:FilePath/J%20O%20Andries%201836.jpg" TargetMode="External"/><Relationship Id="rId3653" Type="http://schemas.openxmlformats.org/officeDocument/2006/relationships/hyperlink" Target="http://www.wikidata.org/entity/Q1469535" TargetMode="External"/><Relationship Id="rId2313" Type="http://schemas.openxmlformats.org/officeDocument/2006/relationships/hyperlink" Target="http://www.wikidata.org/entity/Q4423628" TargetMode="External"/><Relationship Id="rId3645" Type="http://schemas.openxmlformats.org/officeDocument/2006/relationships/hyperlink" Target="http://www.wikidata.org/entity/Q1993192" TargetMode="External"/><Relationship Id="rId2314" Type="http://schemas.openxmlformats.org/officeDocument/2006/relationships/hyperlink" Target="http://www.wikidata.org/entity/Q2251335" TargetMode="External"/><Relationship Id="rId3644" Type="http://schemas.openxmlformats.org/officeDocument/2006/relationships/hyperlink" Target="http://www.wikidata.org/entity/Q115818424" TargetMode="External"/><Relationship Id="rId2315" Type="http://schemas.openxmlformats.org/officeDocument/2006/relationships/hyperlink" Target="http://www.wikidata.org/entity/Q2779054" TargetMode="External"/><Relationship Id="rId3647" Type="http://schemas.openxmlformats.org/officeDocument/2006/relationships/hyperlink" Target="http://www.wikidata.org/entity/Q1753370" TargetMode="External"/><Relationship Id="rId2316" Type="http://schemas.openxmlformats.org/officeDocument/2006/relationships/hyperlink" Target="http://www.wikidata.org/entity/Q250867" TargetMode="External"/><Relationship Id="rId3646" Type="http://schemas.openxmlformats.org/officeDocument/2006/relationships/hyperlink" Target="http://www.wikidata.org/entity/Q80079104" TargetMode="External"/><Relationship Id="rId2317" Type="http://schemas.openxmlformats.org/officeDocument/2006/relationships/hyperlink" Target="http://commons.wikimedia.org/wiki/Special:FilePath/Leonard%20Lodewijk%20De%20Bo.jpg" TargetMode="External"/><Relationship Id="rId3649" Type="http://schemas.openxmlformats.org/officeDocument/2006/relationships/hyperlink" Target="http://www.wikidata.org/entity/Q1753370" TargetMode="External"/><Relationship Id="rId2318" Type="http://schemas.openxmlformats.org/officeDocument/2006/relationships/hyperlink" Target="http://www.wikidata.org/entity/Q2779054" TargetMode="External"/><Relationship Id="rId3648" Type="http://schemas.openxmlformats.org/officeDocument/2006/relationships/hyperlink" Target="http://www.wikidata.org/entity/Q115821483" TargetMode="External"/><Relationship Id="rId2319" Type="http://schemas.openxmlformats.org/officeDocument/2006/relationships/hyperlink" Target="http://www.wikidata.org/entity/Q36180" TargetMode="External"/><Relationship Id="rId3641" Type="http://schemas.openxmlformats.org/officeDocument/2006/relationships/hyperlink" Target="http://www.wikidata.org/entity/Q1056391" TargetMode="External"/><Relationship Id="rId2310" Type="http://schemas.openxmlformats.org/officeDocument/2006/relationships/hyperlink" Target="http://www.wikidata.org/entity/Q3164253" TargetMode="External"/><Relationship Id="rId3640" Type="http://schemas.openxmlformats.org/officeDocument/2006/relationships/hyperlink" Target="http://www.wikidata.org/entity/Q14331462" TargetMode="External"/><Relationship Id="rId2311" Type="http://schemas.openxmlformats.org/officeDocument/2006/relationships/hyperlink" Target="http://www.wikidata.org/entity/Q182436" TargetMode="External"/><Relationship Id="rId3643" Type="http://schemas.openxmlformats.org/officeDocument/2006/relationships/hyperlink" Target="http://www.wikidata.org/entity/Q250867" TargetMode="External"/><Relationship Id="rId2312" Type="http://schemas.openxmlformats.org/officeDocument/2006/relationships/hyperlink" Target="http://commons.wikimedia.org/wiki/Special:FilePath/Joannes%20Baptista%20Malou%20-%20Bishop%20of%20Bruges.jpg" TargetMode="External"/><Relationship Id="rId3642" Type="http://schemas.openxmlformats.org/officeDocument/2006/relationships/hyperlink" Target="http://www.wikidata.org/entity/Q14331462" TargetMode="External"/><Relationship Id="rId1895" Type="http://schemas.openxmlformats.org/officeDocument/2006/relationships/hyperlink" Target="http://www.wikidata.org/entity/Q115844668" TargetMode="External"/><Relationship Id="rId1896" Type="http://schemas.openxmlformats.org/officeDocument/2006/relationships/hyperlink" Target="http://www.wikidata.org/entity/Q250867" TargetMode="External"/><Relationship Id="rId1897" Type="http://schemas.openxmlformats.org/officeDocument/2006/relationships/hyperlink" Target="http://www.wikidata.org/entity/Q125353522" TargetMode="External"/><Relationship Id="rId1898" Type="http://schemas.openxmlformats.org/officeDocument/2006/relationships/hyperlink" Target="http://www.wikidata.org/entity/Q836904" TargetMode="External"/><Relationship Id="rId1899" Type="http://schemas.openxmlformats.org/officeDocument/2006/relationships/hyperlink" Target="http://www.wikidata.org/entity/Q119621396" TargetMode="External"/><Relationship Id="rId1890" Type="http://schemas.openxmlformats.org/officeDocument/2006/relationships/hyperlink" Target="http://www.wikidata.org/entity/Q116672748" TargetMode="External"/><Relationship Id="rId1891" Type="http://schemas.openxmlformats.org/officeDocument/2006/relationships/hyperlink" Target="http://www.wikidata.org/entity/Q7501153" TargetMode="External"/><Relationship Id="rId1892" Type="http://schemas.openxmlformats.org/officeDocument/2006/relationships/hyperlink" Target="http://commons.wikimedia.org/wiki/Special:FilePath/Foto%20Caesar%20Gezelle%2C%20Philomena%20De%20Smet%20en%20Elisa%20Lateur.jpg" TargetMode="External"/><Relationship Id="rId1893" Type="http://schemas.openxmlformats.org/officeDocument/2006/relationships/hyperlink" Target="http://www.wikidata.org/entity/Q115844668" TargetMode="External"/><Relationship Id="rId1894" Type="http://schemas.openxmlformats.org/officeDocument/2006/relationships/hyperlink" Target="http://www.wikidata.org/entity/Q955464" TargetMode="External"/><Relationship Id="rId1884" Type="http://schemas.openxmlformats.org/officeDocument/2006/relationships/hyperlink" Target="http://www.wikidata.org/entity/Q115838563" TargetMode="External"/><Relationship Id="rId1885" Type="http://schemas.openxmlformats.org/officeDocument/2006/relationships/hyperlink" Target="http://www.wikidata.org/entity/Q2251335" TargetMode="External"/><Relationship Id="rId1886" Type="http://schemas.openxmlformats.org/officeDocument/2006/relationships/hyperlink" Target="http://www.wikidata.org/entity/Q116509131" TargetMode="External"/><Relationship Id="rId1887" Type="http://schemas.openxmlformats.org/officeDocument/2006/relationships/hyperlink" Target="http://www.wikidata.org/entity/Q1776501" TargetMode="External"/><Relationship Id="rId1888" Type="http://schemas.openxmlformats.org/officeDocument/2006/relationships/hyperlink" Target="http://www.wikidata.org/entity/Q125544971" TargetMode="External"/><Relationship Id="rId1889" Type="http://schemas.openxmlformats.org/officeDocument/2006/relationships/hyperlink" Target="http://www.wikidata.org/entity/Q618532" TargetMode="External"/><Relationship Id="rId1880" Type="http://schemas.openxmlformats.org/officeDocument/2006/relationships/hyperlink" Target="http://www.wikidata.org/entity/Q116509131" TargetMode="External"/><Relationship Id="rId1881" Type="http://schemas.openxmlformats.org/officeDocument/2006/relationships/hyperlink" Target="http://www.wikidata.org/entity/Q191808" TargetMode="External"/><Relationship Id="rId1882" Type="http://schemas.openxmlformats.org/officeDocument/2006/relationships/hyperlink" Target="http://www.wikidata.org/entity/Q116621699" TargetMode="External"/><Relationship Id="rId1883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3612" Type="http://schemas.openxmlformats.org/officeDocument/2006/relationships/hyperlink" Target="http://www.wikidata.org/entity/Q115826830" TargetMode="External"/><Relationship Id="rId3611" Type="http://schemas.openxmlformats.org/officeDocument/2006/relationships/hyperlink" Target="http://www.wikidata.org/entity/Q955464" TargetMode="External"/><Relationship Id="rId3614" Type="http://schemas.openxmlformats.org/officeDocument/2006/relationships/hyperlink" Target="http://www.wikidata.org/entity/Q115815852" TargetMode="External"/><Relationship Id="rId3613" Type="http://schemas.openxmlformats.org/officeDocument/2006/relationships/hyperlink" Target="http://www.wikidata.org/entity/Q2251335" TargetMode="External"/><Relationship Id="rId3616" Type="http://schemas.openxmlformats.org/officeDocument/2006/relationships/hyperlink" Target="http://www.wikidata.org/entity/Q75320317" TargetMode="External"/><Relationship Id="rId3615" Type="http://schemas.openxmlformats.org/officeDocument/2006/relationships/hyperlink" Target="http://www.wikidata.org/entity/Q1657500" TargetMode="External"/><Relationship Id="rId3618" Type="http://schemas.openxmlformats.org/officeDocument/2006/relationships/hyperlink" Target="http://www.wikidata.org/entity/Q75320317" TargetMode="External"/><Relationship Id="rId3617" Type="http://schemas.openxmlformats.org/officeDocument/2006/relationships/hyperlink" Target="http://www.wikidata.org/entity/Q40348" TargetMode="External"/><Relationship Id="rId3619" Type="http://schemas.openxmlformats.org/officeDocument/2006/relationships/hyperlink" Target="http://www.wikidata.org/entity/Q36180" TargetMode="External"/><Relationship Id="rId3610" Type="http://schemas.openxmlformats.org/officeDocument/2006/relationships/hyperlink" Target="http://www.wikidata.org/entity/Q115831295" TargetMode="External"/><Relationship Id="rId3601" Type="http://schemas.openxmlformats.org/officeDocument/2006/relationships/hyperlink" Target="http://www.wikidata.org/entity/Q2251335" TargetMode="External"/><Relationship Id="rId3600" Type="http://schemas.openxmlformats.org/officeDocument/2006/relationships/hyperlink" Target="http://www.wikidata.org/entity/Q115823191" TargetMode="External"/><Relationship Id="rId3603" Type="http://schemas.openxmlformats.org/officeDocument/2006/relationships/hyperlink" Target="http://www.wikidata.org/entity/Q219477" TargetMode="External"/><Relationship Id="rId3602" Type="http://schemas.openxmlformats.org/officeDocument/2006/relationships/hyperlink" Target="http://www.wikidata.org/entity/Q115827696" TargetMode="External"/><Relationship Id="rId3605" Type="http://schemas.openxmlformats.org/officeDocument/2006/relationships/hyperlink" Target="http://www.wikidata.org/entity/Q250867" TargetMode="External"/><Relationship Id="rId3604" Type="http://schemas.openxmlformats.org/officeDocument/2006/relationships/hyperlink" Target="http://www.wikidata.org/entity/Q115827696" TargetMode="External"/><Relationship Id="rId3607" Type="http://schemas.openxmlformats.org/officeDocument/2006/relationships/hyperlink" Target="http://www.wikidata.org/entity/Q10855616" TargetMode="External"/><Relationship Id="rId3606" Type="http://schemas.openxmlformats.org/officeDocument/2006/relationships/hyperlink" Target="http://www.wikidata.org/entity/Q57197744" TargetMode="External"/><Relationship Id="rId3609" Type="http://schemas.openxmlformats.org/officeDocument/2006/relationships/hyperlink" Target="http://www.wikidata.org/entity/Q1731155" TargetMode="External"/><Relationship Id="rId3608" Type="http://schemas.openxmlformats.org/officeDocument/2006/relationships/hyperlink" Target="http://www.wikidata.org/entity/Q5983066" TargetMode="External"/><Relationship Id="rId1059" Type="http://schemas.openxmlformats.org/officeDocument/2006/relationships/hyperlink" Target="http://www.wikidata.org/entity/Q1622272" TargetMode="External"/><Relationship Id="rId228" Type="http://schemas.openxmlformats.org/officeDocument/2006/relationships/hyperlink" Target="http://www.wikidata.org/entity/Q82955" TargetMode="External"/><Relationship Id="rId227" Type="http://schemas.openxmlformats.org/officeDocument/2006/relationships/hyperlink" Target="http://www.wikidata.org/entity/Q3538623" TargetMode="External"/><Relationship Id="rId226" Type="http://schemas.openxmlformats.org/officeDocument/2006/relationships/hyperlink" Target="http://commons.wikimedia.org/wiki/Special:FilePath/Charles%20Carton.jpg" TargetMode="External"/><Relationship Id="rId225" Type="http://schemas.openxmlformats.org/officeDocument/2006/relationships/hyperlink" Target="http://www.wikidata.org/entity/Q201788" TargetMode="External"/><Relationship Id="rId2380" Type="http://schemas.openxmlformats.org/officeDocument/2006/relationships/hyperlink" Target="http://www.wikidata.org/entity/Q1286149" TargetMode="External"/><Relationship Id="rId229" Type="http://schemas.openxmlformats.org/officeDocument/2006/relationships/hyperlink" Target="http://commons.wikimedia.org/wiki/Special:FilePath/PM%20161806%20B%20Loppem%20%28Charles%20van%20Caloen%29.jpg" TargetMode="External"/><Relationship Id="rId1050" Type="http://schemas.openxmlformats.org/officeDocument/2006/relationships/hyperlink" Target="http://www.wikidata.org/entity/Q110039219" TargetMode="External"/><Relationship Id="rId2381" Type="http://schemas.openxmlformats.org/officeDocument/2006/relationships/hyperlink" Target="http://www.wikidata.org/entity/Q17166634" TargetMode="External"/><Relationship Id="rId220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051" Type="http://schemas.openxmlformats.org/officeDocument/2006/relationships/hyperlink" Target="http://www.wikidata.org/entity/Q250867" TargetMode="External"/><Relationship Id="rId2382" Type="http://schemas.openxmlformats.org/officeDocument/2006/relationships/hyperlink" Target="http://commons.wikimedia.org/wiki/Special:FilePath/Frederick%20William%20Faber.jpg" TargetMode="External"/><Relationship Id="rId1052" Type="http://schemas.openxmlformats.org/officeDocument/2006/relationships/hyperlink" Target="http://www.wikidata.org/entity/Q110039178" TargetMode="External"/><Relationship Id="rId2383" Type="http://schemas.openxmlformats.org/officeDocument/2006/relationships/hyperlink" Target="http://www.wikidata.org/entity/Q784390" TargetMode="External"/><Relationship Id="rId1053" Type="http://schemas.openxmlformats.org/officeDocument/2006/relationships/hyperlink" Target="http://www.wikidata.org/entity/Q1056391" TargetMode="External"/><Relationship Id="rId2384" Type="http://schemas.openxmlformats.org/officeDocument/2006/relationships/hyperlink" Target="http://www.wikidata.org/entity/Q201788" TargetMode="External"/><Relationship Id="rId1054" Type="http://schemas.openxmlformats.org/officeDocument/2006/relationships/hyperlink" Target="http://www.wikidata.org/entity/Q110039178" TargetMode="External"/><Relationship Id="rId2385" Type="http://schemas.openxmlformats.org/officeDocument/2006/relationships/hyperlink" Target="http://commons.wikimedia.org/wiki/Special:FilePath/Portret%20van%20Paul%20Alberdingk%20Thijm.jpg" TargetMode="External"/><Relationship Id="rId224" Type="http://schemas.openxmlformats.org/officeDocument/2006/relationships/hyperlink" Target="http://www.wikidata.org/entity/Q1877721" TargetMode="External"/><Relationship Id="rId1055" Type="http://schemas.openxmlformats.org/officeDocument/2006/relationships/hyperlink" Target="http://www.wikidata.org/entity/Q250867" TargetMode="External"/><Relationship Id="rId2386" Type="http://schemas.openxmlformats.org/officeDocument/2006/relationships/hyperlink" Target="http://www.wikidata.org/entity/Q1950196" TargetMode="External"/><Relationship Id="rId223" Type="http://schemas.openxmlformats.org/officeDocument/2006/relationships/hyperlink" Target="http://commons.wikimedia.org/wiki/Special:FilePath/Charles%20Carton.jpg" TargetMode="External"/><Relationship Id="rId1056" Type="http://schemas.openxmlformats.org/officeDocument/2006/relationships/hyperlink" Target="http://www.wikidata.org/entity/Q110039260" TargetMode="External"/><Relationship Id="rId2387" Type="http://schemas.openxmlformats.org/officeDocument/2006/relationships/hyperlink" Target="http://www.wikidata.org/entity/Q955464" TargetMode="External"/><Relationship Id="rId222" Type="http://schemas.openxmlformats.org/officeDocument/2006/relationships/hyperlink" Target="http://www.wikidata.org/entity/Q1162163" TargetMode="External"/><Relationship Id="rId1057" Type="http://schemas.openxmlformats.org/officeDocument/2006/relationships/hyperlink" Target="http://www.wikidata.org/entity/Q250867" TargetMode="External"/><Relationship Id="rId2388" Type="http://schemas.openxmlformats.org/officeDocument/2006/relationships/hyperlink" Target="http://www.wikidata.org/entity/Q1950196" TargetMode="External"/><Relationship Id="rId221" Type="http://schemas.openxmlformats.org/officeDocument/2006/relationships/hyperlink" Target="http://www.wikidata.org/entity/Q1877721" TargetMode="External"/><Relationship Id="rId1058" Type="http://schemas.openxmlformats.org/officeDocument/2006/relationships/hyperlink" Target="http://www.wikidata.org/entity/Q110039178" TargetMode="External"/><Relationship Id="rId2389" Type="http://schemas.openxmlformats.org/officeDocument/2006/relationships/hyperlink" Target="http://www.wikidata.org/entity/Q250867" TargetMode="External"/><Relationship Id="rId1048" Type="http://schemas.openxmlformats.org/officeDocument/2006/relationships/hyperlink" Target="http://www.wikidata.org/entity/Q115818009" TargetMode="External"/><Relationship Id="rId2379" Type="http://schemas.openxmlformats.org/officeDocument/2006/relationships/hyperlink" Target="http://www.wikidata.org/entity/Q36180" TargetMode="External"/><Relationship Id="rId1049" Type="http://schemas.openxmlformats.org/officeDocument/2006/relationships/hyperlink" Target="http://www.wikidata.org/entity/Q2251335" TargetMode="External"/><Relationship Id="rId217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216" Type="http://schemas.openxmlformats.org/officeDocument/2006/relationships/hyperlink" Target="http://www.wikidata.org/entity/Q1930187" TargetMode="External"/><Relationship Id="rId215" Type="http://schemas.openxmlformats.org/officeDocument/2006/relationships/hyperlink" Target="http://www.wikidata.org/entity/Q2457997" TargetMode="External"/><Relationship Id="rId214" Type="http://schemas.openxmlformats.org/officeDocument/2006/relationships/hyperlink" Target="http://commons.wikimedia.org/wiki/Special:FilePath/Portret%20van%20Albert%20Verwey%20Rijksmuseum%20SK-C-1680.jpeg" TargetMode="External"/><Relationship Id="rId219" Type="http://schemas.openxmlformats.org/officeDocument/2006/relationships/hyperlink" Target="http://www.wikidata.org/entity/Q1044528" TargetMode="External"/><Relationship Id="rId218" Type="http://schemas.openxmlformats.org/officeDocument/2006/relationships/hyperlink" Target="http://www.wikidata.org/entity/Q2191260" TargetMode="External"/><Relationship Id="rId2370" Type="http://schemas.openxmlformats.org/officeDocument/2006/relationships/hyperlink" Target="http://commons.wikimedia.org/wiki/Special:FilePath/Joseph%20Ryelandt.jpg" TargetMode="External"/><Relationship Id="rId1040" Type="http://schemas.openxmlformats.org/officeDocument/2006/relationships/hyperlink" Target="http://www.wikidata.org/entity/Q110039180" TargetMode="External"/><Relationship Id="rId2371" Type="http://schemas.openxmlformats.org/officeDocument/2006/relationships/hyperlink" Target="http://www.wikidata.org/entity/Q2675588" TargetMode="External"/><Relationship Id="rId1041" Type="http://schemas.openxmlformats.org/officeDocument/2006/relationships/hyperlink" Target="http://www.wikidata.org/entity/Q1072363" TargetMode="External"/><Relationship Id="rId2372" Type="http://schemas.openxmlformats.org/officeDocument/2006/relationships/hyperlink" Target="http://www.wikidata.org/entity/Q2251335" TargetMode="External"/><Relationship Id="rId1042" Type="http://schemas.openxmlformats.org/officeDocument/2006/relationships/hyperlink" Target="http://www.wikidata.org/entity/Q110039178" TargetMode="External"/><Relationship Id="rId2373" Type="http://schemas.openxmlformats.org/officeDocument/2006/relationships/hyperlink" Target="http://www.wikidata.org/entity/Q1707941" TargetMode="External"/><Relationship Id="rId1043" Type="http://schemas.openxmlformats.org/officeDocument/2006/relationships/hyperlink" Target="http://www.wikidata.org/entity/Q1162163" TargetMode="External"/><Relationship Id="rId2374" Type="http://schemas.openxmlformats.org/officeDocument/2006/relationships/hyperlink" Target="http://www.wikidata.org/entity/Q16145150" TargetMode="External"/><Relationship Id="rId213" Type="http://schemas.openxmlformats.org/officeDocument/2006/relationships/hyperlink" Target="http://www.wikidata.org/entity/Q1622272" TargetMode="External"/><Relationship Id="rId1044" Type="http://schemas.openxmlformats.org/officeDocument/2006/relationships/hyperlink" Target="http://www.wikidata.org/entity/Q110039180" TargetMode="External"/><Relationship Id="rId2375" Type="http://schemas.openxmlformats.org/officeDocument/2006/relationships/hyperlink" Target="http://commons.wikimedia.org/wiki/Special:FilePath/Joseph%20Ryelandt.jpg" TargetMode="External"/><Relationship Id="rId212" Type="http://schemas.openxmlformats.org/officeDocument/2006/relationships/hyperlink" Target="http://www.wikidata.org/entity/Q586323" TargetMode="External"/><Relationship Id="rId1045" Type="http://schemas.openxmlformats.org/officeDocument/2006/relationships/hyperlink" Target="http://www.wikidata.org/entity/Q333634" TargetMode="External"/><Relationship Id="rId2376" Type="http://schemas.openxmlformats.org/officeDocument/2006/relationships/hyperlink" Target="http://www.wikidata.org/entity/Q55770641" TargetMode="External"/><Relationship Id="rId211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046" Type="http://schemas.openxmlformats.org/officeDocument/2006/relationships/hyperlink" Target="http://www.wikidata.org/entity/Q42196616" TargetMode="External"/><Relationship Id="rId2377" Type="http://schemas.openxmlformats.org/officeDocument/2006/relationships/hyperlink" Target="http://www.wikidata.org/entity/Q64747274" TargetMode="External"/><Relationship Id="rId210" Type="http://schemas.openxmlformats.org/officeDocument/2006/relationships/hyperlink" Target="http://www.wikidata.org/entity/Q326653" TargetMode="External"/><Relationship Id="rId1047" Type="http://schemas.openxmlformats.org/officeDocument/2006/relationships/hyperlink" Target="http://www.wikidata.org/entity/Q36180" TargetMode="External"/><Relationship Id="rId2378" Type="http://schemas.openxmlformats.org/officeDocument/2006/relationships/hyperlink" Target="http://www.wikidata.org/entity/Q15982596" TargetMode="External"/><Relationship Id="rId4107" Type="http://schemas.openxmlformats.org/officeDocument/2006/relationships/hyperlink" Target="http://www.wikidata.org/entity/Q250867" TargetMode="External"/><Relationship Id="rId4106" Type="http://schemas.openxmlformats.org/officeDocument/2006/relationships/hyperlink" Target="http://www.wikidata.org/entity/Q2496044" TargetMode="External"/><Relationship Id="rId4109" Type="http://schemas.openxmlformats.org/officeDocument/2006/relationships/hyperlink" Target="http://www.wikidata.org/entity/Q121594" TargetMode="External"/><Relationship Id="rId4108" Type="http://schemas.openxmlformats.org/officeDocument/2006/relationships/hyperlink" Target="http://www.wikidata.org/entity/Q13769746" TargetMode="External"/><Relationship Id="rId249" Type="http://schemas.openxmlformats.org/officeDocument/2006/relationships/hyperlink" Target="http://www.wikidata.org/entity/Q998550" TargetMode="External"/><Relationship Id="rId248" Type="http://schemas.openxmlformats.org/officeDocument/2006/relationships/hyperlink" Target="http://www.wikidata.org/entity/Q2087117" TargetMode="External"/><Relationship Id="rId247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070" Type="http://schemas.openxmlformats.org/officeDocument/2006/relationships/hyperlink" Target="http://www.wikidata.org/entity/Q110039178" TargetMode="External"/><Relationship Id="rId1071" Type="http://schemas.openxmlformats.org/officeDocument/2006/relationships/hyperlink" Target="http://www.wikidata.org/entity/Q2251335" TargetMode="External"/><Relationship Id="rId1072" Type="http://schemas.openxmlformats.org/officeDocument/2006/relationships/hyperlink" Target="http://www.wikidata.org/entity/Q76019711" TargetMode="External"/><Relationship Id="rId242" Type="http://schemas.openxmlformats.org/officeDocument/2006/relationships/hyperlink" Target="http://www.wikidata.org/entity/Q1334711" TargetMode="External"/><Relationship Id="rId1073" Type="http://schemas.openxmlformats.org/officeDocument/2006/relationships/hyperlink" Target="http://www.wikidata.org/entity/Q7313543" TargetMode="External"/><Relationship Id="rId241" Type="http://schemas.openxmlformats.org/officeDocument/2006/relationships/hyperlink" Target="http://www.wikidata.org/entity/Q2516866" TargetMode="External"/><Relationship Id="rId1074" Type="http://schemas.openxmlformats.org/officeDocument/2006/relationships/hyperlink" Target="http://www.wikidata.org/entity/Q115809938" TargetMode="External"/><Relationship Id="rId240" Type="http://schemas.openxmlformats.org/officeDocument/2006/relationships/hyperlink" Target="http://www.wikidata.org/entity/Q2087117" TargetMode="External"/><Relationship Id="rId1075" Type="http://schemas.openxmlformats.org/officeDocument/2006/relationships/hyperlink" Target="http://www.wikidata.org/entity/Q1993192" TargetMode="External"/><Relationship Id="rId4101" Type="http://schemas.openxmlformats.org/officeDocument/2006/relationships/hyperlink" Target="http://www.wikidata.org/entity/Q2251335" TargetMode="External"/><Relationship Id="rId1076" Type="http://schemas.openxmlformats.org/officeDocument/2006/relationships/hyperlink" Target="http://www.wikidata.org/entity/Q115814591" TargetMode="External"/><Relationship Id="rId4100" Type="http://schemas.openxmlformats.org/officeDocument/2006/relationships/hyperlink" Target="http://www.wikidata.org/entity/Q136703696" TargetMode="External"/><Relationship Id="rId246" Type="http://schemas.openxmlformats.org/officeDocument/2006/relationships/hyperlink" Target="http://www.wikidata.org/entity/Q36180" TargetMode="External"/><Relationship Id="rId1077" Type="http://schemas.openxmlformats.org/officeDocument/2006/relationships/hyperlink" Target="http://www.wikidata.org/entity/Q1231906" TargetMode="External"/><Relationship Id="rId4103" Type="http://schemas.openxmlformats.org/officeDocument/2006/relationships/hyperlink" Target="http://www.wikidata.org/entity/Q214917" TargetMode="External"/><Relationship Id="rId245" Type="http://schemas.openxmlformats.org/officeDocument/2006/relationships/hyperlink" Target="http://www.wikidata.org/entity/Q2457997" TargetMode="External"/><Relationship Id="rId1078" Type="http://schemas.openxmlformats.org/officeDocument/2006/relationships/hyperlink" Target="http://www.wikidata.org/entity/Q110039180" TargetMode="External"/><Relationship Id="rId4102" Type="http://schemas.openxmlformats.org/officeDocument/2006/relationships/hyperlink" Target="http://www.wikidata.org/entity/Q2496044" TargetMode="External"/><Relationship Id="rId244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079" Type="http://schemas.openxmlformats.org/officeDocument/2006/relationships/hyperlink" Target="http://www.wikidata.org/entity/Q1553123" TargetMode="External"/><Relationship Id="rId4105" Type="http://schemas.openxmlformats.org/officeDocument/2006/relationships/hyperlink" Target="http://www.wikidata.org/entity/Q36834" TargetMode="External"/><Relationship Id="rId243" Type="http://schemas.openxmlformats.org/officeDocument/2006/relationships/hyperlink" Target="http://www.wikidata.org/entity/Q82955" TargetMode="External"/><Relationship Id="rId4104" Type="http://schemas.openxmlformats.org/officeDocument/2006/relationships/hyperlink" Target="http://www.wikidata.org/entity/Q125516501" TargetMode="External"/><Relationship Id="rId239" Type="http://schemas.openxmlformats.org/officeDocument/2006/relationships/hyperlink" Target="http://commons.wikimedia.org/wiki/Special:FilePath/Brugge%20-%20Bisschop%20Faict%20%281864-1894%29%20-%20Brugge%20-%20Belgi%C3%AB.jpg" TargetMode="External"/><Relationship Id="rId238" Type="http://schemas.openxmlformats.org/officeDocument/2006/relationships/hyperlink" Target="http://www.wikidata.org/entity/Q250867" TargetMode="External"/><Relationship Id="rId237" Type="http://schemas.openxmlformats.org/officeDocument/2006/relationships/hyperlink" Target="http://www.wikidata.org/entity/Q3166510" TargetMode="External"/><Relationship Id="rId236" Type="http://schemas.openxmlformats.org/officeDocument/2006/relationships/hyperlink" Target="http://www.wikidata.org/entity/Q685433" TargetMode="External"/><Relationship Id="rId2390" Type="http://schemas.openxmlformats.org/officeDocument/2006/relationships/hyperlink" Target="http://www.wikidata.org/entity/Q784390" TargetMode="External"/><Relationship Id="rId1060" Type="http://schemas.openxmlformats.org/officeDocument/2006/relationships/hyperlink" Target="http://www.wikidata.org/entity/Q76019711" TargetMode="External"/><Relationship Id="rId2391" Type="http://schemas.openxmlformats.org/officeDocument/2006/relationships/hyperlink" Target="http://www.wikidata.org/entity/Q2251335" TargetMode="External"/><Relationship Id="rId1061" Type="http://schemas.openxmlformats.org/officeDocument/2006/relationships/hyperlink" Target="http://www.wikidata.org/entity/Q3409375" TargetMode="External"/><Relationship Id="rId2392" Type="http://schemas.openxmlformats.org/officeDocument/2006/relationships/hyperlink" Target="http://commons.wikimedia.org/wiki/Special:FilePath/Portret%20van%20Paul%20Alberdingk%20Thijm.jpg" TargetMode="External"/><Relationship Id="rId231" Type="http://schemas.openxmlformats.org/officeDocument/2006/relationships/hyperlink" Target="http://www.wikidata.org/entity/Q1056391" TargetMode="External"/><Relationship Id="rId1062" Type="http://schemas.openxmlformats.org/officeDocument/2006/relationships/hyperlink" Target="http://www.wikidata.org/entity/Q111744944" TargetMode="External"/><Relationship Id="rId2393" Type="http://schemas.openxmlformats.org/officeDocument/2006/relationships/hyperlink" Target="http://www.wikidata.org/entity/Q1950196" TargetMode="External"/><Relationship Id="rId230" Type="http://schemas.openxmlformats.org/officeDocument/2006/relationships/hyperlink" Target="http://www.wikidata.org/entity/Q3166510" TargetMode="External"/><Relationship Id="rId1063" Type="http://schemas.openxmlformats.org/officeDocument/2006/relationships/hyperlink" Target="http://www.wikidata.org/entity/Q40881196" TargetMode="External"/><Relationship Id="rId2394" Type="http://schemas.openxmlformats.org/officeDocument/2006/relationships/hyperlink" Target="http://www.wikidata.org/entity/Q2251335" TargetMode="External"/><Relationship Id="rId1064" Type="http://schemas.openxmlformats.org/officeDocument/2006/relationships/hyperlink" Target="http://www.wikidata.org/entity/Q115820195" TargetMode="External"/><Relationship Id="rId2395" Type="http://schemas.openxmlformats.org/officeDocument/2006/relationships/hyperlink" Target="http://www.wikidata.org/entity/Q7790140" TargetMode="External"/><Relationship Id="rId1065" Type="http://schemas.openxmlformats.org/officeDocument/2006/relationships/hyperlink" Target="http://www.wikidata.org/entity/Q2251335" TargetMode="External"/><Relationship Id="rId2396" Type="http://schemas.openxmlformats.org/officeDocument/2006/relationships/hyperlink" Target="http://www.wikidata.org/entity/Q25393460" TargetMode="External"/><Relationship Id="rId235" Type="http://schemas.openxmlformats.org/officeDocument/2006/relationships/hyperlink" Target="http://www.wikidata.org/entity/Q2087117" TargetMode="External"/><Relationship Id="rId1066" Type="http://schemas.openxmlformats.org/officeDocument/2006/relationships/hyperlink" Target="http://www.wikidata.org/entity/Q113627806" TargetMode="External"/><Relationship Id="rId2397" Type="http://schemas.openxmlformats.org/officeDocument/2006/relationships/hyperlink" Target="http://www.wikidata.org/entity/Q2491266" TargetMode="External"/><Relationship Id="rId234" Type="http://schemas.openxmlformats.org/officeDocument/2006/relationships/hyperlink" Target="http://www.wikidata.org/entity/Q214917" TargetMode="External"/><Relationship Id="rId1067" Type="http://schemas.openxmlformats.org/officeDocument/2006/relationships/hyperlink" Target="http://www.wikidata.org/entity/Q1753370" TargetMode="External"/><Relationship Id="rId2398" Type="http://schemas.openxmlformats.org/officeDocument/2006/relationships/hyperlink" Target="http://www.wikidata.org/entity/Q1930187" TargetMode="External"/><Relationship Id="rId233" Type="http://schemas.openxmlformats.org/officeDocument/2006/relationships/hyperlink" Target="http://www.wikidata.org/entity/Q2087117" TargetMode="External"/><Relationship Id="rId1068" Type="http://schemas.openxmlformats.org/officeDocument/2006/relationships/hyperlink" Target="http://www.wikidata.org/entity/Q115833316" TargetMode="External"/><Relationship Id="rId2399" Type="http://schemas.openxmlformats.org/officeDocument/2006/relationships/hyperlink" Target="http://commons.wikimedia.org/wiki/Special:FilePath/Johan%20Winkler.jpg" TargetMode="External"/><Relationship Id="rId232" Type="http://schemas.openxmlformats.org/officeDocument/2006/relationships/hyperlink" Target="http://commons.wikimedia.org/wiki/Special:FilePath/Brugge%20-%20Bisschop%20Faict%20%281864-1894%29%20-%20Brugge%20-%20Belgi%C3%AB.jpg" TargetMode="External"/><Relationship Id="rId1069" Type="http://schemas.openxmlformats.org/officeDocument/2006/relationships/hyperlink" Target="http://www.wikidata.org/entity/Q114371470" TargetMode="External"/><Relationship Id="rId1015" Type="http://schemas.openxmlformats.org/officeDocument/2006/relationships/hyperlink" Target="http://www.wikidata.org/entity/Q2251335" TargetMode="External"/><Relationship Id="rId2346" Type="http://schemas.openxmlformats.org/officeDocument/2006/relationships/hyperlink" Target="http://www.wikidata.org/entity/Q13424456" TargetMode="External"/><Relationship Id="rId3678" Type="http://schemas.openxmlformats.org/officeDocument/2006/relationships/hyperlink" Target="http://www.wikidata.org/entity/Q37226" TargetMode="External"/><Relationship Id="rId1016" Type="http://schemas.openxmlformats.org/officeDocument/2006/relationships/hyperlink" Target="http://www.wikidata.org/entity/Q110039260" TargetMode="External"/><Relationship Id="rId2347" Type="http://schemas.openxmlformats.org/officeDocument/2006/relationships/hyperlink" Target="http://commons.wikimedia.org/wiki/Special:FilePath/Frederick%20William%20Faber.jpg" TargetMode="External"/><Relationship Id="rId3677" Type="http://schemas.openxmlformats.org/officeDocument/2006/relationships/hyperlink" Target="http://www.wikidata.org/entity/Q20902162" TargetMode="External"/><Relationship Id="rId1017" Type="http://schemas.openxmlformats.org/officeDocument/2006/relationships/hyperlink" Target="http://www.wikidata.org/entity/Q115705951" TargetMode="External"/><Relationship Id="rId2348" Type="http://schemas.openxmlformats.org/officeDocument/2006/relationships/hyperlink" Target="http://www.wikidata.org/entity/Q7790140" TargetMode="External"/><Relationship Id="rId1018" Type="http://schemas.openxmlformats.org/officeDocument/2006/relationships/hyperlink" Target="http://www.wikidata.org/entity/Q115814591" TargetMode="External"/><Relationship Id="rId2349" Type="http://schemas.openxmlformats.org/officeDocument/2006/relationships/hyperlink" Target="http://www.wikidata.org/entity/Q611644" TargetMode="External"/><Relationship Id="rId3679" Type="http://schemas.openxmlformats.org/officeDocument/2006/relationships/hyperlink" Target="http://commons.wikimedia.org/wiki/Special:FilePath/Foto%20van%20Louise%20Gezelle%20en%20Stijn%20Streuvels.jpg" TargetMode="External"/><Relationship Id="rId1019" Type="http://schemas.openxmlformats.org/officeDocument/2006/relationships/hyperlink" Target="http://www.wikidata.org/entity/Q121594" TargetMode="External"/><Relationship Id="rId3670" Type="http://schemas.openxmlformats.org/officeDocument/2006/relationships/hyperlink" Target="http://www.wikidata.org/entity/Q5026719" TargetMode="External"/><Relationship Id="rId2340" Type="http://schemas.openxmlformats.org/officeDocument/2006/relationships/hyperlink" Target="http://www.wikidata.org/entity/Q1056391" TargetMode="External"/><Relationship Id="rId3672" Type="http://schemas.openxmlformats.org/officeDocument/2006/relationships/hyperlink" Target="http://commons.wikimedia.org/wiki/Special:FilePath/Bishop%20Camillus%20Paul%20Maes.jpg" TargetMode="External"/><Relationship Id="rId1010" Type="http://schemas.openxmlformats.org/officeDocument/2006/relationships/hyperlink" Target="http://www.wikidata.org/entity/Q115814591" TargetMode="External"/><Relationship Id="rId2341" Type="http://schemas.openxmlformats.org/officeDocument/2006/relationships/hyperlink" Target="http://www.wikidata.org/entity/Q15982596" TargetMode="External"/><Relationship Id="rId3671" Type="http://schemas.openxmlformats.org/officeDocument/2006/relationships/hyperlink" Target="http://www.wikidata.org/entity/Q955464" TargetMode="External"/><Relationship Id="rId1011" Type="http://schemas.openxmlformats.org/officeDocument/2006/relationships/hyperlink" Target="http://www.wikidata.org/entity/Q118732656" TargetMode="External"/><Relationship Id="rId2342" Type="http://schemas.openxmlformats.org/officeDocument/2006/relationships/hyperlink" Target="http://www.wikidata.org/entity/Q811620" TargetMode="External"/><Relationship Id="rId3674" Type="http://schemas.openxmlformats.org/officeDocument/2006/relationships/hyperlink" Target="http://www.wikidata.org/entity/Q191808" TargetMode="External"/><Relationship Id="rId1012" Type="http://schemas.openxmlformats.org/officeDocument/2006/relationships/hyperlink" Target="http://www.wikidata.org/entity/Q110039219" TargetMode="External"/><Relationship Id="rId2343" Type="http://schemas.openxmlformats.org/officeDocument/2006/relationships/hyperlink" Target="http://www.wikidata.org/entity/Q7343011" TargetMode="External"/><Relationship Id="rId3673" Type="http://schemas.openxmlformats.org/officeDocument/2006/relationships/hyperlink" Target="http://www.wikidata.org/entity/Q115835025" TargetMode="External"/><Relationship Id="rId1013" Type="http://schemas.openxmlformats.org/officeDocument/2006/relationships/hyperlink" Target="http://www.wikidata.org/entity/Q114371470" TargetMode="External"/><Relationship Id="rId2344" Type="http://schemas.openxmlformats.org/officeDocument/2006/relationships/hyperlink" Target="http://www.wikidata.org/entity/Q250867" TargetMode="External"/><Relationship Id="rId3676" Type="http://schemas.openxmlformats.org/officeDocument/2006/relationships/hyperlink" Target="http://www.wikidata.org/entity/Q175151" TargetMode="External"/><Relationship Id="rId1014" Type="http://schemas.openxmlformats.org/officeDocument/2006/relationships/hyperlink" Target="http://www.wikidata.org/entity/Q115809938" TargetMode="External"/><Relationship Id="rId2345" Type="http://schemas.openxmlformats.org/officeDocument/2006/relationships/hyperlink" Target="http://www.wikidata.org/entity/Q1286149" TargetMode="External"/><Relationship Id="rId3675" Type="http://schemas.openxmlformats.org/officeDocument/2006/relationships/hyperlink" Target="http://www.wikidata.org/entity/Q111342238" TargetMode="External"/><Relationship Id="rId1004" Type="http://schemas.openxmlformats.org/officeDocument/2006/relationships/hyperlink" Target="http://www.wikidata.org/entity/Q115809938" TargetMode="External"/><Relationship Id="rId2335" Type="http://schemas.openxmlformats.org/officeDocument/2006/relationships/hyperlink" Target="http://www.wikidata.org/entity/Q7343011" TargetMode="External"/><Relationship Id="rId3667" Type="http://schemas.openxmlformats.org/officeDocument/2006/relationships/hyperlink" Target="http://www.wikidata.org/entity/Q756215" TargetMode="External"/><Relationship Id="rId1005" Type="http://schemas.openxmlformats.org/officeDocument/2006/relationships/hyperlink" Target="http://www.wikidata.org/entity/Q1162163" TargetMode="External"/><Relationship Id="rId2336" Type="http://schemas.openxmlformats.org/officeDocument/2006/relationships/hyperlink" Target="http://www.wikidata.org/entity/Q333634" TargetMode="External"/><Relationship Id="rId3666" Type="http://schemas.openxmlformats.org/officeDocument/2006/relationships/hyperlink" Target="http://www.wikidata.org/entity/Q115827696" TargetMode="External"/><Relationship Id="rId1006" Type="http://schemas.openxmlformats.org/officeDocument/2006/relationships/hyperlink" Target="http://www.wikidata.org/entity/Q115809938" TargetMode="External"/><Relationship Id="rId2337" Type="http://schemas.openxmlformats.org/officeDocument/2006/relationships/hyperlink" Target="http://www.wikidata.org/entity/Q7343011" TargetMode="External"/><Relationship Id="rId3669" Type="http://schemas.openxmlformats.org/officeDocument/2006/relationships/hyperlink" Target="http://www.wikidata.org/entity/Q435940" TargetMode="External"/><Relationship Id="rId1007" Type="http://schemas.openxmlformats.org/officeDocument/2006/relationships/hyperlink" Target="http://www.wikidata.org/entity/Q250867" TargetMode="External"/><Relationship Id="rId2338" Type="http://schemas.openxmlformats.org/officeDocument/2006/relationships/hyperlink" Target="http://www.wikidata.org/entity/Q611644" TargetMode="External"/><Relationship Id="rId3668" Type="http://schemas.openxmlformats.org/officeDocument/2006/relationships/hyperlink" Target="http://www.wikidata.org/entity/Q115820635" TargetMode="External"/><Relationship Id="rId1008" Type="http://schemas.openxmlformats.org/officeDocument/2006/relationships/hyperlink" Target="http://www.wikidata.org/entity/Q76019711" TargetMode="External"/><Relationship Id="rId2339" Type="http://schemas.openxmlformats.org/officeDocument/2006/relationships/hyperlink" Target="http://www.wikidata.org/entity/Q7343011" TargetMode="External"/><Relationship Id="rId1009" Type="http://schemas.openxmlformats.org/officeDocument/2006/relationships/hyperlink" Target="http://www.wikidata.org/entity/Q955464" TargetMode="External"/><Relationship Id="rId3661" Type="http://schemas.openxmlformats.org/officeDocument/2006/relationships/hyperlink" Target="http://www.wikidata.org/entity/Q1753370" TargetMode="External"/><Relationship Id="rId2330" Type="http://schemas.openxmlformats.org/officeDocument/2006/relationships/hyperlink" Target="http://www.wikidata.org/entity/Q49757" TargetMode="External"/><Relationship Id="rId3660" Type="http://schemas.openxmlformats.org/officeDocument/2006/relationships/hyperlink" Target="http://www.wikidata.org/entity/Q115826830" TargetMode="External"/><Relationship Id="rId1000" Type="http://schemas.openxmlformats.org/officeDocument/2006/relationships/hyperlink" Target="http://www.wikidata.org/entity/Q115809938" TargetMode="External"/><Relationship Id="rId2331" Type="http://schemas.openxmlformats.org/officeDocument/2006/relationships/hyperlink" Target="http://commons.wikimedia.org/wiki/Special:FilePath/Alfons%20Janssens.jpg" TargetMode="External"/><Relationship Id="rId3663" Type="http://schemas.openxmlformats.org/officeDocument/2006/relationships/hyperlink" Target="http://www.wikidata.org/entity/Q1753370" TargetMode="External"/><Relationship Id="rId1001" Type="http://schemas.openxmlformats.org/officeDocument/2006/relationships/hyperlink" Target="http://www.wikidata.org/entity/Q955464" TargetMode="External"/><Relationship Id="rId2332" Type="http://schemas.openxmlformats.org/officeDocument/2006/relationships/hyperlink" Target="http://www.wikidata.org/entity/Q2638823" TargetMode="External"/><Relationship Id="rId3662" Type="http://schemas.openxmlformats.org/officeDocument/2006/relationships/hyperlink" Target="http://www.wikidata.org/entity/Q115827696" TargetMode="External"/><Relationship Id="rId1002" Type="http://schemas.openxmlformats.org/officeDocument/2006/relationships/hyperlink" Target="http://www.wikidata.org/entity/Q56036059" TargetMode="External"/><Relationship Id="rId2333" Type="http://schemas.openxmlformats.org/officeDocument/2006/relationships/hyperlink" Target="http://www.wikidata.org/entity/Q47064" TargetMode="External"/><Relationship Id="rId3665" Type="http://schemas.openxmlformats.org/officeDocument/2006/relationships/hyperlink" Target="http://www.wikidata.org/entity/Q1753370" TargetMode="External"/><Relationship Id="rId1003" Type="http://schemas.openxmlformats.org/officeDocument/2006/relationships/hyperlink" Target="http://www.wikidata.org/entity/Q1930187" TargetMode="External"/><Relationship Id="rId2334" Type="http://schemas.openxmlformats.org/officeDocument/2006/relationships/hyperlink" Target="http://commons.wikimedia.org/wiki/Special:FilePath/Alfons%20Janssens.jpg" TargetMode="External"/><Relationship Id="rId3664" Type="http://schemas.openxmlformats.org/officeDocument/2006/relationships/hyperlink" Target="http://www.wikidata.org/entity/Q115831295" TargetMode="External"/><Relationship Id="rId1037" Type="http://schemas.openxmlformats.org/officeDocument/2006/relationships/hyperlink" Target="http://www.wikidata.org/entity/Q955464" TargetMode="External"/><Relationship Id="rId2368" Type="http://schemas.openxmlformats.org/officeDocument/2006/relationships/hyperlink" Target="http://www.wikidata.org/entity/Q1707941" TargetMode="External"/><Relationship Id="rId1038" Type="http://schemas.openxmlformats.org/officeDocument/2006/relationships/hyperlink" Target="http://www.wikidata.org/entity/Q110039260" TargetMode="External"/><Relationship Id="rId2369" Type="http://schemas.openxmlformats.org/officeDocument/2006/relationships/hyperlink" Target="http://www.wikidata.org/entity/Q1056391" TargetMode="External"/><Relationship Id="rId3699" Type="http://schemas.openxmlformats.org/officeDocument/2006/relationships/hyperlink" Target="http://www.wikidata.org/entity/Q115821483" TargetMode="External"/><Relationship Id="rId1039" Type="http://schemas.openxmlformats.org/officeDocument/2006/relationships/hyperlink" Target="http://www.wikidata.org/entity/Q955464" TargetMode="External"/><Relationship Id="rId206" Type="http://schemas.openxmlformats.org/officeDocument/2006/relationships/hyperlink" Target="http://www.wikidata.org/entity/Q3166510" TargetMode="External"/><Relationship Id="rId205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204" Type="http://schemas.openxmlformats.org/officeDocument/2006/relationships/hyperlink" Target="http://www.wikidata.org/entity/Q635734" TargetMode="External"/><Relationship Id="rId203" Type="http://schemas.openxmlformats.org/officeDocument/2006/relationships/hyperlink" Target="http://www.wikidata.org/entity/Q2457997" TargetMode="External"/><Relationship Id="rId209" Type="http://schemas.openxmlformats.org/officeDocument/2006/relationships/hyperlink" Target="http://www.wikidata.org/entity/Q2457997" TargetMode="External"/><Relationship Id="rId208" Type="http://schemas.openxmlformats.org/officeDocument/2006/relationships/hyperlink" Target="http://commons.wikimedia.org/wiki/Special:FilePath/Brugge%20-%20Bisschop%20Faict%20%281864-1894%29%20-%20Brugge%20-%20Belgi%C3%AB.jpg" TargetMode="External"/><Relationship Id="rId3690" Type="http://schemas.openxmlformats.org/officeDocument/2006/relationships/hyperlink" Target="http://www.wikidata.org/entity/Q39631" TargetMode="External"/><Relationship Id="rId207" Type="http://schemas.openxmlformats.org/officeDocument/2006/relationships/hyperlink" Target="http://www.wikidata.org/entity/Q611644" TargetMode="External"/><Relationship Id="rId2360" Type="http://schemas.openxmlformats.org/officeDocument/2006/relationships/hyperlink" Target="http://www.wikidata.org/entity/Q250867" TargetMode="External"/><Relationship Id="rId3692" Type="http://schemas.openxmlformats.org/officeDocument/2006/relationships/hyperlink" Target="http://www.wikidata.org/entity/Q36180" TargetMode="External"/><Relationship Id="rId1030" Type="http://schemas.openxmlformats.org/officeDocument/2006/relationships/hyperlink" Target="http://www.wikidata.org/entity/Q37766220" TargetMode="External"/><Relationship Id="rId2361" Type="http://schemas.openxmlformats.org/officeDocument/2006/relationships/hyperlink" Target="http://commons.wikimedia.org/wiki/Special:FilePath/Joannes%20Baptista%20Malou%20-%20Bishop%20of%20Bruges.jpg" TargetMode="External"/><Relationship Id="rId3691" Type="http://schemas.openxmlformats.org/officeDocument/2006/relationships/hyperlink" Target="http://www.wikidata.org/entity/Q80079104" TargetMode="External"/><Relationship Id="rId1031" Type="http://schemas.openxmlformats.org/officeDocument/2006/relationships/hyperlink" Target="http://www.wikidata.org/entity/Q49757" TargetMode="External"/><Relationship Id="rId2362" Type="http://schemas.openxmlformats.org/officeDocument/2006/relationships/hyperlink" Target="http://www.wikidata.org/entity/Q2675588" TargetMode="External"/><Relationship Id="rId3694" Type="http://schemas.openxmlformats.org/officeDocument/2006/relationships/hyperlink" Target="http://www.wikidata.org/entity/Q42603" TargetMode="External"/><Relationship Id="rId1032" Type="http://schemas.openxmlformats.org/officeDocument/2006/relationships/hyperlink" Target="http://www.wikidata.org/entity/Q115809938" TargetMode="External"/><Relationship Id="rId2363" Type="http://schemas.openxmlformats.org/officeDocument/2006/relationships/hyperlink" Target="http://www.wikidata.org/entity/Q955464" TargetMode="External"/><Relationship Id="rId3693" Type="http://schemas.openxmlformats.org/officeDocument/2006/relationships/hyperlink" Target="http://www.wikidata.org/entity/Q115820635" TargetMode="External"/><Relationship Id="rId202" Type="http://schemas.openxmlformats.org/officeDocument/2006/relationships/hyperlink" Target="http://commons.wikimedia.org/wiki/Special:FilePath/Stijn%20Streuvels%20by%20Modest%20Huys%20%28cropped%29.jpg" TargetMode="External"/><Relationship Id="rId1033" Type="http://schemas.openxmlformats.org/officeDocument/2006/relationships/hyperlink" Target="http://www.wikidata.org/entity/Q1657500" TargetMode="External"/><Relationship Id="rId2364" Type="http://schemas.openxmlformats.org/officeDocument/2006/relationships/hyperlink" Target="http://www.wikidata.org/entity/Q2675588" TargetMode="External"/><Relationship Id="rId3696" Type="http://schemas.openxmlformats.org/officeDocument/2006/relationships/hyperlink" Target="http://www.wikidata.org/entity/Q42603" TargetMode="External"/><Relationship Id="rId201" Type="http://schemas.openxmlformats.org/officeDocument/2006/relationships/hyperlink" Target="http://www.wikidata.org/entity/Q333634" TargetMode="External"/><Relationship Id="rId1034" Type="http://schemas.openxmlformats.org/officeDocument/2006/relationships/hyperlink" Target="http://www.wikidata.org/entity/Q115820195" TargetMode="External"/><Relationship Id="rId2365" Type="http://schemas.openxmlformats.org/officeDocument/2006/relationships/hyperlink" Target="http://www.wikidata.org/entity/Q250867" TargetMode="External"/><Relationship Id="rId3695" Type="http://schemas.openxmlformats.org/officeDocument/2006/relationships/hyperlink" Target="http://www.wikidata.org/entity/Q115821483" TargetMode="External"/><Relationship Id="rId200" Type="http://schemas.openxmlformats.org/officeDocument/2006/relationships/hyperlink" Target="http://www.wikidata.org/entity/Q175669" TargetMode="External"/><Relationship Id="rId1035" Type="http://schemas.openxmlformats.org/officeDocument/2006/relationships/hyperlink" Target="http://www.wikidata.org/entity/Q250867" TargetMode="External"/><Relationship Id="rId2366" Type="http://schemas.openxmlformats.org/officeDocument/2006/relationships/hyperlink" Target="http://www.wikidata.org/entity/Q7343011" TargetMode="External"/><Relationship Id="rId3698" Type="http://schemas.openxmlformats.org/officeDocument/2006/relationships/hyperlink" Target="http://www.wikidata.org/entity/Q42603" TargetMode="External"/><Relationship Id="rId1036" Type="http://schemas.openxmlformats.org/officeDocument/2006/relationships/hyperlink" Target="http://www.wikidata.org/entity/Q110039219" TargetMode="External"/><Relationship Id="rId2367" Type="http://schemas.openxmlformats.org/officeDocument/2006/relationships/hyperlink" Target="http://www.wikidata.org/entity/Q14467526" TargetMode="External"/><Relationship Id="rId3697" Type="http://schemas.openxmlformats.org/officeDocument/2006/relationships/hyperlink" Target="http://www.wikidata.org/entity/Q115831295" TargetMode="External"/><Relationship Id="rId1026" Type="http://schemas.openxmlformats.org/officeDocument/2006/relationships/hyperlink" Target="http://www.wikidata.org/entity/Q115814591" TargetMode="External"/><Relationship Id="rId2357" Type="http://schemas.openxmlformats.org/officeDocument/2006/relationships/hyperlink" Target="http://www.wikidata.org/entity/Q201788" TargetMode="External"/><Relationship Id="rId3689" Type="http://schemas.openxmlformats.org/officeDocument/2006/relationships/hyperlink" Target="http://www.wikidata.org/entity/Q57197744" TargetMode="External"/><Relationship Id="rId1027" Type="http://schemas.openxmlformats.org/officeDocument/2006/relationships/hyperlink" Target="http://www.wikidata.org/entity/Q2251335" TargetMode="External"/><Relationship Id="rId2358" Type="http://schemas.openxmlformats.org/officeDocument/2006/relationships/hyperlink" Target="http://commons.wikimedia.org/wiki/Special:FilePath/NapoleonDePauw.jpg" TargetMode="External"/><Relationship Id="rId3688" Type="http://schemas.openxmlformats.org/officeDocument/2006/relationships/hyperlink" Target="http://commons.wikimedia.org/wiki/Special:FilePath/Bishop%20Camillus%20Paul%20Maes.jpg" TargetMode="External"/><Relationship Id="rId1028" Type="http://schemas.openxmlformats.org/officeDocument/2006/relationships/hyperlink" Target="http://www.wikidata.org/entity/Q37766220" TargetMode="External"/><Relationship Id="rId2359" Type="http://schemas.openxmlformats.org/officeDocument/2006/relationships/hyperlink" Target="http://www.wikidata.org/entity/Q3164253" TargetMode="External"/><Relationship Id="rId1029" Type="http://schemas.openxmlformats.org/officeDocument/2006/relationships/hyperlink" Target="http://www.wikidata.org/entity/Q36180" TargetMode="External"/><Relationship Id="rId3681" Type="http://schemas.openxmlformats.org/officeDocument/2006/relationships/hyperlink" Target="http://www.wikidata.org/entity/Q2516866" TargetMode="External"/><Relationship Id="rId2350" Type="http://schemas.openxmlformats.org/officeDocument/2006/relationships/hyperlink" Target="http://www.wikidata.org/entity/Q7790140" TargetMode="External"/><Relationship Id="rId3680" Type="http://schemas.openxmlformats.org/officeDocument/2006/relationships/hyperlink" Target="http://www.wikidata.org/entity/Q111342238" TargetMode="External"/><Relationship Id="rId1020" Type="http://schemas.openxmlformats.org/officeDocument/2006/relationships/hyperlink" Target="http://www.wikidata.org/entity/Q115814591" TargetMode="External"/><Relationship Id="rId2351" Type="http://schemas.openxmlformats.org/officeDocument/2006/relationships/hyperlink" Target="http://www.wikidata.org/entity/Q1056391" TargetMode="External"/><Relationship Id="rId3683" Type="http://schemas.openxmlformats.org/officeDocument/2006/relationships/hyperlink" Target="http://www.wikidata.org/entity/Q3391743" TargetMode="External"/><Relationship Id="rId1021" Type="http://schemas.openxmlformats.org/officeDocument/2006/relationships/hyperlink" Target="http://www.wikidata.org/entity/Q219477" TargetMode="External"/><Relationship Id="rId2352" Type="http://schemas.openxmlformats.org/officeDocument/2006/relationships/hyperlink" Target="http://www.wikidata.org/entity/Q7790140" TargetMode="External"/><Relationship Id="rId3682" Type="http://schemas.openxmlformats.org/officeDocument/2006/relationships/hyperlink" Target="http://www.wikidata.org/entity/Q111342238" TargetMode="External"/><Relationship Id="rId1022" Type="http://schemas.openxmlformats.org/officeDocument/2006/relationships/hyperlink" Target="http://www.wikidata.org/entity/Q115818009" TargetMode="External"/><Relationship Id="rId2353" Type="http://schemas.openxmlformats.org/officeDocument/2006/relationships/hyperlink" Target="http://www.wikidata.org/entity/Q250867" TargetMode="External"/><Relationship Id="rId3685" Type="http://schemas.openxmlformats.org/officeDocument/2006/relationships/hyperlink" Target="http://www.wikidata.org/entity/Q998550" TargetMode="External"/><Relationship Id="rId1023" Type="http://schemas.openxmlformats.org/officeDocument/2006/relationships/hyperlink" Target="http://www.wikidata.org/entity/Q639669" TargetMode="External"/><Relationship Id="rId2354" Type="http://schemas.openxmlformats.org/officeDocument/2006/relationships/hyperlink" Target="http://www.wikidata.org/entity/Q7790140" TargetMode="External"/><Relationship Id="rId3684" Type="http://schemas.openxmlformats.org/officeDocument/2006/relationships/hyperlink" Target="http://www.wikidata.org/entity/Q111342238" TargetMode="External"/><Relationship Id="rId1024" Type="http://schemas.openxmlformats.org/officeDocument/2006/relationships/hyperlink" Target="http://www.wikidata.org/entity/Q115818009" TargetMode="External"/><Relationship Id="rId2355" Type="http://schemas.openxmlformats.org/officeDocument/2006/relationships/hyperlink" Target="http://www.wikidata.org/entity/Q80687" TargetMode="External"/><Relationship Id="rId3687" Type="http://schemas.openxmlformats.org/officeDocument/2006/relationships/hyperlink" Target="http://www.wikidata.org/entity/Q611644" TargetMode="External"/><Relationship Id="rId1025" Type="http://schemas.openxmlformats.org/officeDocument/2006/relationships/hyperlink" Target="http://www.wikidata.org/entity/Q250867" TargetMode="External"/><Relationship Id="rId2356" Type="http://schemas.openxmlformats.org/officeDocument/2006/relationships/hyperlink" Target="http://www.wikidata.org/entity/Q18655152" TargetMode="External"/><Relationship Id="rId3686" Type="http://schemas.openxmlformats.org/officeDocument/2006/relationships/hyperlink" Target="http://www.wikidata.org/entity/Q5026719" TargetMode="External"/><Relationship Id="rId4161" Type="http://schemas.openxmlformats.org/officeDocument/2006/relationships/hyperlink" Target="http://www.wikidata.org/entity/Q37226" TargetMode="External"/><Relationship Id="rId4160" Type="http://schemas.openxmlformats.org/officeDocument/2006/relationships/hyperlink" Target="http://www.wikidata.org/entity/Q131957313" TargetMode="External"/><Relationship Id="rId4163" Type="http://schemas.openxmlformats.org/officeDocument/2006/relationships/hyperlink" Target="http://www.wikidata.org/entity/Q191808" TargetMode="External"/><Relationship Id="rId4162" Type="http://schemas.openxmlformats.org/officeDocument/2006/relationships/hyperlink" Target="http://www.wikidata.org/entity/Q125360612" TargetMode="External"/><Relationship Id="rId4165" Type="http://schemas.openxmlformats.org/officeDocument/2006/relationships/hyperlink" Target="http://www.wikidata.org/entity/Q49757" TargetMode="External"/><Relationship Id="rId4164" Type="http://schemas.openxmlformats.org/officeDocument/2006/relationships/hyperlink" Target="http://www.wikidata.org/entity/Q125538145" TargetMode="External"/><Relationship Id="rId4167" Type="http://schemas.openxmlformats.org/officeDocument/2006/relationships/hyperlink" Target="http://www.wikidata.org/entity/Q82955" TargetMode="External"/><Relationship Id="rId4166" Type="http://schemas.openxmlformats.org/officeDocument/2006/relationships/hyperlink" Target="http://www.wikidata.org/entity/Q13769746" TargetMode="External"/><Relationship Id="rId4169" Type="http://schemas.openxmlformats.org/officeDocument/2006/relationships/hyperlink" Target="http://www.wikidata.org/entity/Q128034737" TargetMode="External"/><Relationship Id="rId4168" Type="http://schemas.openxmlformats.org/officeDocument/2006/relationships/hyperlink" Target="http://commons.wikimedia.org/wiki/Special:FilePath/GlasraamLodewijkScharpe.jpg" TargetMode="External"/><Relationship Id="rId4150" Type="http://schemas.openxmlformats.org/officeDocument/2006/relationships/hyperlink" Target="http://www.wikidata.org/entity/Q82955" TargetMode="External"/><Relationship Id="rId4152" Type="http://schemas.openxmlformats.org/officeDocument/2006/relationships/hyperlink" Target="http://www.wikidata.org/entity/Q1622272" TargetMode="External"/><Relationship Id="rId4151" Type="http://schemas.openxmlformats.org/officeDocument/2006/relationships/hyperlink" Target="http://www.wikidata.org/entity/Q961180" TargetMode="External"/><Relationship Id="rId4154" Type="http://schemas.openxmlformats.org/officeDocument/2006/relationships/hyperlink" Target="http://www.wikidata.org/entity/Q2496044" TargetMode="External"/><Relationship Id="rId4153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4156" Type="http://schemas.openxmlformats.org/officeDocument/2006/relationships/hyperlink" Target="http://www.wikidata.org/entity/Q122963909" TargetMode="External"/><Relationship Id="rId4155" Type="http://schemas.openxmlformats.org/officeDocument/2006/relationships/hyperlink" Target="http://www.wikidata.org/entity/Q1753370" TargetMode="External"/><Relationship Id="rId4158" Type="http://schemas.openxmlformats.org/officeDocument/2006/relationships/hyperlink" Target="http://www.wikidata.org/entity/Q121078001" TargetMode="External"/><Relationship Id="rId4157" Type="http://schemas.openxmlformats.org/officeDocument/2006/relationships/hyperlink" Target="http://www.wikidata.org/entity/Q20814940" TargetMode="External"/><Relationship Id="rId4159" Type="http://schemas.openxmlformats.org/officeDocument/2006/relationships/hyperlink" Target="http://www.wikidata.org/entity/Q219477" TargetMode="External"/><Relationship Id="rId1910" Type="http://schemas.openxmlformats.org/officeDocument/2006/relationships/hyperlink" Target="http://www.wikidata.org/entity/Q39631" TargetMode="External"/><Relationship Id="rId1911" Type="http://schemas.openxmlformats.org/officeDocument/2006/relationships/hyperlink" Target="http://www.wikidata.org/entity/Q122775600" TargetMode="External"/><Relationship Id="rId1912" Type="http://schemas.openxmlformats.org/officeDocument/2006/relationships/hyperlink" Target="http://www.wikidata.org/entity/Q486748" TargetMode="External"/><Relationship Id="rId1913" Type="http://schemas.openxmlformats.org/officeDocument/2006/relationships/hyperlink" Target="http://www.wikidata.org/entity/Q122884053" TargetMode="External"/><Relationship Id="rId1914" Type="http://schemas.openxmlformats.org/officeDocument/2006/relationships/hyperlink" Target="http://www.wikidata.org/entity/Q1021658" TargetMode="External"/><Relationship Id="rId1915" Type="http://schemas.openxmlformats.org/officeDocument/2006/relationships/hyperlink" Target="http://www.wikidata.org/entity/Q119699762" TargetMode="External"/><Relationship Id="rId1916" Type="http://schemas.openxmlformats.org/officeDocument/2006/relationships/hyperlink" Target="http://www.wikidata.org/entity/Q39631" TargetMode="External"/><Relationship Id="rId1917" Type="http://schemas.openxmlformats.org/officeDocument/2006/relationships/hyperlink" Target="http://www.wikidata.org/entity/Q119013626" TargetMode="External"/><Relationship Id="rId1918" Type="http://schemas.openxmlformats.org/officeDocument/2006/relationships/hyperlink" Target="http://www.wikidata.org/entity/Q212238" TargetMode="External"/><Relationship Id="rId1919" Type="http://schemas.openxmlformats.org/officeDocument/2006/relationships/hyperlink" Target="http://www.wikidata.org/entity/Q120900509" TargetMode="External"/><Relationship Id="rId4181" Type="http://schemas.openxmlformats.org/officeDocument/2006/relationships/hyperlink" Target="http://www.wikidata.org/entity/Q123742237" TargetMode="External"/><Relationship Id="rId4180" Type="http://schemas.openxmlformats.org/officeDocument/2006/relationships/hyperlink" Target="http://www.wikidata.org/entity/Q1776501" TargetMode="External"/><Relationship Id="rId4183" Type="http://schemas.openxmlformats.org/officeDocument/2006/relationships/hyperlink" Target="http://www.wikidata.org/entity/Q125274323" TargetMode="External"/><Relationship Id="rId4182" Type="http://schemas.openxmlformats.org/officeDocument/2006/relationships/hyperlink" Target="http://www.wikidata.org/entity/Q39631" TargetMode="External"/><Relationship Id="rId4185" Type="http://schemas.openxmlformats.org/officeDocument/2006/relationships/hyperlink" Target="http://www.wikidata.org/entity/Q120729903" TargetMode="External"/><Relationship Id="rId4184" Type="http://schemas.openxmlformats.org/officeDocument/2006/relationships/hyperlink" Target="http://www.wikidata.org/entity/Q105186" TargetMode="External"/><Relationship Id="rId4187" Type="http://schemas.openxmlformats.org/officeDocument/2006/relationships/hyperlink" Target="http://www.wikidata.org/entity/Q136735429" TargetMode="External"/><Relationship Id="rId4186" Type="http://schemas.openxmlformats.org/officeDocument/2006/relationships/hyperlink" Target="http://www.wikidata.org/entity/Q1056391" TargetMode="External"/><Relationship Id="rId4189" Type="http://schemas.openxmlformats.org/officeDocument/2006/relationships/hyperlink" Target="http://www.wikidata.org/entity/Q121078208" TargetMode="External"/><Relationship Id="rId4188" Type="http://schemas.openxmlformats.org/officeDocument/2006/relationships/hyperlink" Target="http://www.wikidata.org/entity/Q109925431" TargetMode="External"/><Relationship Id="rId1900" Type="http://schemas.openxmlformats.org/officeDocument/2006/relationships/hyperlink" Target="http://www.wikidata.org/entity/Q2903406" TargetMode="External"/><Relationship Id="rId1901" Type="http://schemas.openxmlformats.org/officeDocument/2006/relationships/hyperlink" Target="http://www.wikidata.org/entity/Q115844668" TargetMode="External"/><Relationship Id="rId1902" Type="http://schemas.openxmlformats.org/officeDocument/2006/relationships/hyperlink" Target="http://www.wikidata.org/entity/Q2251335" TargetMode="External"/><Relationship Id="rId1903" Type="http://schemas.openxmlformats.org/officeDocument/2006/relationships/hyperlink" Target="http://www.wikidata.org/entity/Q115840173" TargetMode="External"/><Relationship Id="rId1904" Type="http://schemas.openxmlformats.org/officeDocument/2006/relationships/hyperlink" Target="http://www.wikidata.org/entity/Q1657500" TargetMode="External"/><Relationship Id="rId1905" Type="http://schemas.openxmlformats.org/officeDocument/2006/relationships/hyperlink" Target="http://www.wikidata.org/entity/Q119011751" TargetMode="External"/><Relationship Id="rId1906" Type="http://schemas.openxmlformats.org/officeDocument/2006/relationships/hyperlink" Target="http://www.wikidata.org/entity/Q336221" TargetMode="External"/><Relationship Id="rId1907" Type="http://schemas.openxmlformats.org/officeDocument/2006/relationships/hyperlink" Target="http://www.wikidata.org/entity/Q125359350" TargetMode="External"/><Relationship Id="rId1908" Type="http://schemas.openxmlformats.org/officeDocument/2006/relationships/hyperlink" Target="http://www.wikidata.org/entity/Q191808" TargetMode="External"/><Relationship Id="rId1909" Type="http://schemas.openxmlformats.org/officeDocument/2006/relationships/hyperlink" Target="http://www.wikidata.org/entity/Q119797432" TargetMode="External"/><Relationship Id="rId4170" Type="http://schemas.openxmlformats.org/officeDocument/2006/relationships/hyperlink" Target="http://www.wikidata.org/entity/Q191808" TargetMode="External"/><Relationship Id="rId4172" Type="http://schemas.openxmlformats.org/officeDocument/2006/relationships/hyperlink" Target="http://www.wikidata.org/entity/Q635734" TargetMode="External"/><Relationship Id="rId4171" Type="http://schemas.openxmlformats.org/officeDocument/2006/relationships/hyperlink" Target="http://www.wikidata.org/entity/Q13575404" TargetMode="External"/><Relationship Id="rId4174" Type="http://schemas.openxmlformats.org/officeDocument/2006/relationships/hyperlink" Target="http://www.wikidata.org/entity/Q125360612" TargetMode="External"/><Relationship Id="rId4173" Type="http://schemas.openxmlformats.org/officeDocument/2006/relationships/hyperlink" Target="http://commons.wikimedia.org/wiki/Special:FilePath/EdwardVanEven.jpg" TargetMode="External"/><Relationship Id="rId4176" Type="http://schemas.openxmlformats.org/officeDocument/2006/relationships/hyperlink" Target="http://www.wikidata.org/entity/Q123399726" TargetMode="External"/><Relationship Id="rId4175" Type="http://schemas.openxmlformats.org/officeDocument/2006/relationships/hyperlink" Target="http://www.wikidata.org/entity/Q1776501" TargetMode="External"/><Relationship Id="rId4178" Type="http://schemas.openxmlformats.org/officeDocument/2006/relationships/hyperlink" Target="http://commons.wikimedia.org/wiki/Special:FilePath/Foto%20Marie%20Sophie%20Bruneel-Delva.jpg" TargetMode="External"/><Relationship Id="rId4177" Type="http://schemas.openxmlformats.org/officeDocument/2006/relationships/hyperlink" Target="http://www.wikidata.org/entity/Q618532" TargetMode="External"/><Relationship Id="rId4179" Type="http://schemas.openxmlformats.org/officeDocument/2006/relationships/hyperlink" Target="http://www.wikidata.org/entity/Q128034737" TargetMode="External"/><Relationship Id="rId4129" Type="http://schemas.openxmlformats.org/officeDocument/2006/relationships/hyperlink" Target="http://www.wikidata.org/entity/Q122971209" TargetMode="External"/><Relationship Id="rId4128" Type="http://schemas.openxmlformats.org/officeDocument/2006/relationships/hyperlink" Target="http://www.wikidata.org/entity/Q638172" TargetMode="External"/><Relationship Id="rId1090" Type="http://schemas.openxmlformats.org/officeDocument/2006/relationships/hyperlink" Target="http://www.wikidata.org/entity/Q955464" TargetMode="External"/><Relationship Id="rId1091" Type="http://schemas.openxmlformats.org/officeDocument/2006/relationships/hyperlink" Target="http://www.wikidata.org/entity/Q115831919" TargetMode="External"/><Relationship Id="rId1092" Type="http://schemas.openxmlformats.org/officeDocument/2006/relationships/hyperlink" Target="http://www.wikidata.org/entity/Q250867" TargetMode="External"/><Relationship Id="rId1093" Type="http://schemas.openxmlformats.org/officeDocument/2006/relationships/hyperlink" Target="http://www.wikidata.org/entity/Q115833316" TargetMode="External"/><Relationship Id="rId1094" Type="http://schemas.openxmlformats.org/officeDocument/2006/relationships/hyperlink" Target="http://www.wikidata.org/entity/Q250867" TargetMode="External"/><Relationship Id="rId1095" Type="http://schemas.openxmlformats.org/officeDocument/2006/relationships/hyperlink" Target="http://www.wikidata.org/entity/Q110039260" TargetMode="External"/><Relationship Id="rId4121" Type="http://schemas.openxmlformats.org/officeDocument/2006/relationships/hyperlink" Target="http://www.wikidata.org/entity/Q36180" TargetMode="External"/><Relationship Id="rId1096" Type="http://schemas.openxmlformats.org/officeDocument/2006/relationships/hyperlink" Target="http://www.wikidata.org/entity/Q208762" TargetMode="External"/><Relationship Id="rId4120" Type="http://schemas.openxmlformats.org/officeDocument/2006/relationships/hyperlink" Target="http://www.wikidata.org/entity/Q15461013" TargetMode="External"/><Relationship Id="rId1097" Type="http://schemas.openxmlformats.org/officeDocument/2006/relationships/hyperlink" Target="http://www.wikidata.org/entity/Q115834868" TargetMode="External"/><Relationship Id="rId4123" Type="http://schemas.openxmlformats.org/officeDocument/2006/relationships/hyperlink" Target="http://www.wikidata.org/entity/Q125559890" TargetMode="External"/><Relationship Id="rId1098" Type="http://schemas.openxmlformats.org/officeDocument/2006/relationships/hyperlink" Target="http://www.wikidata.org/entity/Q955464" TargetMode="External"/><Relationship Id="rId4122" Type="http://schemas.openxmlformats.org/officeDocument/2006/relationships/hyperlink" Target="http://commons.wikimedia.org/wiki/Special:FilePath/De%20Potter%20Frans%20070512.png" TargetMode="External"/><Relationship Id="rId1099" Type="http://schemas.openxmlformats.org/officeDocument/2006/relationships/hyperlink" Target="http://www.wikidata.org/entity/Q115834868" TargetMode="External"/><Relationship Id="rId4125" Type="http://schemas.openxmlformats.org/officeDocument/2006/relationships/hyperlink" Target="http://www.wikidata.org/entity/Q122753360" TargetMode="External"/><Relationship Id="rId4124" Type="http://schemas.openxmlformats.org/officeDocument/2006/relationships/hyperlink" Target="http://www.wikidata.org/entity/Q1469535" TargetMode="External"/><Relationship Id="rId4127" Type="http://schemas.openxmlformats.org/officeDocument/2006/relationships/hyperlink" Target="http://www.wikidata.org/entity/Q122971101" TargetMode="External"/><Relationship Id="rId4126" Type="http://schemas.openxmlformats.org/officeDocument/2006/relationships/hyperlink" Target="http://www.wikidata.org/entity/Q1776501" TargetMode="External"/><Relationship Id="rId4118" Type="http://schemas.openxmlformats.org/officeDocument/2006/relationships/hyperlink" Target="http://www.wikidata.org/entity/Q2496044" TargetMode="External"/><Relationship Id="rId4117" Type="http://schemas.openxmlformats.org/officeDocument/2006/relationships/hyperlink" Target="http://commons.wikimedia.org/wiki/Special:FilePath/GlasraamLodewijkScharpe.jpg" TargetMode="External"/><Relationship Id="rId4119" Type="http://schemas.openxmlformats.org/officeDocument/2006/relationships/hyperlink" Target="http://www.wikidata.org/entity/Q2251335" TargetMode="External"/><Relationship Id="rId1080" Type="http://schemas.openxmlformats.org/officeDocument/2006/relationships/hyperlink" Target="http://www.wikidata.org/entity/Q56036018" TargetMode="External"/><Relationship Id="rId1081" Type="http://schemas.openxmlformats.org/officeDocument/2006/relationships/hyperlink" Target="http://www.wikidata.org/entity/Q36180" TargetMode="External"/><Relationship Id="rId1082" Type="http://schemas.openxmlformats.org/officeDocument/2006/relationships/hyperlink" Target="http://commons.wikimedia.org/wiki/Special:FilePath/Alexandre%20Bonvarlet%20by%20Michel%20Berthaud.jpg" TargetMode="External"/><Relationship Id="rId1083" Type="http://schemas.openxmlformats.org/officeDocument/2006/relationships/hyperlink" Target="http://www.wikidata.org/entity/Q115814591" TargetMode="External"/><Relationship Id="rId1084" Type="http://schemas.openxmlformats.org/officeDocument/2006/relationships/hyperlink" Target="http://www.wikidata.org/entity/Q1776501" TargetMode="External"/><Relationship Id="rId4110" Type="http://schemas.openxmlformats.org/officeDocument/2006/relationships/hyperlink" Target="http://commons.wikimedia.org/wiki/Special:FilePath/GlasraamLodewijkScharpe.jpg" TargetMode="External"/><Relationship Id="rId1085" Type="http://schemas.openxmlformats.org/officeDocument/2006/relationships/hyperlink" Target="http://www.wikidata.org/entity/Q115831919" TargetMode="External"/><Relationship Id="rId1086" Type="http://schemas.openxmlformats.org/officeDocument/2006/relationships/hyperlink" Target="http://www.wikidata.org/entity/Q955464" TargetMode="External"/><Relationship Id="rId4112" Type="http://schemas.openxmlformats.org/officeDocument/2006/relationships/hyperlink" Target="http://www.wikidata.org/entity/Q191808" TargetMode="External"/><Relationship Id="rId1087" Type="http://schemas.openxmlformats.org/officeDocument/2006/relationships/hyperlink" Target="http://www.wikidata.org/entity/Q115831919" TargetMode="External"/><Relationship Id="rId4111" Type="http://schemas.openxmlformats.org/officeDocument/2006/relationships/hyperlink" Target="http://www.wikidata.org/entity/Q122753360" TargetMode="External"/><Relationship Id="rId1088" Type="http://schemas.openxmlformats.org/officeDocument/2006/relationships/hyperlink" Target="http://www.wikidata.org/entity/Q219477" TargetMode="External"/><Relationship Id="rId4114" Type="http://schemas.openxmlformats.org/officeDocument/2006/relationships/hyperlink" Target="http://www.wikidata.org/entity/Q49757" TargetMode="External"/><Relationship Id="rId1089" Type="http://schemas.openxmlformats.org/officeDocument/2006/relationships/hyperlink" Target="http://www.wikidata.org/entity/Q115833316" TargetMode="External"/><Relationship Id="rId4113" Type="http://schemas.openxmlformats.org/officeDocument/2006/relationships/hyperlink" Target="http://www.wikidata.org/entity/Q115982585" TargetMode="External"/><Relationship Id="rId4116" Type="http://schemas.openxmlformats.org/officeDocument/2006/relationships/hyperlink" Target="http://www.wikidata.org/entity/Q212238" TargetMode="External"/><Relationship Id="rId4115" Type="http://schemas.openxmlformats.org/officeDocument/2006/relationships/hyperlink" Target="http://www.wikidata.org/entity/Q13769746" TargetMode="External"/><Relationship Id="rId4141" Type="http://schemas.openxmlformats.org/officeDocument/2006/relationships/hyperlink" Target="http://www.wikidata.org/entity/Q125357784" TargetMode="External"/><Relationship Id="rId4140" Type="http://schemas.openxmlformats.org/officeDocument/2006/relationships/hyperlink" Target="http://www.wikidata.org/entity/Q12049274" TargetMode="External"/><Relationship Id="rId4143" Type="http://schemas.openxmlformats.org/officeDocument/2006/relationships/hyperlink" Target="http://www.wikidata.org/entity/Q136703696" TargetMode="External"/><Relationship Id="rId4142" Type="http://schemas.openxmlformats.org/officeDocument/2006/relationships/hyperlink" Target="http://www.wikidata.org/entity/Q191808" TargetMode="External"/><Relationship Id="rId4145" Type="http://schemas.openxmlformats.org/officeDocument/2006/relationships/hyperlink" Target="http://www.wikidata.org/entity/Q116620970" TargetMode="External"/><Relationship Id="rId4144" Type="http://schemas.openxmlformats.org/officeDocument/2006/relationships/hyperlink" Target="http://www.wikidata.org/entity/Q1753370" TargetMode="External"/><Relationship Id="rId4147" Type="http://schemas.openxmlformats.org/officeDocument/2006/relationships/hyperlink" Target="http://www.wikidata.org/entity/Q125359798" TargetMode="External"/><Relationship Id="rId4146" Type="http://schemas.openxmlformats.org/officeDocument/2006/relationships/hyperlink" Target="http://www.wikidata.org/entity/Q191808" TargetMode="External"/><Relationship Id="rId4149" Type="http://schemas.openxmlformats.org/officeDocument/2006/relationships/hyperlink" Target="http://www.wikidata.org/entity/Q122987963" TargetMode="External"/><Relationship Id="rId4148" Type="http://schemas.openxmlformats.org/officeDocument/2006/relationships/hyperlink" Target="http://www.wikidata.org/entity/Q191808" TargetMode="External"/><Relationship Id="rId4139" Type="http://schemas.openxmlformats.org/officeDocument/2006/relationships/hyperlink" Target="http://www.wikidata.org/entity/Q125351404" TargetMode="External"/><Relationship Id="rId4130" Type="http://schemas.openxmlformats.org/officeDocument/2006/relationships/hyperlink" Target="http://www.wikidata.org/entity/Q8963721" TargetMode="External"/><Relationship Id="rId4132" Type="http://schemas.openxmlformats.org/officeDocument/2006/relationships/hyperlink" Target="http://www.wikidata.org/entity/Q1753370" TargetMode="External"/><Relationship Id="rId4131" Type="http://schemas.openxmlformats.org/officeDocument/2006/relationships/hyperlink" Target="http://www.wikidata.org/entity/Q125559890" TargetMode="External"/><Relationship Id="rId4134" Type="http://schemas.openxmlformats.org/officeDocument/2006/relationships/hyperlink" Target="http://www.wikidata.org/entity/Q738142" TargetMode="External"/><Relationship Id="rId4133" Type="http://schemas.openxmlformats.org/officeDocument/2006/relationships/hyperlink" Target="http://www.wikidata.org/entity/Q125472556" TargetMode="External"/><Relationship Id="rId4136" Type="http://schemas.openxmlformats.org/officeDocument/2006/relationships/hyperlink" Target="http://www.wikidata.org/entity/Q27349" TargetMode="External"/><Relationship Id="rId4135" Type="http://schemas.openxmlformats.org/officeDocument/2006/relationships/hyperlink" Target="http://www.wikidata.org/entity/Q1978131" TargetMode="External"/><Relationship Id="rId4138" Type="http://schemas.openxmlformats.org/officeDocument/2006/relationships/hyperlink" Target="http://www.wikidata.org/entity/Q36180" TargetMode="External"/><Relationship Id="rId4137" Type="http://schemas.openxmlformats.org/officeDocument/2006/relationships/hyperlink" Target="http://www.wikidata.org/entity/Q1978131" TargetMode="External"/><Relationship Id="rId1972" Type="http://schemas.openxmlformats.org/officeDocument/2006/relationships/hyperlink" Target="http://www.wikidata.org/entity/Q82955" TargetMode="External"/><Relationship Id="rId1973" Type="http://schemas.openxmlformats.org/officeDocument/2006/relationships/hyperlink" Target="http://www.wikidata.org/entity/Q119013873" TargetMode="External"/><Relationship Id="rId1974" Type="http://schemas.openxmlformats.org/officeDocument/2006/relationships/hyperlink" Target="http://www.wikidata.org/entity/Q250867" TargetMode="External"/><Relationship Id="rId1975" Type="http://schemas.openxmlformats.org/officeDocument/2006/relationships/hyperlink" Target="http://www.wikidata.org/entity/Q120639934" TargetMode="External"/><Relationship Id="rId1976" Type="http://schemas.openxmlformats.org/officeDocument/2006/relationships/hyperlink" Target="http://www.wikidata.org/entity/Q3704253" TargetMode="External"/><Relationship Id="rId1977" Type="http://schemas.openxmlformats.org/officeDocument/2006/relationships/hyperlink" Target="http://www.wikidata.org/entity/Q119013873" TargetMode="External"/><Relationship Id="rId1978" Type="http://schemas.openxmlformats.org/officeDocument/2006/relationships/hyperlink" Target="http://www.wikidata.org/entity/Q2251335" TargetMode="External"/><Relationship Id="rId1979" Type="http://schemas.openxmlformats.org/officeDocument/2006/relationships/hyperlink" Target="http://www.wikidata.org/entity/Q116620896" TargetMode="External"/><Relationship Id="rId1970" Type="http://schemas.openxmlformats.org/officeDocument/2006/relationships/hyperlink" Target="http://www.wikidata.org/entity/Q1162163" TargetMode="External"/><Relationship Id="rId1971" Type="http://schemas.openxmlformats.org/officeDocument/2006/relationships/hyperlink" Target="http://www.wikidata.org/entity/Q120639934" TargetMode="External"/><Relationship Id="rId1961" Type="http://schemas.openxmlformats.org/officeDocument/2006/relationships/hyperlink" Target="http://www.wikidata.org/entity/Q115979996" TargetMode="External"/><Relationship Id="rId1962" Type="http://schemas.openxmlformats.org/officeDocument/2006/relationships/hyperlink" Target="http://www.wikidata.org/entity/Q2251335" TargetMode="External"/><Relationship Id="rId1963" Type="http://schemas.openxmlformats.org/officeDocument/2006/relationships/hyperlink" Target="http://www.wikidata.org/entity/Q115839088" TargetMode="External"/><Relationship Id="rId1964" Type="http://schemas.openxmlformats.org/officeDocument/2006/relationships/hyperlink" Target="http://www.wikidata.org/entity/Q39631" TargetMode="External"/><Relationship Id="rId1965" Type="http://schemas.openxmlformats.org/officeDocument/2006/relationships/hyperlink" Target="http://www.wikidata.org/entity/Q115982426" TargetMode="External"/><Relationship Id="rId1966" Type="http://schemas.openxmlformats.org/officeDocument/2006/relationships/hyperlink" Target="http://www.wikidata.org/entity/Q2251335" TargetMode="External"/><Relationship Id="rId1967" Type="http://schemas.openxmlformats.org/officeDocument/2006/relationships/hyperlink" Target="http://www.wikidata.org/entity/Q119013873" TargetMode="External"/><Relationship Id="rId1968" Type="http://schemas.openxmlformats.org/officeDocument/2006/relationships/hyperlink" Target="http://www.wikidata.org/entity/Q955464" TargetMode="External"/><Relationship Id="rId1969" Type="http://schemas.openxmlformats.org/officeDocument/2006/relationships/hyperlink" Target="http://www.wikidata.org/entity/Q119013873" TargetMode="External"/><Relationship Id="rId1960" Type="http://schemas.openxmlformats.org/officeDocument/2006/relationships/hyperlink" Target="http://www.wikidata.org/entity/Q2251335" TargetMode="External"/><Relationship Id="rId1994" Type="http://schemas.openxmlformats.org/officeDocument/2006/relationships/hyperlink" Target="http://www.wikidata.org/entity/Q120855780" TargetMode="External"/><Relationship Id="rId1995" Type="http://schemas.openxmlformats.org/officeDocument/2006/relationships/hyperlink" Target="http://www.wikidata.org/entity/Q121002664" TargetMode="External"/><Relationship Id="rId1996" Type="http://schemas.openxmlformats.org/officeDocument/2006/relationships/hyperlink" Target="http://www.wikidata.org/entity/Q2251335" TargetMode="External"/><Relationship Id="rId1997" Type="http://schemas.openxmlformats.org/officeDocument/2006/relationships/hyperlink" Target="http://www.wikidata.org/entity/Q11029222" TargetMode="External"/><Relationship Id="rId1998" Type="http://schemas.openxmlformats.org/officeDocument/2006/relationships/hyperlink" Target="http://www.wikidata.org/entity/Q2251335" TargetMode="External"/><Relationship Id="rId1999" Type="http://schemas.openxmlformats.org/officeDocument/2006/relationships/hyperlink" Target="http://commons.wikimedia.org/wiki/Special:FilePath/Hendrik%20Pickery%20gedenkteken%20R03.jpg" TargetMode="External"/><Relationship Id="rId1990" Type="http://schemas.openxmlformats.org/officeDocument/2006/relationships/hyperlink" Target="http://www.wikidata.org/entity/Q1753370" TargetMode="External"/><Relationship Id="rId1991" Type="http://schemas.openxmlformats.org/officeDocument/2006/relationships/hyperlink" Target="http://www.wikidata.org/entity/Q120491424" TargetMode="External"/><Relationship Id="rId1992" Type="http://schemas.openxmlformats.org/officeDocument/2006/relationships/hyperlink" Target="http://www.wikidata.org/entity/Q115979996" TargetMode="External"/><Relationship Id="rId1993" Type="http://schemas.openxmlformats.org/officeDocument/2006/relationships/hyperlink" Target="http://www.wikidata.org/entity/Q1753370" TargetMode="External"/><Relationship Id="rId1983" Type="http://schemas.openxmlformats.org/officeDocument/2006/relationships/hyperlink" Target="http://www.wikidata.org/entity/Q955464" TargetMode="External"/><Relationship Id="rId1984" Type="http://schemas.openxmlformats.org/officeDocument/2006/relationships/hyperlink" Target="http://www.wikidata.org/entity/Q121002664" TargetMode="External"/><Relationship Id="rId1985" Type="http://schemas.openxmlformats.org/officeDocument/2006/relationships/hyperlink" Target="http://www.wikidata.org/entity/Q250867" TargetMode="External"/><Relationship Id="rId1986" Type="http://schemas.openxmlformats.org/officeDocument/2006/relationships/hyperlink" Target="http://www.wikidata.org/entity/Q115982426" TargetMode="External"/><Relationship Id="rId1987" Type="http://schemas.openxmlformats.org/officeDocument/2006/relationships/hyperlink" Target="http://www.wikidata.org/entity/Q208762" TargetMode="External"/><Relationship Id="rId1988" Type="http://schemas.openxmlformats.org/officeDocument/2006/relationships/hyperlink" Target="http://www.wikidata.org/entity/Q119627464" TargetMode="External"/><Relationship Id="rId1989" Type="http://schemas.openxmlformats.org/officeDocument/2006/relationships/hyperlink" Target="http://www.wikidata.org/entity/Q115979130" TargetMode="External"/><Relationship Id="rId1980" Type="http://schemas.openxmlformats.org/officeDocument/2006/relationships/hyperlink" Target="http://www.wikidata.org/entity/Q116688354" TargetMode="External"/><Relationship Id="rId1981" Type="http://schemas.openxmlformats.org/officeDocument/2006/relationships/hyperlink" Target="http://www.wikidata.org/entity/Q117227189" TargetMode="External"/><Relationship Id="rId1982" Type="http://schemas.openxmlformats.org/officeDocument/2006/relationships/hyperlink" Target="http://www.wikidata.org/entity/Q121002664" TargetMode="External"/><Relationship Id="rId1930" Type="http://schemas.openxmlformats.org/officeDocument/2006/relationships/hyperlink" Target="http://www.wikidata.org/entity/Q435940" TargetMode="External"/><Relationship Id="rId1931" Type="http://schemas.openxmlformats.org/officeDocument/2006/relationships/hyperlink" Target="http://www.wikidata.org/entity/Q120729190" TargetMode="External"/><Relationship Id="rId1932" Type="http://schemas.openxmlformats.org/officeDocument/2006/relationships/hyperlink" Target="http://www.wikidata.org/entity/Q333634" TargetMode="External"/><Relationship Id="rId1933" Type="http://schemas.openxmlformats.org/officeDocument/2006/relationships/hyperlink" Target="http://www.wikidata.org/entity/Q120729190" TargetMode="External"/><Relationship Id="rId1934" Type="http://schemas.openxmlformats.org/officeDocument/2006/relationships/hyperlink" Target="http://www.wikidata.org/entity/Q214917" TargetMode="External"/><Relationship Id="rId1935" Type="http://schemas.openxmlformats.org/officeDocument/2006/relationships/hyperlink" Target="http://www.wikidata.org/entity/Q116509131" TargetMode="External"/><Relationship Id="rId1936" Type="http://schemas.openxmlformats.org/officeDocument/2006/relationships/hyperlink" Target="http://www.wikidata.org/entity/Q37226" TargetMode="External"/><Relationship Id="rId1937" Type="http://schemas.openxmlformats.org/officeDocument/2006/relationships/hyperlink" Target="http://www.wikidata.org/entity/Q119003821" TargetMode="External"/><Relationship Id="rId1938" Type="http://schemas.openxmlformats.org/officeDocument/2006/relationships/hyperlink" Target="http://www.wikidata.org/entity/Q182436" TargetMode="External"/><Relationship Id="rId1939" Type="http://schemas.openxmlformats.org/officeDocument/2006/relationships/hyperlink" Target="http://www.wikidata.org/entity/Q118555164" TargetMode="External"/><Relationship Id="rId1920" Type="http://schemas.openxmlformats.org/officeDocument/2006/relationships/hyperlink" Target="http://www.wikidata.org/entity/Q36180" TargetMode="External"/><Relationship Id="rId1921" Type="http://schemas.openxmlformats.org/officeDocument/2006/relationships/hyperlink" Target="http://www.wikidata.org/entity/Q122831276" TargetMode="External"/><Relationship Id="rId1922" Type="http://schemas.openxmlformats.org/officeDocument/2006/relationships/hyperlink" Target="http://www.wikidata.org/entity/Q37226" TargetMode="External"/><Relationship Id="rId1923" Type="http://schemas.openxmlformats.org/officeDocument/2006/relationships/hyperlink" Target="http://www.wikidata.org/entity/Q122884053" TargetMode="External"/><Relationship Id="rId1924" Type="http://schemas.openxmlformats.org/officeDocument/2006/relationships/hyperlink" Target="http://www.wikidata.org/entity/Q81710" TargetMode="External"/><Relationship Id="rId1925" Type="http://schemas.openxmlformats.org/officeDocument/2006/relationships/hyperlink" Target="http://www.wikidata.org/entity/Q115844668" TargetMode="External"/><Relationship Id="rId1926" Type="http://schemas.openxmlformats.org/officeDocument/2006/relationships/hyperlink" Target="http://www.wikidata.org/entity/Q1753370" TargetMode="External"/><Relationship Id="rId1927" Type="http://schemas.openxmlformats.org/officeDocument/2006/relationships/hyperlink" Target="http://www.wikidata.org/entity/Q122884053" TargetMode="External"/><Relationship Id="rId1928" Type="http://schemas.openxmlformats.org/officeDocument/2006/relationships/hyperlink" Target="http://www.wikidata.org/entity/Q92204276" TargetMode="External"/><Relationship Id="rId1929" Type="http://schemas.openxmlformats.org/officeDocument/2006/relationships/hyperlink" Target="http://www.wikidata.org/entity/Q115840173" TargetMode="External"/><Relationship Id="rId4190" Type="http://schemas.openxmlformats.org/officeDocument/2006/relationships/hyperlink" Target="http://www.wikidata.org/entity/Q6606110" TargetMode="External"/><Relationship Id="rId4192" Type="http://schemas.openxmlformats.org/officeDocument/2006/relationships/hyperlink" Target="http://www.wikidata.org/entity/Q42855995" TargetMode="External"/><Relationship Id="rId4191" Type="http://schemas.openxmlformats.org/officeDocument/2006/relationships/hyperlink" Target="http://www.wikidata.org/entity/Q122872984" TargetMode="External"/><Relationship Id="rId4194" Type="http://schemas.openxmlformats.org/officeDocument/2006/relationships/hyperlink" Target="http://www.wikidata.org/entity/Q833860" TargetMode="External"/><Relationship Id="rId4193" Type="http://schemas.openxmlformats.org/officeDocument/2006/relationships/hyperlink" Target="http://www.wikidata.org/entity/Q126734623" TargetMode="External"/><Relationship Id="rId4196" Type="http://schemas.openxmlformats.org/officeDocument/2006/relationships/hyperlink" Target="http://www.wikidata.org/entity/Q36180" TargetMode="External"/><Relationship Id="rId4195" Type="http://schemas.openxmlformats.org/officeDocument/2006/relationships/hyperlink" Target="http://www.wikidata.org/entity/Q122853878" TargetMode="External"/><Relationship Id="rId4198" Type="http://schemas.openxmlformats.org/officeDocument/2006/relationships/hyperlink" Target="http://www.wikidata.org/entity/Q37226" TargetMode="External"/><Relationship Id="rId4197" Type="http://schemas.openxmlformats.org/officeDocument/2006/relationships/hyperlink" Target="http://www.wikidata.org/entity/Q122853878" TargetMode="External"/><Relationship Id="rId4199" Type="http://schemas.openxmlformats.org/officeDocument/2006/relationships/hyperlink" Target="http://www.wikidata.org/entity/Q123416074" TargetMode="External"/><Relationship Id="rId1950" Type="http://schemas.openxmlformats.org/officeDocument/2006/relationships/hyperlink" Target="http://www.wikidata.org/entity/Q955464" TargetMode="External"/><Relationship Id="rId1951" Type="http://schemas.openxmlformats.org/officeDocument/2006/relationships/hyperlink" Target="http://www.wikidata.org/entity/Q115979130" TargetMode="External"/><Relationship Id="rId1952" Type="http://schemas.openxmlformats.org/officeDocument/2006/relationships/hyperlink" Target="http://www.wikidata.org/entity/Q250867" TargetMode="External"/><Relationship Id="rId1953" Type="http://schemas.openxmlformats.org/officeDocument/2006/relationships/hyperlink" Target="http://www.wikidata.org/entity/Q123414143" TargetMode="External"/><Relationship Id="rId1954" Type="http://schemas.openxmlformats.org/officeDocument/2006/relationships/hyperlink" Target="http://www.wikidata.org/entity/Q2462658" TargetMode="External"/><Relationship Id="rId1955" Type="http://schemas.openxmlformats.org/officeDocument/2006/relationships/hyperlink" Target="http://www.wikidata.org/entity/Q115979996" TargetMode="External"/><Relationship Id="rId1956" Type="http://schemas.openxmlformats.org/officeDocument/2006/relationships/hyperlink" Target="http://www.wikidata.org/entity/Q250867" TargetMode="External"/><Relationship Id="rId1957" Type="http://schemas.openxmlformats.org/officeDocument/2006/relationships/hyperlink" Target="http://www.wikidata.org/entity/Q115982426" TargetMode="External"/><Relationship Id="rId1958" Type="http://schemas.openxmlformats.org/officeDocument/2006/relationships/hyperlink" Target="http://www.wikidata.org/entity/Q250867" TargetMode="External"/><Relationship Id="rId1959" Type="http://schemas.openxmlformats.org/officeDocument/2006/relationships/hyperlink" Target="http://www.wikidata.org/entity/Q115979130" TargetMode="External"/><Relationship Id="rId1940" Type="http://schemas.openxmlformats.org/officeDocument/2006/relationships/hyperlink" Target="http://www.wikidata.org/entity/Q2251335" TargetMode="External"/><Relationship Id="rId1941" Type="http://schemas.openxmlformats.org/officeDocument/2006/relationships/hyperlink" Target="http://www.wikidata.org/entity/Q120920568" TargetMode="External"/><Relationship Id="rId1942" Type="http://schemas.openxmlformats.org/officeDocument/2006/relationships/hyperlink" Target="http://www.wikidata.org/entity/Q36180" TargetMode="External"/><Relationship Id="rId1943" Type="http://schemas.openxmlformats.org/officeDocument/2006/relationships/hyperlink" Target="http://www.wikidata.org/entity/Q119003821" TargetMode="External"/><Relationship Id="rId1944" Type="http://schemas.openxmlformats.org/officeDocument/2006/relationships/hyperlink" Target="http://www.wikidata.org/entity/Q635734" TargetMode="External"/><Relationship Id="rId1945" Type="http://schemas.openxmlformats.org/officeDocument/2006/relationships/hyperlink" Target="http://www.wikidata.org/entity/Q119003821" TargetMode="External"/><Relationship Id="rId1946" Type="http://schemas.openxmlformats.org/officeDocument/2006/relationships/hyperlink" Target="http://www.wikidata.org/entity/Q80687" TargetMode="External"/><Relationship Id="rId1947" Type="http://schemas.openxmlformats.org/officeDocument/2006/relationships/hyperlink" Target="http://www.wikidata.org/entity/Q115979130" TargetMode="External"/><Relationship Id="rId1948" Type="http://schemas.openxmlformats.org/officeDocument/2006/relationships/hyperlink" Target="http://www.wikidata.org/entity/Q955464" TargetMode="External"/><Relationship Id="rId1949" Type="http://schemas.openxmlformats.org/officeDocument/2006/relationships/hyperlink" Target="http://www.wikidata.org/entity/Q115979996" TargetMode="External"/><Relationship Id="rId2423" Type="http://schemas.openxmlformats.org/officeDocument/2006/relationships/hyperlink" Target="http://www.wikidata.org/entity/Q4423628" TargetMode="External"/><Relationship Id="rId3755" Type="http://schemas.openxmlformats.org/officeDocument/2006/relationships/hyperlink" Target="http://www.wikidata.org/entity/Q122779793" TargetMode="External"/><Relationship Id="rId2424" Type="http://schemas.openxmlformats.org/officeDocument/2006/relationships/hyperlink" Target="http://www.wikidata.org/entity/Q36834" TargetMode="External"/><Relationship Id="rId3754" Type="http://schemas.openxmlformats.org/officeDocument/2006/relationships/hyperlink" Target="http://www.wikidata.org/entity/Q40348" TargetMode="External"/><Relationship Id="rId2425" Type="http://schemas.openxmlformats.org/officeDocument/2006/relationships/hyperlink" Target="http://www.wikidata.org/entity/Q1950196" TargetMode="External"/><Relationship Id="rId3757" Type="http://schemas.openxmlformats.org/officeDocument/2006/relationships/hyperlink" Target="http://www.wikidata.org/entity/Q219477" TargetMode="External"/><Relationship Id="rId2426" Type="http://schemas.openxmlformats.org/officeDocument/2006/relationships/hyperlink" Target="http://www.wikidata.org/entity/Q1753370" TargetMode="External"/><Relationship Id="rId3756" Type="http://schemas.openxmlformats.org/officeDocument/2006/relationships/hyperlink" Target="http://www.wikidata.org/entity/Q119794240" TargetMode="External"/><Relationship Id="rId2427" Type="http://schemas.openxmlformats.org/officeDocument/2006/relationships/hyperlink" Target="http://www.wikidata.org/entity/Q55770641" TargetMode="External"/><Relationship Id="rId3759" Type="http://schemas.openxmlformats.org/officeDocument/2006/relationships/hyperlink" Target="http://www.wikidata.org/entity/Q2251335" TargetMode="External"/><Relationship Id="rId2428" Type="http://schemas.openxmlformats.org/officeDocument/2006/relationships/hyperlink" Target="http://www.wikidata.org/entity/Q1028181" TargetMode="External"/><Relationship Id="rId3758" Type="http://schemas.openxmlformats.org/officeDocument/2006/relationships/hyperlink" Target="http://www.wikidata.org/entity/Q120884878" TargetMode="External"/><Relationship Id="rId2429" Type="http://schemas.openxmlformats.org/officeDocument/2006/relationships/hyperlink" Target="http://www.wikidata.org/entity/Q1707941" TargetMode="External"/><Relationship Id="rId509" Type="http://schemas.openxmlformats.org/officeDocument/2006/relationships/hyperlink" Target="http://www.wikidata.org/entity/Q674426" TargetMode="External"/><Relationship Id="rId508" Type="http://schemas.openxmlformats.org/officeDocument/2006/relationships/hyperlink" Target="http://www.wikidata.org/entity/Q2062803" TargetMode="External"/><Relationship Id="rId503" Type="http://schemas.openxmlformats.org/officeDocument/2006/relationships/hyperlink" Target="http://www.wikidata.org/entity/Q2599593" TargetMode="External"/><Relationship Id="rId502" Type="http://schemas.openxmlformats.org/officeDocument/2006/relationships/hyperlink" Target="http://www.wikidata.org/entity/Q21549953" TargetMode="External"/><Relationship Id="rId501" Type="http://schemas.openxmlformats.org/officeDocument/2006/relationships/hyperlink" Target="http://commons.wikimedia.org/wiki/Special:FilePath/BoekenoogenGJ.jpg" TargetMode="External"/><Relationship Id="rId500" Type="http://schemas.openxmlformats.org/officeDocument/2006/relationships/hyperlink" Target="http://www.wikidata.org/entity/Q14467526" TargetMode="External"/><Relationship Id="rId507" Type="http://schemas.openxmlformats.org/officeDocument/2006/relationships/hyperlink" Target="http://www.wikidata.org/entity/Q49757" TargetMode="External"/><Relationship Id="rId506" Type="http://schemas.openxmlformats.org/officeDocument/2006/relationships/hyperlink" Target="http://www.wikidata.org/entity/Q2181847" TargetMode="External"/><Relationship Id="rId505" Type="http://schemas.openxmlformats.org/officeDocument/2006/relationships/hyperlink" Target="http://www.wikidata.org/entity/Q6673651" TargetMode="External"/><Relationship Id="rId504" Type="http://schemas.openxmlformats.org/officeDocument/2006/relationships/hyperlink" Target="http://www.wikidata.org/entity/Q2580620" TargetMode="External"/><Relationship Id="rId3751" Type="http://schemas.openxmlformats.org/officeDocument/2006/relationships/hyperlink" Target="http://www.wikidata.org/entity/Q115838569" TargetMode="External"/><Relationship Id="rId2420" Type="http://schemas.openxmlformats.org/officeDocument/2006/relationships/hyperlink" Target="http://www.wikidata.org/entity/Q49757" TargetMode="External"/><Relationship Id="rId3750" Type="http://schemas.openxmlformats.org/officeDocument/2006/relationships/hyperlink" Target="http://www.wikidata.org/entity/Q1753370" TargetMode="External"/><Relationship Id="rId2421" Type="http://schemas.openxmlformats.org/officeDocument/2006/relationships/hyperlink" Target="http://www.wikidata.org/entity/Q55770641" TargetMode="External"/><Relationship Id="rId3753" Type="http://schemas.openxmlformats.org/officeDocument/2006/relationships/hyperlink" Target="http://www.wikidata.org/entity/Q115818781" TargetMode="External"/><Relationship Id="rId2422" Type="http://schemas.openxmlformats.org/officeDocument/2006/relationships/hyperlink" Target="http://www.wikidata.org/entity/Q120667787" TargetMode="External"/><Relationship Id="rId3752" Type="http://schemas.openxmlformats.org/officeDocument/2006/relationships/hyperlink" Target="http://www.wikidata.org/entity/Q1753370" TargetMode="External"/><Relationship Id="rId2412" Type="http://schemas.openxmlformats.org/officeDocument/2006/relationships/hyperlink" Target="http://commons.wikimedia.org/wiki/Special:FilePath/NapoleonDePauw.jpg" TargetMode="External"/><Relationship Id="rId3744" Type="http://schemas.openxmlformats.org/officeDocument/2006/relationships/hyperlink" Target="http://www.wikidata.org/entity/Q2251335" TargetMode="External"/><Relationship Id="rId2413" Type="http://schemas.openxmlformats.org/officeDocument/2006/relationships/hyperlink" Target="http://www.wikidata.org/entity/Q2491266" TargetMode="External"/><Relationship Id="rId3743" Type="http://schemas.openxmlformats.org/officeDocument/2006/relationships/hyperlink" Target="http://www.wikidata.org/entity/Q115838569" TargetMode="External"/><Relationship Id="rId2414" Type="http://schemas.openxmlformats.org/officeDocument/2006/relationships/hyperlink" Target="http://www.wikidata.org/entity/Q39631" TargetMode="External"/><Relationship Id="rId3746" Type="http://schemas.openxmlformats.org/officeDocument/2006/relationships/hyperlink" Target="http://www.wikidata.org/entity/Q6051619" TargetMode="External"/><Relationship Id="rId2415" Type="http://schemas.openxmlformats.org/officeDocument/2006/relationships/hyperlink" Target="http://commons.wikimedia.org/wiki/Special:FilePath/Johan%20Winkler.jpg" TargetMode="External"/><Relationship Id="rId3745" Type="http://schemas.openxmlformats.org/officeDocument/2006/relationships/hyperlink" Target="http://www.wikidata.org/entity/Q115836783" TargetMode="External"/><Relationship Id="rId2416" Type="http://schemas.openxmlformats.org/officeDocument/2006/relationships/hyperlink" Target="http://www.wikidata.org/entity/Q2491266" TargetMode="External"/><Relationship Id="rId3748" Type="http://schemas.openxmlformats.org/officeDocument/2006/relationships/hyperlink" Target="http://www.wikidata.org/entity/Q1753370" TargetMode="External"/><Relationship Id="rId2417" Type="http://schemas.openxmlformats.org/officeDocument/2006/relationships/hyperlink" Target="http://www.wikidata.org/entity/Q36180" TargetMode="External"/><Relationship Id="rId3747" Type="http://schemas.openxmlformats.org/officeDocument/2006/relationships/hyperlink" Target="http://www.wikidata.org/entity/Q115836217" TargetMode="External"/><Relationship Id="rId2418" Type="http://schemas.openxmlformats.org/officeDocument/2006/relationships/hyperlink" Target="http://commons.wikimedia.org/wiki/Special:FilePath/Johan%20Winkler.jpg" TargetMode="External"/><Relationship Id="rId2419" Type="http://schemas.openxmlformats.org/officeDocument/2006/relationships/hyperlink" Target="http://www.wikidata.org/entity/Q4423628" TargetMode="External"/><Relationship Id="rId3749" Type="http://schemas.openxmlformats.org/officeDocument/2006/relationships/hyperlink" Target="http://www.wikidata.org/entity/Q115836783" TargetMode="External"/><Relationship Id="rId3740" Type="http://schemas.openxmlformats.org/officeDocument/2006/relationships/hyperlink" Target="http://www.wikidata.org/entity/Q1056391" TargetMode="External"/><Relationship Id="rId2410" Type="http://schemas.openxmlformats.org/officeDocument/2006/relationships/hyperlink" Target="http://www.wikidata.org/entity/Q18655152" TargetMode="External"/><Relationship Id="rId3742" Type="http://schemas.openxmlformats.org/officeDocument/2006/relationships/hyperlink" Target="http://www.wikidata.org/entity/Q250867" TargetMode="External"/><Relationship Id="rId2411" Type="http://schemas.openxmlformats.org/officeDocument/2006/relationships/hyperlink" Target="http://www.wikidata.org/entity/Q36180" TargetMode="External"/><Relationship Id="rId3741" Type="http://schemas.openxmlformats.org/officeDocument/2006/relationships/hyperlink" Target="http://www.wikidata.org/entity/Q115840234" TargetMode="External"/><Relationship Id="rId1114" Type="http://schemas.openxmlformats.org/officeDocument/2006/relationships/hyperlink" Target="http://www.wikidata.org/entity/Q56036018" TargetMode="External"/><Relationship Id="rId2445" Type="http://schemas.openxmlformats.org/officeDocument/2006/relationships/hyperlink" Target="http://commons.wikimedia.org/wiki/Special:FilePath/Frederick%20William%20Faber.jpg" TargetMode="External"/><Relationship Id="rId3777" Type="http://schemas.openxmlformats.org/officeDocument/2006/relationships/hyperlink" Target="http://www.wikidata.org/entity/Q250867" TargetMode="External"/><Relationship Id="rId1115" Type="http://schemas.openxmlformats.org/officeDocument/2006/relationships/hyperlink" Target="http://www.wikidata.org/entity/Q207978" TargetMode="External"/><Relationship Id="rId2446" Type="http://schemas.openxmlformats.org/officeDocument/2006/relationships/hyperlink" Target="http://www.wikidata.org/entity/Q2491266" TargetMode="External"/><Relationship Id="rId3776" Type="http://schemas.openxmlformats.org/officeDocument/2006/relationships/hyperlink" Target="http://www.wikidata.org/entity/Q118136722" TargetMode="External"/><Relationship Id="rId1116" Type="http://schemas.openxmlformats.org/officeDocument/2006/relationships/hyperlink" Target="http://commons.wikimedia.org/wiki/Special:FilePath/Alexandre%20Bonvarlet%20by%20Michel%20Berthaud.jpg" TargetMode="External"/><Relationship Id="rId2447" Type="http://schemas.openxmlformats.org/officeDocument/2006/relationships/hyperlink" Target="http://www.wikidata.org/entity/Q1371378" TargetMode="External"/><Relationship Id="rId3779" Type="http://schemas.openxmlformats.org/officeDocument/2006/relationships/hyperlink" Target="http://www.wikidata.org/entity/Q80687" TargetMode="External"/><Relationship Id="rId1117" Type="http://schemas.openxmlformats.org/officeDocument/2006/relationships/hyperlink" Target="http://www.wikidata.org/entity/Q115831919" TargetMode="External"/><Relationship Id="rId2448" Type="http://schemas.openxmlformats.org/officeDocument/2006/relationships/hyperlink" Target="http://commons.wikimedia.org/wiki/Special:FilePath/Johan%20Winkler.jpg" TargetMode="External"/><Relationship Id="rId3778" Type="http://schemas.openxmlformats.org/officeDocument/2006/relationships/hyperlink" Target="http://www.wikidata.org/entity/Q118136722" TargetMode="External"/><Relationship Id="rId1118" Type="http://schemas.openxmlformats.org/officeDocument/2006/relationships/hyperlink" Target="http://www.wikidata.org/entity/Q1657500" TargetMode="External"/><Relationship Id="rId2449" Type="http://schemas.openxmlformats.org/officeDocument/2006/relationships/hyperlink" Target="http://www.wikidata.org/entity/Q1286149" TargetMode="External"/><Relationship Id="rId1119" Type="http://schemas.openxmlformats.org/officeDocument/2006/relationships/hyperlink" Target="http://www.wikidata.org/entity/Q115820195" TargetMode="External"/><Relationship Id="rId525" Type="http://schemas.openxmlformats.org/officeDocument/2006/relationships/hyperlink" Target="http://www.wikidata.org/entity/Q3067739" TargetMode="External"/><Relationship Id="rId524" Type="http://schemas.openxmlformats.org/officeDocument/2006/relationships/hyperlink" Target="http://commons.wikimedia.org/wiki/Special:FilePath/Portret%20van%20Jan%20Nolet%20de%20Brauwere%20van%20Steeland%2C%20RP-P-1906-1206.jpg" TargetMode="External"/><Relationship Id="rId523" Type="http://schemas.openxmlformats.org/officeDocument/2006/relationships/hyperlink" Target="http://www.wikidata.org/entity/Q49757" TargetMode="External"/><Relationship Id="rId522" Type="http://schemas.openxmlformats.org/officeDocument/2006/relationships/hyperlink" Target="http://www.wikidata.org/entity/Q329468" TargetMode="External"/><Relationship Id="rId529" Type="http://schemas.openxmlformats.org/officeDocument/2006/relationships/hyperlink" Target="http://www.wikidata.org/entity/Q212238" TargetMode="External"/><Relationship Id="rId528" Type="http://schemas.openxmlformats.org/officeDocument/2006/relationships/hyperlink" Target="http://www.wikidata.org/entity/Q18415039" TargetMode="External"/><Relationship Id="rId527" Type="http://schemas.openxmlformats.org/officeDocument/2006/relationships/hyperlink" Target="http://commons.wikimedia.org/wiki/Special:FilePath/Rubio%20i%20ors.jpg" TargetMode="External"/><Relationship Id="rId526" Type="http://schemas.openxmlformats.org/officeDocument/2006/relationships/hyperlink" Target="http://www.wikidata.org/entity/Q1266283" TargetMode="External"/><Relationship Id="rId3771" Type="http://schemas.openxmlformats.org/officeDocument/2006/relationships/hyperlink" Target="http://www.wikidata.org/entity/Q955464" TargetMode="External"/><Relationship Id="rId2440" Type="http://schemas.openxmlformats.org/officeDocument/2006/relationships/hyperlink" Target="http://www.wikidata.org/entity/Q822307" TargetMode="External"/><Relationship Id="rId3770" Type="http://schemas.openxmlformats.org/officeDocument/2006/relationships/hyperlink" Target="http://www.wikidata.org/entity/Q118136722" TargetMode="External"/><Relationship Id="rId521" Type="http://schemas.openxmlformats.org/officeDocument/2006/relationships/hyperlink" Target="http://commons.wikimedia.org/wiki/Special:FilePath/Portret%20van%20Jan%20Nolet%20de%20Brauwere%20van%20Steeland%2C%20RP-P-1906-1206.jpg" TargetMode="External"/><Relationship Id="rId1110" Type="http://schemas.openxmlformats.org/officeDocument/2006/relationships/hyperlink" Target="http://www.wikidata.org/entity/Q2251335" TargetMode="External"/><Relationship Id="rId2441" Type="http://schemas.openxmlformats.org/officeDocument/2006/relationships/hyperlink" Target="http://www.wikidata.org/entity/Q219477" TargetMode="External"/><Relationship Id="rId3773" Type="http://schemas.openxmlformats.org/officeDocument/2006/relationships/hyperlink" Target="http://www.wikidata.org/entity/Q215536" TargetMode="External"/><Relationship Id="rId520" Type="http://schemas.openxmlformats.org/officeDocument/2006/relationships/hyperlink" Target="http://www.wikidata.org/entity/Q36180" TargetMode="External"/><Relationship Id="rId1111" Type="http://schemas.openxmlformats.org/officeDocument/2006/relationships/hyperlink" Target="http://www.wikidata.org/entity/Q110039178" TargetMode="External"/><Relationship Id="rId2442" Type="http://schemas.openxmlformats.org/officeDocument/2006/relationships/hyperlink" Target="http://commons.wikimedia.org/wiki/Special:FilePath/%28Baumg1889%29%20Bernard%20Bernard%20%28Kathol.%20Missionar%20auf%20Island%29.jpg" TargetMode="External"/><Relationship Id="rId3772" Type="http://schemas.openxmlformats.org/officeDocument/2006/relationships/hyperlink" Target="http://www.wikidata.org/entity/Q118495679" TargetMode="External"/><Relationship Id="rId1112" Type="http://schemas.openxmlformats.org/officeDocument/2006/relationships/hyperlink" Target="http://www.wikidata.org/entity/Q11977377" TargetMode="External"/><Relationship Id="rId2443" Type="http://schemas.openxmlformats.org/officeDocument/2006/relationships/hyperlink" Target="http://www.wikidata.org/entity/Q1286149" TargetMode="External"/><Relationship Id="rId3775" Type="http://schemas.openxmlformats.org/officeDocument/2006/relationships/hyperlink" Target="http://www.wikidata.org/entity/Q1162163" TargetMode="External"/><Relationship Id="rId1113" Type="http://schemas.openxmlformats.org/officeDocument/2006/relationships/hyperlink" Target="http://www.wikidata.org/entity/Q42306892" TargetMode="External"/><Relationship Id="rId2444" Type="http://schemas.openxmlformats.org/officeDocument/2006/relationships/hyperlink" Target="http://www.wikidata.org/entity/Q250867" TargetMode="External"/><Relationship Id="rId3774" Type="http://schemas.openxmlformats.org/officeDocument/2006/relationships/hyperlink" Target="http://www.wikidata.org/entity/Q118136722" TargetMode="External"/><Relationship Id="rId1103" Type="http://schemas.openxmlformats.org/officeDocument/2006/relationships/hyperlink" Target="http://www.wikidata.org/entity/Q110039219" TargetMode="External"/><Relationship Id="rId2434" Type="http://schemas.openxmlformats.org/officeDocument/2006/relationships/hyperlink" Target="http://www.wikidata.org/entity/Q1707941" TargetMode="External"/><Relationship Id="rId3766" Type="http://schemas.openxmlformats.org/officeDocument/2006/relationships/hyperlink" Target="http://www.wikidata.org/entity/Q122791049" TargetMode="External"/><Relationship Id="rId1104" Type="http://schemas.openxmlformats.org/officeDocument/2006/relationships/hyperlink" Target="http://www.wikidata.org/entity/Q1753370" TargetMode="External"/><Relationship Id="rId2435" Type="http://schemas.openxmlformats.org/officeDocument/2006/relationships/hyperlink" Target="http://www.wikidata.org/entity/Q36834" TargetMode="External"/><Relationship Id="rId3765" Type="http://schemas.openxmlformats.org/officeDocument/2006/relationships/hyperlink" Target="http://www.wikidata.org/entity/Q1753370" TargetMode="External"/><Relationship Id="rId1105" Type="http://schemas.openxmlformats.org/officeDocument/2006/relationships/hyperlink" Target="http://www.wikidata.org/entity/Q110039260" TargetMode="External"/><Relationship Id="rId2436" Type="http://schemas.openxmlformats.org/officeDocument/2006/relationships/hyperlink" Target="http://commons.wikimedia.org/wiki/Special:FilePath/Joseph%20Ryelandt.jpg" TargetMode="External"/><Relationship Id="rId3768" Type="http://schemas.openxmlformats.org/officeDocument/2006/relationships/hyperlink" Target="http://www.wikidata.org/entity/Q120999228" TargetMode="External"/><Relationship Id="rId1106" Type="http://schemas.openxmlformats.org/officeDocument/2006/relationships/hyperlink" Target="http://www.wikidata.org/entity/Q1753370" TargetMode="External"/><Relationship Id="rId2437" Type="http://schemas.openxmlformats.org/officeDocument/2006/relationships/hyperlink" Target="http://www.wikidata.org/entity/Q784390" TargetMode="External"/><Relationship Id="rId3767" Type="http://schemas.openxmlformats.org/officeDocument/2006/relationships/hyperlink" Target="http://www.wikidata.org/entity/Q49757" TargetMode="External"/><Relationship Id="rId1107" Type="http://schemas.openxmlformats.org/officeDocument/2006/relationships/hyperlink" Target="http://www.wikidata.org/entity/Q110039180" TargetMode="External"/><Relationship Id="rId2438" Type="http://schemas.openxmlformats.org/officeDocument/2006/relationships/hyperlink" Target="http://www.wikidata.org/entity/Q36180" TargetMode="External"/><Relationship Id="rId1108" Type="http://schemas.openxmlformats.org/officeDocument/2006/relationships/hyperlink" Target="http://www.wikidata.org/entity/Q1753370" TargetMode="External"/><Relationship Id="rId2439" Type="http://schemas.openxmlformats.org/officeDocument/2006/relationships/hyperlink" Target="http://commons.wikimedia.org/wiki/Special:FilePath/Portret%20van%20Paul%20Alberdingk%20Thijm.jpg" TargetMode="External"/><Relationship Id="rId3769" Type="http://schemas.openxmlformats.org/officeDocument/2006/relationships/hyperlink" Target="http://www.wikidata.org/entity/Q435940" TargetMode="External"/><Relationship Id="rId1109" Type="http://schemas.openxmlformats.org/officeDocument/2006/relationships/hyperlink" Target="http://www.wikidata.org/entity/Q115834868" TargetMode="External"/><Relationship Id="rId519" Type="http://schemas.openxmlformats.org/officeDocument/2006/relationships/hyperlink" Target="http://www.wikidata.org/entity/Q329468" TargetMode="External"/><Relationship Id="rId514" Type="http://schemas.openxmlformats.org/officeDocument/2006/relationships/hyperlink" Target="http://www.wikidata.org/entity/Q201788" TargetMode="External"/><Relationship Id="rId513" Type="http://schemas.openxmlformats.org/officeDocument/2006/relationships/hyperlink" Target="http://www.wikidata.org/entity/Q2159132" TargetMode="External"/><Relationship Id="rId512" Type="http://schemas.openxmlformats.org/officeDocument/2006/relationships/hyperlink" Target="http://www.wikidata.org/entity/Q1402736" TargetMode="External"/><Relationship Id="rId511" Type="http://schemas.openxmlformats.org/officeDocument/2006/relationships/hyperlink" Target="http://www.wikidata.org/entity/Q21549953" TargetMode="External"/><Relationship Id="rId518" Type="http://schemas.openxmlformats.org/officeDocument/2006/relationships/hyperlink" Target="http://commons.wikimedia.org/wiki/Special:FilePath/James%20Weale.jpg" TargetMode="External"/><Relationship Id="rId517" Type="http://schemas.openxmlformats.org/officeDocument/2006/relationships/hyperlink" Target="http://www.wikidata.org/entity/Q780596" TargetMode="External"/><Relationship Id="rId516" Type="http://schemas.openxmlformats.org/officeDocument/2006/relationships/hyperlink" Target="http://www.wikidata.org/entity/Q2062803" TargetMode="External"/><Relationship Id="rId515" Type="http://schemas.openxmlformats.org/officeDocument/2006/relationships/hyperlink" Target="http://commons.wikimedia.org/wiki/Special:FilePath/Pieter%20Lansens.jpg" TargetMode="External"/><Relationship Id="rId3760" Type="http://schemas.openxmlformats.org/officeDocument/2006/relationships/hyperlink" Target="http://www.wikidata.org/entity/Q119040262" TargetMode="External"/><Relationship Id="rId510" Type="http://schemas.openxmlformats.org/officeDocument/2006/relationships/hyperlink" Target="http://commons.wikimedia.org/wiki/Special:FilePath/James%20Weale.jpg" TargetMode="External"/><Relationship Id="rId2430" Type="http://schemas.openxmlformats.org/officeDocument/2006/relationships/hyperlink" Target="http://www.wikidata.org/entity/Q14915627" TargetMode="External"/><Relationship Id="rId3762" Type="http://schemas.openxmlformats.org/officeDocument/2006/relationships/hyperlink" Target="http://www.wikidata.org/entity/Q119041387" TargetMode="External"/><Relationship Id="rId1100" Type="http://schemas.openxmlformats.org/officeDocument/2006/relationships/hyperlink" Target="http://www.wikidata.org/entity/Q1162163" TargetMode="External"/><Relationship Id="rId2431" Type="http://schemas.openxmlformats.org/officeDocument/2006/relationships/hyperlink" Target="http://commons.wikimedia.org/wiki/Special:FilePath/Joseph%20Ryelandt.jpg" TargetMode="External"/><Relationship Id="rId3761" Type="http://schemas.openxmlformats.org/officeDocument/2006/relationships/hyperlink" Target="http://www.wikidata.org/entity/Q774306" TargetMode="External"/><Relationship Id="rId1101" Type="http://schemas.openxmlformats.org/officeDocument/2006/relationships/hyperlink" Target="http://www.wikidata.org/entity/Q115835156" TargetMode="External"/><Relationship Id="rId2432" Type="http://schemas.openxmlformats.org/officeDocument/2006/relationships/hyperlink" Target="http://www.wikidata.org/entity/Q1851297" TargetMode="External"/><Relationship Id="rId3764" Type="http://schemas.openxmlformats.org/officeDocument/2006/relationships/hyperlink" Target="http://www.wikidata.org/entity/Q120884878" TargetMode="External"/><Relationship Id="rId1102" Type="http://schemas.openxmlformats.org/officeDocument/2006/relationships/hyperlink" Target="http://www.wikidata.org/entity/Q250867" TargetMode="External"/><Relationship Id="rId2433" Type="http://schemas.openxmlformats.org/officeDocument/2006/relationships/hyperlink" Target="http://www.wikidata.org/entity/Q82955" TargetMode="External"/><Relationship Id="rId3763" Type="http://schemas.openxmlformats.org/officeDocument/2006/relationships/hyperlink" Target="http://www.wikidata.org/entity/Q82955" TargetMode="External"/><Relationship Id="rId3711" Type="http://schemas.openxmlformats.org/officeDocument/2006/relationships/hyperlink" Target="http://www.wikidata.org/entity/Q115818541" TargetMode="External"/><Relationship Id="rId3710" Type="http://schemas.openxmlformats.org/officeDocument/2006/relationships/hyperlink" Target="http://www.wikidata.org/entity/Q114371470" TargetMode="External"/><Relationship Id="rId3713" Type="http://schemas.openxmlformats.org/officeDocument/2006/relationships/hyperlink" Target="http://www.wikidata.org/entity/Q115836217" TargetMode="External"/><Relationship Id="rId3712" Type="http://schemas.openxmlformats.org/officeDocument/2006/relationships/hyperlink" Target="http://www.wikidata.org/entity/Q250867" TargetMode="External"/><Relationship Id="rId3715" Type="http://schemas.openxmlformats.org/officeDocument/2006/relationships/hyperlink" Target="http://www.wikidata.org/entity/Q115836783" TargetMode="External"/><Relationship Id="rId3714" Type="http://schemas.openxmlformats.org/officeDocument/2006/relationships/hyperlink" Target="http://www.wikidata.org/entity/Q114371470" TargetMode="External"/><Relationship Id="rId3717" Type="http://schemas.openxmlformats.org/officeDocument/2006/relationships/hyperlink" Target="http://www.wikidata.org/entity/Q115836783" TargetMode="External"/><Relationship Id="rId3716" Type="http://schemas.openxmlformats.org/officeDocument/2006/relationships/hyperlink" Target="http://www.wikidata.org/entity/Q114371470" TargetMode="External"/><Relationship Id="rId3719" Type="http://schemas.openxmlformats.org/officeDocument/2006/relationships/hyperlink" Target="http://www.wikidata.org/entity/Q115818541" TargetMode="External"/><Relationship Id="rId3718" Type="http://schemas.openxmlformats.org/officeDocument/2006/relationships/hyperlink" Target="http://www.wikidata.org/entity/Q115705951" TargetMode="External"/><Relationship Id="rId3700" Type="http://schemas.openxmlformats.org/officeDocument/2006/relationships/hyperlink" Target="http://www.wikidata.org/entity/Q45684" TargetMode="External"/><Relationship Id="rId3702" Type="http://schemas.openxmlformats.org/officeDocument/2006/relationships/hyperlink" Target="http://www.wikidata.org/entity/Q121594" TargetMode="External"/><Relationship Id="rId3701" Type="http://schemas.openxmlformats.org/officeDocument/2006/relationships/hyperlink" Target="http://www.wikidata.org/entity/Q75320317" TargetMode="External"/><Relationship Id="rId3704" Type="http://schemas.openxmlformats.org/officeDocument/2006/relationships/hyperlink" Target="http://www.wikidata.org/entity/Q45684" TargetMode="External"/><Relationship Id="rId3703" Type="http://schemas.openxmlformats.org/officeDocument/2006/relationships/hyperlink" Target="http://www.wikidata.org/entity/Q115823191" TargetMode="External"/><Relationship Id="rId3706" Type="http://schemas.openxmlformats.org/officeDocument/2006/relationships/hyperlink" Target="http://www.wikidata.org/entity/Q36180" TargetMode="External"/><Relationship Id="rId3705" Type="http://schemas.openxmlformats.org/officeDocument/2006/relationships/hyperlink" Target="http://www.wikidata.org/entity/Q115829884" TargetMode="External"/><Relationship Id="rId3708" Type="http://schemas.openxmlformats.org/officeDocument/2006/relationships/hyperlink" Target="http://www.wikidata.org/entity/Q49757" TargetMode="External"/><Relationship Id="rId3707" Type="http://schemas.openxmlformats.org/officeDocument/2006/relationships/hyperlink" Target="http://www.wikidata.org/entity/Q14331462" TargetMode="External"/><Relationship Id="rId3709" Type="http://schemas.openxmlformats.org/officeDocument/2006/relationships/hyperlink" Target="http://www.wikidata.org/entity/Q115818541" TargetMode="External"/><Relationship Id="rId2401" Type="http://schemas.openxmlformats.org/officeDocument/2006/relationships/hyperlink" Target="http://www.wikidata.org/entity/Q14467526" TargetMode="External"/><Relationship Id="rId3733" Type="http://schemas.openxmlformats.org/officeDocument/2006/relationships/hyperlink" Target="http://www.wikidata.org/entity/Q115838569" TargetMode="External"/><Relationship Id="rId2402" Type="http://schemas.openxmlformats.org/officeDocument/2006/relationships/hyperlink" Target="http://commons.wikimedia.org/wiki/Special:FilePath/Johan%20Winkler.jpg" TargetMode="External"/><Relationship Id="rId3732" Type="http://schemas.openxmlformats.org/officeDocument/2006/relationships/hyperlink" Target="http://www.wikidata.org/entity/Q756215" TargetMode="External"/><Relationship Id="rId2403" Type="http://schemas.openxmlformats.org/officeDocument/2006/relationships/hyperlink" Target="http://www.wikidata.org/entity/Q2675588" TargetMode="External"/><Relationship Id="rId3735" Type="http://schemas.openxmlformats.org/officeDocument/2006/relationships/hyperlink" Target="http://www.wikidata.org/entity/Q115840234" TargetMode="External"/><Relationship Id="rId2404" Type="http://schemas.openxmlformats.org/officeDocument/2006/relationships/hyperlink" Target="http://www.wikidata.org/entity/Q1753370" TargetMode="External"/><Relationship Id="rId3734" Type="http://schemas.openxmlformats.org/officeDocument/2006/relationships/hyperlink" Target="http://www.wikidata.org/entity/Q250867" TargetMode="External"/><Relationship Id="rId2405" Type="http://schemas.openxmlformats.org/officeDocument/2006/relationships/hyperlink" Target="http://www.wikidata.org/entity/Q55911879" TargetMode="External"/><Relationship Id="rId3737" Type="http://schemas.openxmlformats.org/officeDocument/2006/relationships/hyperlink" Target="http://www.wikidata.org/entity/Q115837646" TargetMode="External"/><Relationship Id="rId2406" Type="http://schemas.openxmlformats.org/officeDocument/2006/relationships/hyperlink" Target="http://www.wikidata.org/entity/Q2251335" TargetMode="External"/><Relationship Id="rId3736" Type="http://schemas.openxmlformats.org/officeDocument/2006/relationships/hyperlink" Target="http://www.wikidata.org/entity/Q955464" TargetMode="External"/><Relationship Id="rId2407" Type="http://schemas.openxmlformats.org/officeDocument/2006/relationships/hyperlink" Target="http://www.wikidata.org/entity/Q18655152" TargetMode="External"/><Relationship Id="rId3739" Type="http://schemas.openxmlformats.org/officeDocument/2006/relationships/hyperlink" Target="http://www.wikidata.org/entity/Q115840234" TargetMode="External"/><Relationship Id="rId2408" Type="http://schemas.openxmlformats.org/officeDocument/2006/relationships/hyperlink" Target="http://www.wikidata.org/entity/Q40348" TargetMode="External"/><Relationship Id="rId3738" Type="http://schemas.openxmlformats.org/officeDocument/2006/relationships/hyperlink" Target="http://www.wikidata.org/entity/Q1056310" TargetMode="External"/><Relationship Id="rId2409" Type="http://schemas.openxmlformats.org/officeDocument/2006/relationships/hyperlink" Target="http://commons.wikimedia.org/wiki/Special:FilePath/NapoleonDePauw.jpg" TargetMode="External"/><Relationship Id="rId3731" Type="http://schemas.openxmlformats.org/officeDocument/2006/relationships/hyperlink" Target="http://www.wikidata.org/entity/Q115818541" TargetMode="External"/><Relationship Id="rId2400" Type="http://schemas.openxmlformats.org/officeDocument/2006/relationships/hyperlink" Target="http://www.wikidata.org/entity/Q2491266" TargetMode="External"/><Relationship Id="rId3730" Type="http://schemas.openxmlformats.org/officeDocument/2006/relationships/hyperlink" Target="http://www.wikidata.org/entity/Q1162163" TargetMode="External"/><Relationship Id="rId3722" Type="http://schemas.openxmlformats.org/officeDocument/2006/relationships/hyperlink" Target="http://www.wikidata.org/entity/Q1753370" TargetMode="External"/><Relationship Id="rId3721" Type="http://schemas.openxmlformats.org/officeDocument/2006/relationships/hyperlink" Target="http://www.wikidata.org/entity/Q115818541" TargetMode="External"/><Relationship Id="rId3724" Type="http://schemas.openxmlformats.org/officeDocument/2006/relationships/hyperlink" Target="http://www.wikidata.org/entity/Q955464" TargetMode="External"/><Relationship Id="rId3723" Type="http://schemas.openxmlformats.org/officeDocument/2006/relationships/hyperlink" Target="http://www.wikidata.org/entity/Q115836783" TargetMode="External"/><Relationship Id="rId3726" Type="http://schemas.openxmlformats.org/officeDocument/2006/relationships/hyperlink" Target="http://www.wikidata.org/entity/Q250867" TargetMode="External"/><Relationship Id="rId3725" Type="http://schemas.openxmlformats.org/officeDocument/2006/relationships/hyperlink" Target="http://www.wikidata.org/entity/Q115836217" TargetMode="External"/><Relationship Id="rId3728" Type="http://schemas.openxmlformats.org/officeDocument/2006/relationships/hyperlink" Target="http://www.wikidata.org/entity/Q250867" TargetMode="External"/><Relationship Id="rId3727" Type="http://schemas.openxmlformats.org/officeDocument/2006/relationships/hyperlink" Target="http://www.wikidata.org/entity/Q115836783" TargetMode="External"/><Relationship Id="rId3729" Type="http://schemas.openxmlformats.org/officeDocument/2006/relationships/hyperlink" Target="http://www.wikidata.org/entity/Q115838569" TargetMode="External"/><Relationship Id="rId3720" Type="http://schemas.openxmlformats.org/officeDocument/2006/relationships/hyperlink" Target="http://www.wikidata.org/entity/Q14915627" TargetMode="External"/><Relationship Id="rId4206" Type="http://schemas.openxmlformats.org/officeDocument/2006/relationships/hyperlink" Target="http://www.wikidata.org/entity/Q2059291" TargetMode="External"/><Relationship Id="rId4205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4208" Type="http://schemas.openxmlformats.org/officeDocument/2006/relationships/hyperlink" Target="http://www.wikidata.org/entity/Q1280942" TargetMode="External"/><Relationship Id="rId4207" Type="http://schemas.openxmlformats.org/officeDocument/2006/relationships/hyperlink" Target="http://www.wikidata.org/entity/Q36834" TargetMode="External"/><Relationship Id="rId590" Type="http://schemas.openxmlformats.org/officeDocument/2006/relationships/hyperlink" Target="http://www.wikidata.org/entity/Q2251335" TargetMode="External"/><Relationship Id="rId4209" Type="http://schemas.openxmlformats.org/officeDocument/2006/relationships/hyperlink" Target="http://www.wikidata.org/entity/Q811620" TargetMode="External"/><Relationship Id="rId589" Type="http://schemas.openxmlformats.org/officeDocument/2006/relationships/hyperlink" Target="http://www.wikidata.org/entity/Q115818649" TargetMode="External"/><Relationship Id="rId588" Type="http://schemas.openxmlformats.org/officeDocument/2006/relationships/hyperlink" Target="http://www.wikidata.org/entity/Q182436" TargetMode="External"/><Relationship Id="rId1170" Type="http://schemas.openxmlformats.org/officeDocument/2006/relationships/hyperlink" Target="http://www.wikidata.org/entity/Q2251335" TargetMode="External"/><Relationship Id="rId1171" Type="http://schemas.openxmlformats.org/officeDocument/2006/relationships/hyperlink" Target="http://www.wikidata.org/entity/Q115818009" TargetMode="External"/><Relationship Id="rId583" Type="http://schemas.openxmlformats.org/officeDocument/2006/relationships/hyperlink" Target="http://www.wikidata.org/entity/Q115818649" TargetMode="External"/><Relationship Id="rId1172" Type="http://schemas.openxmlformats.org/officeDocument/2006/relationships/hyperlink" Target="http://www.wikidata.org/entity/Q45684" TargetMode="External"/><Relationship Id="rId582" Type="http://schemas.openxmlformats.org/officeDocument/2006/relationships/hyperlink" Target="http://www.wikidata.org/entity/Q955464" TargetMode="External"/><Relationship Id="rId1173" Type="http://schemas.openxmlformats.org/officeDocument/2006/relationships/hyperlink" Target="http://www.wikidata.org/entity/Q37766220" TargetMode="External"/><Relationship Id="rId581" Type="http://schemas.openxmlformats.org/officeDocument/2006/relationships/hyperlink" Target="http://www.wikidata.org/entity/Q115819139" TargetMode="External"/><Relationship Id="rId1174" Type="http://schemas.openxmlformats.org/officeDocument/2006/relationships/hyperlink" Target="http://www.wikidata.org/entity/Q6673651" TargetMode="External"/><Relationship Id="rId4200" Type="http://schemas.openxmlformats.org/officeDocument/2006/relationships/hyperlink" Target="http://www.wikidata.org/entity/Q219477" TargetMode="External"/><Relationship Id="rId580" Type="http://schemas.openxmlformats.org/officeDocument/2006/relationships/hyperlink" Target="http://www.wikidata.org/entity/Q2251335" TargetMode="External"/><Relationship Id="rId1175" Type="http://schemas.openxmlformats.org/officeDocument/2006/relationships/hyperlink" Target="http://www.wikidata.org/entity/Q37766220" TargetMode="External"/><Relationship Id="rId587" Type="http://schemas.openxmlformats.org/officeDocument/2006/relationships/hyperlink" Target="http://www.wikidata.org/entity/Q86735347" TargetMode="External"/><Relationship Id="rId1176" Type="http://schemas.openxmlformats.org/officeDocument/2006/relationships/hyperlink" Target="http://www.wikidata.org/entity/Q883211" TargetMode="External"/><Relationship Id="rId4202" Type="http://schemas.openxmlformats.org/officeDocument/2006/relationships/hyperlink" Target="http://www.wikidata.org/entity/Q215793" TargetMode="External"/><Relationship Id="rId586" Type="http://schemas.openxmlformats.org/officeDocument/2006/relationships/hyperlink" Target="http://www.wikidata.org/entity/Q955464" TargetMode="External"/><Relationship Id="rId1177" Type="http://schemas.openxmlformats.org/officeDocument/2006/relationships/hyperlink" Target="http://www.wikidata.org/entity/Q37766220" TargetMode="External"/><Relationship Id="rId4201" Type="http://schemas.openxmlformats.org/officeDocument/2006/relationships/hyperlink" Target="http://www.wikidata.org/entity/Q2059291" TargetMode="External"/><Relationship Id="rId585" Type="http://schemas.openxmlformats.org/officeDocument/2006/relationships/hyperlink" Target="http://www.wikidata.org/entity/Q110039159" TargetMode="External"/><Relationship Id="rId1178" Type="http://schemas.openxmlformats.org/officeDocument/2006/relationships/hyperlink" Target="http://www.wikidata.org/entity/Q641208" TargetMode="External"/><Relationship Id="rId4204" Type="http://schemas.openxmlformats.org/officeDocument/2006/relationships/hyperlink" Target="http://www.wikidata.org/entity/Q82955" TargetMode="External"/><Relationship Id="rId584" Type="http://schemas.openxmlformats.org/officeDocument/2006/relationships/hyperlink" Target="http://www.wikidata.org/entity/Q250867" TargetMode="External"/><Relationship Id="rId1179" Type="http://schemas.openxmlformats.org/officeDocument/2006/relationships/hyperlink" Target="http://www.wikidata.org/entity/Q21549953" TargetMode="External"/><Relationship Id="rId4203" Type="http://schemas.openxmlformats.org/officeDocument/2006/relationships/hyperlink" Target="http://www.wikidata.org/entity/Q1280942" TargetMode="External"/><Relationship Id="rId1169" Type="http://schemas.openxmlformats.org/officeDocument/2006/relationships/hyperlink" Target="http://www.wikidata.org/entity/Q42196616" TargetMode="External"/><Relationship Id="rId579" Type="http://schemas.openxmlformats.org/officeDocument/2006/relationships/hyperlink" Target="http://www.wikidata.org/entity/Q115813641" TargetMode="External"/><Relationship Id="rId578" Type="http://schemas.openxmlformats.org/officeDocument/2006/relationships/hyperlink" Target="http://www.wikidata.org/entity/Q1072363" TargetMode="External"/><Relationship Id="rId577" Type="http://schemas.openxmlformats.org/officeDocument/2006/relationships/hyperlink" Target="http://www.wikidata.org/entity/Q115818649" TargetMode="External"/><Relationship Id="rId2490" Type="http://schemas.openxmlformats.org/officeDocument/2006/relationships/hyperlink" Target="http://www.wikidata.org/entity/Q115811038" TargetMode="External"/><Relationship Id="rId1160" Type="http://schemas.openxmlformats.org/officeDocument/2006/relationships/hyperlink" Target="http://www.wikidata.org/entity/Q49757" TargetMode="External"/><Relationship Id="rId2491" Type="http://schemas.openxmlformats.org/officeDocument/2006/relationships/hyperlink" Target="http://www.wikidata.org/entity/Q955464" TargetMode="External"/><Relationship Id="rId572" Type="http://schemas.openxmlformats.org/officeDocument/2006/relationships/hyperlink" Target="http://www.wikidata.org/entity/Q219477" TargetMode="External"/><Relationship Id="rId1161" Type="http://schemas.openxmlformats.org/officeDocument/2006/relationships/hyperlink" Target="http://www.wikidata.org/entity/Q110039180" TargetMode="External"/><Relationship Id="rId2492" Type="http://schemas.openxmlformats.org/officeDocument/2006/relationships/hyperlink" Target="http://www.wikidata.org/entity/Q115811334" TargetMode="External"/><Relationship Id="rId571" Type="http://schemas.openxmlformats.org/officeDocument/2006/relationships/hyperlink" Target="http://www.wikidata.org/entity/Q115816445" TargetMode="External"/><Relationship Id="rId1162" Type="http://schemas.openxmlformats.org/officeDocument/2006/relationships/hyperlink" Target="http://www.wikidata.org/entity/Q42603" TargetMode="External"/><Relationship Id="rId2493" Type="http://schemas.openxmlformats.org/officeDocument/2006/relationships/hyperlink" Target="http://www.wikidata.org/entity/Q955464" TargetMode="External"/><Relationship Id="rId570" Type="http://schemas.openxmlformats.org/officeDocument/2006/relationships/hyperlink" Target="http://www.wikidata.org/entity/Q25434898" TargetMode="External"/><Relationship Id="rId1163" Type="http://schemas.openxmlformats.org/officeDocument/2006/relationships/hyperlink" Target="http://www.wikidata.org/entity/Q111744944" TargetMode="External"/><Relationship Id="rId2494" Type="http://schemas.openxmlformats.org/officeDocument/2006/relationships/hyperlink" Target="http://www.wikidata.org/entity/Q115811334" TargetMode="External"/><Relationship Id="rId1164" Type="http://schemas.openxmlformats.org/officeDocument/2006/relationships/hyperlink" Target="http://www.wikidata.org/entity/Q998550" TargetMode="External"/><Relationship Id="rId2495" Type="http://schemas.openxmlformats.org/officeDocument/2006/relationships/hyperlink" Target="http://www.wikidata.org/entity/Q1072363" TargetMode="External"/><Relationship Id="rId576" Type="http://schemas.openxmlformats.org/officeDocument/2006/relationships/hyperlink" Target="http://www.wikidata.org/entity/Q955464" TargetMode="External"/><Relationship Id="rId1165" Type="http://schemas.openxmlformats.org/officeDocument/2006/relationships/hyperlink" Target="http://www.wikidata.org/entity/Q42196616" TargetMode="External"/><Relationship Id="rId2496" Type="http://schemas.openxmlformats.org/officeDocument/2006/relationships/hyperlink" Target="http://www.wikidata.org/entity/Q115806479" TargetMode="External"/><Relationship Id="rId575" Type="http://schemas.openxmlformats.org/officeDocument/2006/relationships/hyperlink" Target="http://www.wikidata.org/entity/Q115818649" TargetMode="External"/><Relationship Id="rId1166" Type="http://schemas.openxmlformats.org/officeDocument/2006/relationships/hyperlink" Target="http://www.wikidata.org/entity/Q333634" TargetMode="External"/><Relationship Id="rId2497" Type="http://schemas.openxmlformats.org/officeDocument/2006/relationships/hyperlink" Target="http://www.wikidata.org/entity/Q2251335" TargetMode="External"/><Relationship Id="rId574" Type="http://schemas.openxmlformats.org/officeDocument/2006/relationships/hyperlink" Target="http://www.wikidata.org/entity/Q250867" TargetMode="External"/><Relationship Id="rId1167" Type="http://schemas.openxmlformats.org/officeDocument/2006/relationships/hyperlink" Target="http://www.wikidata.org/entity/Q42196616" TargetMode="External"/><Relationship Id="rId2498" Type="http://schemas.openxmlformats.org/officeDocument/2006/relationships/hyperlink" Target="http://www.wikidata.org/entity/Q115811038" TargetMode="External"/><Relationship Id="rId573" Type="http://schemas.openxmlformats.org/officeDocument/2006/relationships/hyperlink" Target="http://www.wikidata.org/entity/Q115816445" TargetMode="External"/><Relationship Id="rId1168" Type="http://schemas.openxmlformats.org/officeDocument/2006/relationships/hyperlink" Target="http://www.wikidata.org/entity/Q250867" TargetMode="External"/><Relationship Id="rId2499" Type="http://schemas.openxmlformats.org/officeDocument/2006/relationships/hyperlink" Target="http://www.wikidata.org/entity/Q250867" TargetMode="External"/><Relationship Id="rId4228" Type="http://schemas.openxmlformats.org/officeDocument/2006/relationships/hyperlink" Target="http://www.wikidata.org/entity/Q64302" TargetMode="External"/><Relationship Id="rId4227" Type="http://schemas.openxmlformats.org/officeDocument/2006/relationships/hyperlink" Target="http://commons.wikimedia.org/wiki/Special:FilePath/Bidprentje%20Monica%20De%20Vriese.jpg" TargetMode="External"/><Relationship Id="rId4229" Type="http://schemas.openxmlformats.org/officeDocument/2006/relationships/hyperlink" Target="http://www.wikidata.org/entity/Q1371378" TargetMode="External"/><Relationship Id="rId1190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191" Type="http://schemas.openxmlformats.org/officeDocument/2006/relationships/hyperlink" Target="http://www.wikidata.org/entity/Q115830433" TargetMode="External"/><Relationship Id="rId1192" Type="http://schemas.openxmlformats.org/officeDocument/2006/relationships/hyperlink" Target="http://www.wikidata.org/entity/Q59308086" TargetMode="External"/><Relationship Id="rId1193" Type="http://schemas.openxmlformats.org/officeDocument/2006/relationships/hyperlink" Target="http://www.wikidata.org/entity/Q115807960" TargetMode="External"/><Relationship Id="rId1194" Type="http://schemas.openxmlformats.org/officeDocument/2006/relationships/hyperlink" Target="http://www.wikidata.org/entity/Q219477" TargetMode="External"/><Relationship Id="rId4220" Type="http://schemas.openxmlformats.org/officeDocument/2006/relationships/hyperlink" Target="http://www.wikidata.org/entity/Q116689485" TargetMode="External"/><Relationship Id="rId1195" Type="http://schemas.openxmlformats.org/officeDocument/2006/relationships/hyperlink" Target="http://www.wikidata.org/entity/Q115807960" TargetMode="External"/><Relationship Id="rId1196" Type="http://schemas.openxmlformats.org/officeDocument/2006/relationships/hyperlink" Target="http://www.wikidata.org/entity/Q250867" TargetMode="External"/><Relationship Id="rId4222" Type="http://schemas.openxmlformats.org/officeDocument/2006/relationships/hyperlink" Target="http://www.wikidata.org/entity/Q116687284" TargetMode="External"/><Relationship Id="rId1197" Type="http://schemas.openxmlformats.org/officeDocument/2006/relationships/hyperlink" Target="http://www.wikidata.org/entity/Q113925472" TargetMode="External"/><Relationship Id="rId4221" Type="http://schemas.openxmlformats.org/officeDocument/2006/relationships/hyperlink" Target="http://www.wikidata.org/entity/Q1776501" TargetMode="External"/><Relationship Id="rId1198" Type="http://schemas.openxmlformats.org/officeDocument/2006/relationships/hyperlink" Target="http://www.wikidata.org/entity/Q219477" TargetMode="External"/><Relationship Id="rId4224" Type="http://schemas.openxmlformats.org/officeDocument/2006/relationships/hyperlink" Target="http://www.wikidata.org/entity/Q242468" TargetMode="External"/><Relationship Id="rId1199" Type="http://schemas.openxmlformats.org/officeDocument/2006/relationships/hyperlink" Target="http://www.wikidata.org/entity/Q113925472" TargetMode="External"/><Relationship Id="rId4223" Type="http://schemas.openxmlformats.org/officeDocument/2006/relationships/hyperlink" Target="http://www.wikidata.org/entity/Q117409336" TargetMode="External"/><Relationship Id="rId4226" Type="http://schemas.openxmlformats.org/officeDocument/2006/relationships/hyperlink" Target="http://www.wikidata.org/entity/Q19968805" TargetMode="External"/><Relationship Id="rId4225" Type="http://schemas.openxmlformats.org/officeDocument/2006/relationships/hyperlink" Target="http://www.wikidata.org/entity/Q15982597" TargetMode="External"/><Relationship Id="rId4217" Type="http://schemas.openxmlformats.org/officeDocument/2006/relationships/hyperlink" Target="http://www.wikidata.org/entity/Q2675537" TargetMode="External"/><Relationship Id="rId4216" Type="http://schemas.openxmlformats.org/officeDocument/2006/relationships/hyperlink" Target="http://www.wikidata.org/entity/Q2059291" TargetMode="External"/><Relationship Id="rId4219" Type="http://schemas.openxmlformats.org/officeDocument/2006/relationships/hyperlink" Target="http://www.wikidata.org/entity/Q191808" TargetMode="External"/><Relationship Id="rId4218" Type="http://schemas.openxmlformats.org/officeDocument/2006/relationships/hyperlink" Target="http://www.wikidata.org/entity/Q116689485" TargetMode="External"/><Relationship Id="rId599" Type="http://schemas.openxmlformats.org/officeDocument/2006/relationships/hyperlink" Target="http://www.wikidata.org/entity/Q86735347" TargetMode="External"/><Relationship Id="rId1180" Type="http://schemas.openxmlformats.org/officeDocument/2006/relationships/hyperlink" Target="http://www.wikidata.org/entity/Q13418253" TargetMode="External"/><Relationship Id="rId1181" Type="http://schemas.openxmlformats.org/officeDocument/2006/relationships/hyperlink" Target="http://www.wikidata.org/entity/Q42196616" TargetMode="External"/><Relationship Id="rId1182" Type="http://schemas.openxmlformats.org/officeDocument/2006/relationships/hyperlink" Target="http://www.wikidata.org/entity/Q1958649" TargetMode="External"/><Relationship Id="rId594" Type="http://schemas.openxmlformats.org/officeDocument/2006/relationships/hyperlink" Target="http://www.wikidata.org/entity/Q1753370" TargetMode="External"/><Relationship Id="rId1183" Type="http://schemas.openxmlformats.org/officeDocument/2006/relationships/hyperlink" Target="http://www.wikidata.org/entity/Q56036018" TargetMode="External"/><Relationship Id="rId593" Type="http://schemas.openxmlformats.org/officeDocument/2006/relationships/hyperlink" Target="http://www.wikidata.org/entity/Q115809464" TargetMode="External"/><Relationship Id="rId1184" Type="http://schemas.openxmlformats.org/officeDocument/2006/relationships/hyperlink" Target="http://www.wikidata.org/entity/Q3704253" TargetMode="External"/><Relationship Id="rId592" Type="http://schemas.openxmlformats.org/officeDocument/2006/relationships/hyperlink" Target="http://www.wikidata.org/entity/Q2251335" TargetMode="External"/><Relationship Id="rId1185" Type="http://schemas.openxmlformats.org/officeDocument/2006/relationships/hyperlink" Target="http://commons.wikimedia.org/wiki/Special:FilePath/Alexandre%20Bonvarlet%20by%20Michel%20Berthaud.jpg" TargetMode="External"/><Relationship Id="rId4211" Type="http://schemas.openxmlformats.org/officeDocument/2006/relationships/hyperlink" Target="http://www.wikidata.org/entity/Q1280942" TargetMode="External"/><Relationship Id="rId591" Type="http://schemas.openxmlformats.org/officeDocument/2006/relationships/hyperlink" Target="http://www.wikidata.org/entity/Q115819139" TargetMode="External"/><Relationship Id="rId1186" Type="http://schemas.openxmlformats.org/officeDocument/2006/relationships/hyperlink" Target="http://www.wikidata.org/entity/Q114081509" TargetMode="External"/><Relationship Id="rId4210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598" Type="http://schemas.openxmlformats.org/officeDocument/2006/relationships/hyperlink" Target="http://www.wikidata.org/entity/Q1622272" TargetMode="External"/><Relationship Id="rId1187" Type="http://schemas.openxmlformats.org/officeDocument/2006/relationships/hyperlink" Target="http://www.wikidata.org/entity/Q36180" TargetMode="External"/><Relationship Id="rId4213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597" Type="http://schemas.openxmlformats.org/officeDocument/2006/relationships/hyperlink" Target="http://www.wikidata.org/entity/Q55232762" TargetMode="External"/><Relationship Id="rId1188" Type="http://schemas.openxmlformats.org/officeDocument/2006/relationships/hyperlink" Target="http://www.wikidata.org/entity/Q23895006" TargetMode="External"/><Relationship Id="rId4212" Type="http://schemas.openxmlformats.org/officeDocument/2006/relationships/hyperlink" Target="http://www.wikidata.org/entity/Q40348" TargetMode="External"/><Relationship Id="rId596" Type="http://schemas.openxmlformats.org/officeDocument/2006/relationships/hyperlink" Target="http://www.wikidata.org/entity/Q2251335" TargetMode="External"/><Relationship Id="rId1189" Type="http://schemas.openxmlformats.org/officeDocument/2006/relationships/hyperlink" Target="http://www.wikidata.org/entity/Q2251335" TargetMode="External"/><Relationship Id="rId4215" Type="http://schemas.openxmlformats.org/officeDocument/2006/relationships/hyperlink" Target="http://www.wikidata.org/entity/Q2516866" TargetMode="External"/><Relationship Id="rId595" Type="http://schemas.openxmlformats.org/officeDocument/2006/relationships/hyperlink" Target="http://www.wikidata.org/entity/Q110039159" TargetMode="External"/><Relationship Id="rId4214" Type="http://schemas.openxmlformats.org/officeDocument/2006/relationships/hyperlink" Target="http://www.wikidata.org/entity/Q2059291" TargetMode="External"/><Relationship Id="rId1136" Type="http://schemas.openxmlformats.org/officeDocument/2006/relationships/hyperlink" Target="http://www.wikidata.org/entity/Q2251335" TargetMode="External"/><Relationship Id="rId2467" Type="http://schemas.openxmlformats.org/officeDocument/2006/relationships/hyperlink" Target="http://www.wikidata.org/entity/Q108800792" TargetMode="External"/><Relationship Id="rId3799" Type="http://schemas.openxmlformats.org/officeDocument/2006/relationships/hyperlink" Target="http://www.wikidata.org/entity/Q122833200" TargetMode="External"/><Relationship Id="rId1137" Type="http://schemas.openxmlformats.org/officeDocument/2006/relationships/hyperlink" Target="http://www.wikidata.org/entity/Q56036059" TargetMode="External"/><Relationship Id="rId2468" Type="http://schemas.openxmlformats.org/officeDocument/2006/relationships/hyperlink" Target="http://commons.wikimedia.org/wiki/Special:FilePath/%28Baumg1889%29%20Bernard%20Bernard%20%28Kathol.%20Missionar%20auf%20Island%29.jpg" TargetMode="External"/><Relationship Id="rId3798" Type="http://schemas.openxmlformats.org/officeDocument/2006/relationships/hyperlink" Target="http://www.wikidata.org/entity/Q1622272" TargetMode="External"/><Relationship Id="rId1138" Type="http://schemas.openxmlformats.org/officeDocument/2006/relationships/hyperlink" Target="http://www.wikidata.org/entity/Q40348" TargetMode="External"/><Relationship Id="rId2469" Type="http://schemas.openxmlformats.org/officeDocument/2006/relationships/hyperlink" Target="http://www.wikidata.org/entity/Q18655152" TargetMode="External"/><Relationship Id="rId1139" Type="http://schemas.openxmlformats.org/officeDocument/2006/relationships/hyperlink" Target="http://www.wikidata.org/entity/Q56036059" TargetMode="External"/><Relationship Id="rId547" Type="http://schemas.openxmlformats.org/officeDocument/2006/relationships/hyperlink" Target="http://www.wikidata.org/entity/Q115819139" TargetMode="External"/><Relationship Id="rId546" Type="http://schemas.openxmlformats.org/officeDocument/2006/relationships/hyperlink" Target="http://www.wikidata.org/entity/Q250867" TargetMode="External"/><Relationship Id="rId545" Type="http://schemas.openxmlformats.org/officeDocument/2006/relationships/hyperlink" Target="http://www.wikidata.org/entity/Q115809464" TargetMode="External"/><Relationship Id="rId544" Type="http://schemas.openxmlformats.org/officeDocument/2006/relationships/hyperlink" Target="http://www.wikidata.org/entity/Q12347522" TargetMode="External"/><Relationship Id="rId549" Type="http://schemas.openxmlformats.org/officeDocument/2006/relationships/hyperlink" Target="http://www.wikidata.org/entity/Q37793252" TargetMode="External"/><Relationship Id="rId548" Type="http://schemas.openxmlformats.org/officeDocument/2006/relationships/hyperlink" Target="http://www.wikidata.org/entity/Q114371470" TargetMode="External"/><Relationship Id="rId3791" Type="http://schemas.openxmlformats.org/officeDocument/2006/relationships/hyperlink" Target="http://www.wikidata.org/entity/Q118136722" TargetMode="External"/><Relationship Id="rId2460" Type="http://schemas.openxmlformats.org/officeDocument/2006/relationships/hyperlink" Target="http://commons.wikimedia.org/wiki/Special:FilePath/Leonard%20Lodewijk%20De%20Bo.jpg" TargetMode="External"/><Relationship Id="rId3790" Type="http://schemas.openxmlformats.org/officeDocument/2006/relationships/hyperlink" Target="http://www.wikidata.org/entity/Q1056391" TargetMode="External"/><Relationship Id="rId1130" Type="http://schemas.openxmlformats.org/officeDocument/2006/relationships/hyperlink" Target="http://www.wikidata.org/entity/Q955464" TargetMode="External"/><Relationship Id="rId2461" Type="http://schemas.openxmlformats.org/officeDocument/2006/relationships/hyperlink" Target="http://www.wikidata.org/entity/Q784390" TargetMode="External"/><Relationship Id="rId3793" Type="http://schemas.openxmlformats.org/officeDocument/2006/relationships/hyperlink" Target="http://www.wikidata.org/entity/Q120333083" TargetMode="External"/><Relationship Id="rId1131" Type="http://schemas.openxmlformats.org/officeDocument/2006/relationships/hyperlink" Target="http://www.wikidata.org/entity/Q101627274" TargetMode="External"/><Relationship Id="rId2462" Type="http://schemas.openxmlformats.org/officeDocument/2006/relationships/hyperlink" Target="http://www.wikidata.org/entity/Q6673651" TargetMode="External"/><Relationship Id="rId3792" Type="http://schemas.openxmlformats.org/officeDocument/2006/relationships/hyperlink" Target="http://www.wikidata.org/entity/Q1104153" TargetMode="External"/><Relationship Id="rId543" Type="http://schemas.openxmlformats.org/officeDocument/2006/relationships/hyperlink" Target="http://www.wikidata.org/entity/Q37793252" TargetMode="External"/><Relationship Id="rId1132" Type="http://schemas.openxmlformats.org/officeDocument/2006/relationships/hyperlink" Target="http://www.wikidata.org/entity/Q1056391" TargetMode="External"/><Relationship Id="rId2463" Type="http://schemas.openxmlformats.org/officeDocument/2006/relationships/hyperlink" Target="http://commons.wikimedia.org/wiki/Special:FilePath/Portret%20van%20Paul%20Alberdingk%20Thijm.jpg" TargetMode="External"/><Relationship Id="rId3795" Type="http://schemas.openxmlformats.org/officeDocument/2006/relationships/hyperlink" Target="http://www.wikidata.org/entity/Q119794240" TargetMode="External"/><Relationship Id="rId542" Type="http://schemas.openxmlformats.org/officeDocument/2006/relationships/hyperlink" Target="http://www.wikidata.org/entity/Q114371470" TargetMode="External"/><Relationship Id="rId1133" Type="http://schemas.openxmlformats.org/officeDocument/2006/relationships/hyperlink" Target="http://www.wikidata.org/entity/Q101627274" TargetMode="External"/><Relationship Id="rId2464" Type="http://schemas.openxmlformats.org/officeDocument/2006/relationships/hyperlink" Target="http://www.wikidata.org/entity/Q55770641" TargetMode="External"/><Relationship Id="rId3794" Type="http://schemas.openxmlformats.org/officeDocument/2006/relationships/hyperlink" Target="http://www.wikidata.org/entity/Q250867" TargetMode="External"/><Relationship Id="rId541" Type="http://schemas.openxmlformats.org/officeDocument/2006/relationships/hyperlink" Target="http://www.wikidata.org/entity/Q115813641" TargetMode="External"/><Relationship Id="rId1134" Type="http://schemas.openxmlformats.org/officeDocument/2006/relationships/hyperlink" Target="http://www.wikidata.org/entity/Q3621491" TargetMode="External"/><Relationship Id="rId2465" Type="http://schemas.openxmlformats.org/officeDocument/2006/relationships/hyperlink" Target="http://www.wikidata.org/entity/Q2114844" TargetMode="External"/><Relationship Id="rId3797" Type="http://schemas.openxmlformats.org/officeDocument/2006/relationships/hyperlink" Target="http://www.wikidata.org/entity/Q120333083" TargetMode="External"/><Relationship Id="rId540" Type="http://schemas.openxmlformats.org/officeDocument/2006/relationships/hyperlink" Target="http://www.wikidata.org/entity/Q864380" TargetMode="External"/><Relationship Id="rId1135" Type="http://schemas.openxmlformats.org/officeDocument/2006/relationships/hyperlink" Target="http://www.wikidata.org/entity/Q101627274" TargetMode="External"/><Relationship Id="rId2466" Type="http://schemas.openxmlformats.org/officeDocument/2006/relationships/hyperlink" Target="http://www.wikidata.org/entity/Q822307" TargetMode="External"/><Relationship Id="rId3796" Type="http://schemas.openxmlformats.org/officeDocument/2006/relationships/hyperlink" Target="http://www.wikidata.org/entity/Q435940" TargetMode="External"/><Relationship Id="rId1125" Type="http://schemas.openxmlformats.org/officeDocument/2006/relationships/hyperlink" Target="http://www.wikidata.org/entity/Q115831919" TargetMode="External"/><Relationship Id="rId2456" Type="http://schemas.openxmlformats.org/officeDocument/2006/relationships/hyperlink" Target="http://www.wikidata.org/entity/Q250867" TargetMode="External"/><Relationship Id="rId3788" Type="http://schemas.openxmlformats.org/officeDocument/2006/relationships/hyperlink" Target="http://www.wikidata.org/entity/Q2251335" TargetMode="External"/><Relationship Id="rId1126" Type="http://schemas.openxmlformats.org/officeDocument/2006/relationships/hyperlink" Target="http://www.wikidata.org/entity/Q1753370" TargetMode="External"/><Relationship Id="rId2457" Type="http://schemas.openxmlformats.org/officeDocument/2006/relationships/hyperlink" Target="http://commons.wikimedia.org/wiki/Special:FilePath/%28Baumg1889%29%20Bernard%20Bernard%20%28Kathol.%20Missionar%20auf%20Island%29.jpg" TargetMode="External"/><Relationship Id="rId3787" Type="http://schemas.openxmlformats.org/officeDocument/2006/relationships/hyperlink" Target="http://www.wikidata.org/entity/Q118136722" TargetMode="External"/><Relationship Id="rId1127" Type="http://schemas.openxmlformats.org/officeDocument/2006/relationships/hyperlink" Target="http://www.wikidata.org/entity/Q115833316" TargetMode="External"/><Relationship Id="rId2458" Type="http://schemas.openxmlformats.org/officeDocument/2006/relationships/hyperlink" Target="http://www.wikidata.org/entity/Q2779054" TargetMode="External"/><Relationship Id="rId1128" Type="http://schemas.openxmlformats.org/officeDocument/2006/relationships/hyperlink" Target="http://www.wikidata.org/entity/Q1753370" TargetMode="External"/><Relationship Id="rId2459" Type="http://schemas.openxmlformats.org/officeDocument/2006/relationships/hyperlink" Target="http://www.wikidata.org/entity/Q114371470" TargetMode="External"/><Relationship Id="rId3789" Type="http://schemas.openxmlformats.org/officeDocument/2006/relationships/hyperlink" Target="http://www.wikidata.org/entity/Q120333083" TargetMode="External"/><Relationship Id="rId1129" Type="http://schemas.openxmlformats.org/officeDocument/2006/relationships/hyperlink" Target="http://www.wikidata.org/entity/Q101627274" TargetMode="External"/><Relationship Id="rId536" Type="http://schemas.openxmlformats.org/officeDocument/2006/relationships/hyperlink" Target="http://commons.wikimedia.org/wiki/Special:FilePath/Portret%20van%20Edmond%20Van%20der%20Straeten%201895%20barcode%20910000105444.jpg" TargetMode="External"/><Relationship Id="rId535" Type="http://schemas.openxmlformats.org/officeDocument/2006/relationships/hyperlink" Target="http://www.wikidata.org/entity/Q212238" TargetMode="External"/><Relationship Id="rId534" Type="http://schemas.openxmlformats.org/officeDocument/2006/relationships/hyperlink" Target="http://www.wikidata.org/entity/Q18533827" TargetMode="External"/><Relationship Id="rId533" Type="http://schemas.openxmlformats.org/officeDocument/2006/relationships/hyperlink" Target="http://www.wikidata.org/entity/Q201788" TargetMode="External"/><Relationship Id="rId539" Type="http://schemas.openxmlformats.org/officeDocument/2006/relationships/hyperlink" Target="http://www.wikidata.org/entity/Q37793252" TargetMode="External"/><Relationship Id="rId538" Type="http://schemas.openxmlformats.org/officeDocument/2006/relationships/hyperlink" Target="http://www.wikidata.org/entity/Q6673651" TargetMode="External"/><Relationship Id="rId537" Type="http://schemas.openxmlformats.org/officeDocument/2006/relationships/hyperlink" Target="http://www.wikidata.org/entity/Q37793252" TargetMode="External"/><Relationship Id="rId3780" Type="http://schemas.openxmlformats.org/officeDocument/2006/relationships/hyperlink" Target="http://www.wikidata.org/entity/Q118136722" TargetMode="External"/><Relationship Id="rId2450" Type="http://schemas.openxmlformats.org/officeDocument/2006/relationships/hyperlink" Target="http://www.wikidata.org/entity/Q36180" TargetMode="External"/><Relationship Id="rId3782" Type="http://schemas.openxmlformats.org/officeDocument/2006/relationships/hyperlink" Target="http://www.wikidata.org/entity/Q116621552" TargetMode="External"/><Relationship Id="rId1120" Type="http://schemas.openxmlformats.org/officeDocument/2006/relationships/hyperlink" Target="http://www.wikidata.org/entity/Q435940" TargetMode="External"/><Relationship Id="rId2451" Type="http://schemas.openxmlformats.org/officeDocument/2006/relationships/hyperlink" Target="http://commons.wikimedia.org/wiki/Special:FilePath/Frederick%20William%20Faber.jpg" TargetMode="External"/><Relationship Id="rId3781" Type="http://schemas.openxmlformats.org/officeDocument/2006/relationships/hyperlink" Target="http://www.wikidata.org/entity/Q1044528" TargetMode="External"/><Relationship Id="rId532" Type="http://schemas.openxmlformats.org/officeDocument/2006/relationships/hyperlink" Target="http://www.wikidata.org/entity/Q18415039" TargetMode="External"/><Relationship Id="rId1121" Type="http://schemas.openxmlformats.org/officeDocument/2006/relationships/hyperlink" Target="http://www.wikidata.org/entity/Q110039180" TargetMode="External"/><Relationship Id="rId2452" Type="http://schemas.openxmlformats.org/officeDocument/2006/relationships/hyperlink" Target="http://www.wikidata.org/entity/Q1286149" TargetMode="External"/><Relationship Id="rId3784" Type="http://schemas.openxmlformats.org/officeDocument/2006/relationships/hyperlink" Target="http://commons.wikimedia.org/wiki/Special:FilePath/Doodsprentje%20Mathilde%20Catteeuw.tif" TargetMode="External"/><Relationship Id="rId531" Type="http://schemas.openxmlformats.org/officeDocument/2006/relationships/hyperlink" Target="http://www.wikidata.org/entity/Q182436" TargetMode="External"/><Relationship Id="rId1122" Type="http://schemas.openxmlformats.org/officeDocument/2006/relationships/hyperlink" Target="http://www.wikidata.org/entity/Q435940" TargetMode="External"/><Relationship Id="rId2453" Type="http://schemas.openxmlformats.org/officeDocument/2006/relationships/hyperlink" Target="http://www.wikidata.org/entity/Q49757" TargetMode="External"/><Relationship Id="rId3783" Type="http://schemas.openxmlformats.org/officeDocument/2006/relationships/hyperlink" Target="http://www.wikidata.org/entity/Q833860" TargetMode="External"/><Relationship Id="rId530" Type="http://schemas.openxmlformats.org/officeDocument/2006/relationships/hyperlink" Target="http://www.wikidata.org/entity/Q18415039" TargetMode="External"/><Relationship Id="rId1123" Type="http://schemas.openxmlformats.org/officeDocument/2006/relationships/hyperlink" Target="http://www.wikidata.org/entity/Q115834868" TargetMode="External"/><Relationship Id="rId2454" Type="http://schemas.openxmlformats.org/officeDocument/2006/relationships/hyperlink" Target="http://commons.wikimedia.org/wiki/Special:FilePath/Frederick%20William%20Faber.jpg" TargetMode="External"/><Relationship Id="rId3786" Type="http://schemas.openxmlformats.org/officeDocument/2006/relationships/hyperlink" Target="http://www.wikidata.org/entity/Q191808" TargetMode="External"/><Relationship Id="rId1124" Type="http://schemas.openxmlformats.org/officeDocument/2006/relationships/hyperlink" Target="http://www.wikidata.org/entity/Q1469535" TargetMode="External"/><Relationship Id="rId2455" Type="http://schemas.openxmlformats.org/officeDocument/2006/relationships/hyperlink" Target="http://www.wikidata.org/entity/Q822307" TargetMode="External"/><Relationship Id="rId3785" Type="http://schemas.openxmlformats.org/officeDocument/2006/relationships/hyperlink" Target="http://www.wikidata.org/entity/Q122833200" TargetMode="External"/><Relationship Id="rId1158" Type="http://schemas.openxmlformats.org/officeDocument/2006/relationships/hyperlink" Target="http://www.wikidata.org/entity/Q201788" TargetMode="External"/><Relationship Id="rId2489" Type="http://schemas.openxmlformats.org/officeDocument/2006/relationships/hyperlink" Target="http://www.wikidata.org/entity/Q955464" TargetMode="External"/><Relationship Id="rId1159" Type="http://schemas.openxmlformats.org/officeDocument/2006/relationships/hyperlink" Target="http://www.wikidata.org/entity/Q110039260" TargetMode="External"/><Relationship Id="rId569" Type="http://schemas.openxmlformats.org/officeDocument/2006/relationships/hyperlink" Target="http://www.wikidata.org/entity/Q22002048" TargetMode="External"/><Relationship Id="rId568" Type="http://schemas.openxmlformats.org/officeDocument/2006/relationships/hyperlink" Target="http://www.wikidata.org/entity/Q3075052" TargetMode="External"/><Relationship Id="rId567" Type="http://schemas.openxmlformats.org/officeDocument/2006/relationships/hyperlink" Target="http://www.wikidata.org/entity/Q37793252" TargetMode="External"/><Relationship Id="rId566" Type="http://schemas.openxmlformats.org/officeDocument/2006/relationships/hyperlink" Target="http://www.wikidata.org/entity/Q250867" TargetMode="External"/><Relationship Id="rId2480" Type="http://schemas.openxmlformats.org/officeDocument/2006/relationships/hyperlink" Target="http://www.wikidata.org/entity/Q1149378" TargetMode="External"/><Relationship Id="rId561" Type="http://schemas.openxmlformats.org/officeDocument/2006/relationships/hyperlink" Target="http://www.wikidata.org/entity/Q113681935" TargetMode="External"/><Relationship Id="rId1150" Type="http://schemas.openxmlformats.org/officeDocument/2006/relationships/hyperlink" Target="http://www.wikidata.org/entity/Q1469535" TargetMode="External"/><Relationship Id="rId2481" Type="http://schemas.openxmlformats.org/officeDocument/2006/relationships/hyperlink" Target="http://www.wikidata.org/entity/Q333634" TargetMode="External"/><Relationship Id="rId560" Type="http://schemas.openxmlformats.org/officeDocument/2006/relationships/hyperlink" Target="http://www.wikidata.org/entity/Q36180" TargetMode="External"/><Relationship Id="rId1151" Type="http://schemas.openxmlformats.org/officeDocument/2006/relationships/hyperlink" Target="http://www.wikidata.org/entity/Q111744944" TargetMode="External"/><Relationship Id="rId2482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1152" Type="http://schemas.openxmlformats.org/officeDocument/2006/relationships/hyperlink" Target="http://www.wikidata.org/entity/Q175151" TargetMode="External"/><Relationship Id="rId2483" Type="http://schemas.openxmlformats.org/officeDocument/2006/relationships/hyperlink" Target="http://www.wikidata.org/entity/Q822307" TargetMode="External"/><Relationship Id="rId1153" Type="http://schemas.openxmlformats.org/officeDocument/2006/relationships/hyperlink" Target="http://www.wikidata.org/entity/Q101627274" TargetMode="External"/><Relationship Id="rId2484" Type="http://schemas.openxmlformats.org/officeDocument/2006/relationships/hyperlink" Target="http://www.wikidata.org/entity/Q1234713" TargetMode="External"/><Relationship Id="rId565" Type="http://schemas.openxmlformats.org/officeDocument/2006/relationships/hyperlink" Target="http://www.wikidata.org/entity/Q115813641" TargetMode="External"/><Relationship Id="rId1154" Type="http://schemas.openxmlformats.org/officeDocument/2006/relationships/hyperlink" Target="http://www.wikidata.org/entity/Q1753370" TargetMode="External"/><Relationship Id="rId2485" Type="http://schemas.openxmlformats.org/officeDocument/2006/relationships/hyperlink" Target="http://commons.wikimedia.org/wiki/Special:FilePath/%28Baumg1889%29%20Bernard%20Bernard%20%28Kathol.%20Missionar%20auf%20Island%29.jpg" TargetMode="External"/><Relationship Id="rId564" Type="http://schemas.openxmlformats.org/officeDocument/2006/relationships/hyperlink" Target="http://www.wikidata.org/entity/Q955464" TargetMode="External"/><Relationship Id="rId1155" Type="http://schemas.openxmlformats.org/officeDocument/2006/relationships/hyperlink" Target="http://www.wikidata.org/entity/Q111744944" TargetMode="External"/><Relationship Id="rId2486" Type="http://schemas.openxmlformats.org/officeDocument/2006/relationships/hyperlink" Target="http://www.wikidata.org/entity/Q115852702" TargetMode="External"/><Relationship Id="rId563" Type="http://schemas.openxmlformats.org/officeDocument/2006/relationships/hyperlink" Target="http://www.wikidata.org/entity/Q115813641" TargetMode="External"/><Relationship Id="rId1156" Type="http://schemas.openxmlformats.org/officeDocument/2006/relationships/hyperlink" Target="http://www.wikidata.org/entity/Q2516866" TargetMode="External"/><Relationship Id="rId2487" Type="http://schemas.openxmlformats.org/officeDocument/2006/relationships/hyperlink" Target="http://www.wikidata.org/entity/Q37226" TargetMode="External"/><Relationship Id="rId562" Type="http://schemas.openxmlformats.org/officeDocument/2006/relationships/hyperlink" Target="http://www.wikidata.org/entity/Q49757" TargetMode="External"/><Relationship Id="rId1157" Type="http://schemas.openxmlformats.org/officeDocument/2006/relationships/hyperlink" Target="http://www.wikidata.org/entity/Q37766220" TargetMode="External"/><Relationship Id="rId2488" Type="http://schemas.openxmlformats.org/officeDocument/2006/relationships/hyperlink" Target="http://www.wikidata.org/entity/Q115806479" TargetMode="External"/><Relationship Id="rId1147" Type="http://schemas.openxmlformats.org/officeDocument/2006/relationships/hyperlink" Target="http://www.wikidata.org/entity/Q115814591" TargetMode="External"/><Relationship Id="rId2478" Type="http://schemas.openxmlformats.org/officeDocument/2006/relationships/hyperlink" Target="http://www.wikidata.org/entity/Q2675588" TargetMode="External"/><Relationship Id="rId1148" Type="http://schemas.openxmlformats.org/officeDocument/2006/relationships/hyperlink" Target="http://www.wikidata.org/entity/Q42603" TargetMode="External"/><Relationship Id="rId2479" Type="http://schemas.openxmlformats.org/officeDocument/2006/relationships/hyperlink" Target="http://www.wikidata.org/entity/Q36834" TargetMode="External"/><Relationship Id="rId1149" Type="http://schemas.openxmlformats.org/officeDocument/2006/relationships/hyperlink" Target="http://www.wikidata.org/entity/Q101627274" TargetMode="External"/><Relationship Id="rId558" Type="http://schemas.openxmlformats.org/officeDocument/2006/relationships/hyperlink" Target="http://www.wikidata.org/entity/Q49757" TargetMode="External"/><Relationship Id="rId557" Type="http://schemas.openxmlformats.org/officeDocument/2006/relationships/hyperlink" Target="http://www.wikidata.org/entity/Q15627098" TargetMode="External"/><Relationship Id="rId556" Type="http://schemas.openxmlformats.org/officeDocument/2006/relationships/hyperlink" Target="http://www.wikidata.org/entity/Q36180" TargetMode="External"/><Relationship Id="rId555" Type="http://schemas.openxmlformats.org/officeDocument/2006/relationships/hyperlink" Target="http://www.wikidata.org/entity/Q15627098" TargetMode="External"/><Relationship Id="rId559" Type="http://schemas.openxmlformats.org/officeDocument/2006/relationships/hyperlink" Target="http://www.wikidata.org/entity/Q113681935" TargetMode="External"/><Relationship Id="rId550" Type="http://schemas.openxmlformats.org/officeDocument/2006/relationships/hyperlink" Target="http://www.wikidata.org/entity/Q1595570" TargetMode="External"/><Relationship Id="rId2470" Type="http://schemas.openxmlformats.org/officeDocument/2006/relationships/hyperlink" Target="http://www.wikidata.org/entity/Q2516866" TargetMode="External"/><Relationship Id="rId1140" Type="http://schemas.openxmlformats.org/officeDocument/2006/relationships/hyperlink" Target="http://www.wikidata.org/entity/Q36180" TargetMode="External"/><Relationship Id="rId2471" Type="http://schemas.openxmlformats.org/officeDocument/2006/relationships/hyperlink" Target="http://commons.wikimedia.org/wiki/Special:FilePath/NapoleonDePauw.jpg" TargetMode="External"/><Relationship Id="rId1141" Type="http://schemas.openxmlformats.org/officeDocument/2006/relationships/hyperlink" Target="http://www.wikidata.org/entity/Q56036064" TargetMode="External"/><Relationship Id="rId2472" Type="http://schemas.openxmlformats.org/officeDocument/2006/relationships/hyperlink" Target="http://www.wikidata.org/entity/Q1286149" TargetMode="External"/><Relationship Id="rId1142" Type="http://schemas.openxmlformats.org/officeDocument/2006/relationships/hyperlink" Target="http://www.wikidata.org/entity/Q36180" TargetMode="External"/><Relationship Id="rId2473" Type="http://schemas.openxmlformats.org/officeDocument/2006/relationships/hyperlink" Target="http://www.wikidata.org/entity/Q1234713" TargetMode="External"/><Relationship Id="rId554" Type="http://schemas.openxmlformats.org/officeDocument/2006/relationships/hyperlink" Target="http://www.wikidata.org/entity/Q21550468" TargetMode="External"/><Relationship Id="rId1143" Type="http://schemas.openxmlformats.org/officeDocument/2006/relationships/hyperlink" Target="http://www.wikidata.org/entity/Q115813025" TargetMode="External"/><Relationship Id="rId2474" Type="http://schemas.openxmlformats.org/officeDocument/2006/relationships/hyperlink" Target="http://commons.wikimedia.org/wiki/Special:FilePath/Frederick%20William%20Faber.jpg" TargetMode="External"/><Relationship Id="rId553" Type="http://schemas.openxmlformats.org/officeDocument/2006/relationships/hyperlink" Target="http://www.wikidata.org/entity/Q22002048" TargetMode="External"/><Relationship Id="rId1144" Type="http://schemas.openxmlformats.org/officeDocument/2006/relationships/hyperlink" Target="http://www.wikidata.org/entity/Q40348" TargetMode="External"/><Relationship Id="rId2475" Type="http://schemas.openxmlformats.org/officeDocument/2006/relationships/hyperlink" Target="http://www.wikidata.org/entity/Q1149378" TargetMode="External"/><Relationship Id="rId552" Type="http://schemas.openxmlformats.org/officeDocument/2006/relationships/hyperlink" Target="http://www.wikidata.org/entity/Q2251335" TargetMode="External"/><Relationship Id="rId1145" Type="http://schemas.openxmlformats.org/officeDocument/2006/relationships/hyperlink" Target="http://www.wikidata.org/entity/Q114081509" TargetMode="External"/><Relationship Id="rId2476" Type="http://schemas.openxmlformats.org/officeDocument/2006/relationships/hyperlink" Target="http://www.wikidata.org/entity/Q3243461" TargetMode="External"/><Relationship Id="rId551" Type="http://schemas.openxmlformats.org/officeDocument/2006/relationships/hyperlink" Target="http://www.wikidata.org/entity/Q115809464" TargetMode="External"/><Relationship Id="rId1146" Type="http://schemas.openxmlformats.org/officeDocument/2006/relationships/hyperlink" Target="http://www.wikidata.org/entity/Q189010" TargetMode="External"/><Relationship Id="rId2477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4280" Type="http://schemas.openxmlformats.org/officeDocument/2006/relationships/hyperlink" Target="http://commons.wikimedia.org/wiki/Special:FilePath/Jan%20Baptist%20David%20-%20lithograph%20by%20Louis%20Tuerlinckx.jpg" TargetMode="External"/><Relationship Id="rId4282" Type="http://schemas.openxmlformats.org/officeDocument/2006/relationships/hyperlink" Target="http://www.wikidata.org/entity/Q82955" TargetMode="External"/><Relationship Id="rId4281" Type="http://schemas.openxmlformats.org/officeDocument/2006/relationships/hyperlink" Target="http://www.wikidata.org/entity/Q2832059" TargetMode="External"/><Relationship Id="rId4284" Type="http://schemas.openxmlformats.org/officeDocument/2006/relationships/hyperlink" Target="http://www.wikidata.org/entity/Q2715338" TargetMode="External"/><Relationship Id="rId4283" Type="http://schemas.openxmlformats.org/officeDocument/2006/relationships/hyperlink" Target="http://commons.wikimedia.org/wiki/Special:FilePath/Weekblad%20Pallieter%20-%20voorpagina%201924%2023%20baron%20ruzette.jpg" TargetMode="External"/><Relationship Id="rId4286" Type="http://schemas.openxmlformats.org/officeDocument/2006/relationships/hyperlink" Target="http://commons.wikimedia.org/wiki/Special:FilePath/Membres%20du%20Minist%C3%A8re%20%28Delcour%29.jpg" TargetMode="External"/><Relationship Id="rId4285" Type="http://schemas.openxmlformats.org/officeDocument/2006/relationships/hyperlink" Target="http://www.wikidata.org/entity/Q82955" TargetMode="External"/><Relationship Id="rId4288" Type="http://schemas.openxmlformats.org/officeDocument/2006/relationships/hyperlink" Target="http://www.wikidata.org/entity/Q40348" TargetMode="External"/><Relationship Id="rId4287" Type="http://schemas.openxmlformats.org/officeDocument/2006/relationships/hyperlink" Target="http://www.wikidata.org/entity/Q2832059" TargetMode="External"/><Relationship Id="rId4289" Type="http://schemas.openxmlformats.org/officeDocument/2006/relationships/hyperlink" Target="http://commons.wikimedia.org/wiki/Special:FilePath/Weekblad%20Pallieter%20-%20voorpagina%201924%2023%20baron%20ruzette.jpg" TargetMode="External"/><Relationship Id="rId4271" Type="http://schemas.openxmlformats.org/officeDocument/2006/relationships/hyperlink" Target="http://commons.wikimedia.org/wiki/Special:FilePath/Jan%20Baptist%20David%20-%20lithograph%20by%20Louis%20Tuerlinckx.jpg" TargetMode="External"/><Relationship Id="rId4270" Type="http://schemas.openxmlformats.org/officeDocument/2006/relationships/hyperlink" Target="http://www.wikidata.org/entity/Q118395622" TargetMode="External"/><Relationship Id="rId4273" Type="http://schemas.openxmlformats.org/officeDocument/2006/relationships/hyperlink" Target="http://www.wikidata.org/entity/Q1056391" TargetMode="External"/><Relationship Id="rId4272" Type="http://schemas.openxmlformats.org/officeDocument/2006/relationships/hyperlink" Target="http://www.wikidata.org/entity/Q2424814" TargetMode="External"/><Relationship Id="rId4275" Type="http://schemas.openxmlformats.org/officeDocument/2006/relationships/hyperlink" Target="http://www.wikidata.org/entity/Q2424814" TargetMode="External"/><Relationship Id="rId4274" Type="http://schemas.openxmlformats.org/officeDocument/2006/relationships/hyperlink" Target="http://commons.wikimedia.org/wiki/Special:FilePath/Jan%20Baptist%20David%20-%20lithograph%20by%20Louis%20Tuerlinckx.jpg" TargetMode="External"/><Relationship Id="rId4277" Type="http://schemas.openxmlformats.org/officeDocument/2006/relationships/hyperlink" Target="http://commons.wikimedia.org/wiki/Special:FilePath/Jan%20Baptist%20David%20-%20lithograph%20by%20Louis%20Tuerlinckx.jpg" TargetMode="External"/><Relationship Id="rId4276" Type="http://schemas.openxmlformats.org/officeDocument/2006/relationships/hyperlink" Target="http://www.wikidata.org/entity/Q14467526" TargetMode="External"/><Relationship Id="rId4279" Type="http://schemas.openxmlformats.org/officeDocument/2006/relationships/hyperlink" Target="http://www.wikidata.org/entity/Q250867" TargetMode="External"/><Relationship Id="rId4278" Type="http://schemas.openxmlformats.org/officeDocument/2006/relationships/hyperlink" Target="http://www.wikidata.org/entity/Q2424814" TargetMode="External"/><Relationship Id="rId4291" Type="http://schemas.openxmlformats.org/officeDocument/2006/relationships/hyperlink" Target="http://www.wikidata.org/entity/Q114371470" TargetMode="External"/><Relationship Id="rId4290" Type="http://schemas.openxmlformats.org/officeDocument/2006/relationships/hyperlink" Target="http://www.wikidata.org/entity/Q3421496" TargetMode="External"/><Relationship Id="rId4293" Type="http://schemas.openxmlformats.org/officeDocument/2006/relationships/hyperlink" Target="http://www.wikidata.org/entity/Q2715338" TargetMode="External"/><Relationship Id="rId4292" Type="http://schemas.openxmlformats.org/officeDocument/2006/relationships/hyperlink" Target="http://commons.wikimedia.org/wiki/Special:FilePath/Amaat%20Vyncke.jpg" TargetMode="External"/><Relationship Id="rId4295" Type="http://schemas.openxmlformats.org/officeDocument/2006/relationships/hyperlink" Target="http://commons.wikimedia.org/wiki/Special:FilePath/Membres%20du%20Minist%C3%A8re%20%28Delcour%29.jpg" TargetMode="External"/><Relationship Id="rId4294" Type="http://schemas.openxmlformats.org/officeDocument/2006/relationships/hyperlink" Target="http://www.wikidata.org/entity/Q40348" TargetMode="External"/><Relationship Id="rId4297" Type="http://schemas.openxmlformats.org/officeDocument/2006/relationships/hyperlink" Target="http://www.wikidata.org/entity/Q11827483" TargetMode="External"/><Relationship Id="rId4296" Type="http://schemas.openxmlformats.org/officeDocument/2006/relationships/hyperlink" Target="http://www.wikidata.org/entity/Q2715338" TargetMode="External"/><Relationship Id="rId4299" Type="http://schemas.openxmlformats.org/officeDocument/2006/relationships/hyperlink" Target="http://www.wikidata.org/entity/Q2715338" TargetMode="External"/><Relationship Id="rId4298" Type="http://schemas.openxmlformats.org/officeDocument/2006/relationships/hyperlink" Target="http://commons.wikimedia.org/wiki/Special:FilePath/Membres%20du%20Minist%C3%A8re%20%28Delcour%29.jpg" TargetMode="External"/><Relationship Id="rId4249" Type="http://schemas.openxmlformats.org/officeDocument/2006/relationships/hyperlink" Target="http://www.wikidata.org/entity/Q1734662" TargetMode="External"/><Relationship Id="rId4240" Type="http://schemas.openxmlformats.org/officeDocument/2006/relationships/hyperlink" Target="http://commons.wikimedia.org/wiki/Special:FilePath/%D0%A0%D0%B8%D1%85%D0%B0%D1%80%D0%B4%20%D0%90%D0%BD%D0%B4%D1%80%D0%B5.jpg" TargetMode="External"/><Relationship Id="rId4242" Type="http://schemas.openxmlformats.org/officeDocument/2006/relationships/hyperlink" Target="http://www.wikidata.org/entity/Q201788" TargetMode="External"/><Relationship Id="rId4241" Type="http://schemas.openxmlformats.org/officeDocument/2006/relationships/hyperlink" Target="http://www.wikidata.org/entity/Q2134167" TargetMode="External"/><Relationship Id="rId4244" Type="http://schemas.openxmlformats.org/officeDocument/2006/relationships/hyperlink" Target="http://www.wikidata.org/entity/Q635734" TargetMode="External"/><Relationship Id="rId4243" Type="http://schemas.openxmlformats.org/officeDocument/2006/relationships/hyperlink" Target="http://www.wikidata.org/entity/Q2134167" TargetMode="External"/><Relationship Id="rId4246" Type="http://schemas.openxmlformats.org/officeDocument/2006/relationships/hyperlink" Target="http://www.wikidata.org/entity/Q901402" TargetMode="External"/><Relationship Id="rId4245" Type="http://schemas.openxmlformats.org/officeDocument/2006/relationships/hyperlink" Target="http://www.wikidata.org/entity/Q64302" TargetMode="External"/><Relationship Id="rId4248" Type="http://schemas.openxmlformats.org/officeDocument/2006/relationships/hyperlink" Target="http://www.wikidata.org/entity/Q64302" TargetMode="External"/><Relationship Id="rId4247" Type="http://schemas.openxmlformats.org/officeDocument/2006/relationships/hyperlink" Target="http://commons.wikimedia.org/wiki/Special:FilePath/%D0%A0%D0%B8%D1%85%D0%B0%D1%80%D0%B4%20%D0%90%D0%BD%D0%B4%D1%80%D0%B5.jpg" TargetMode="External"/><Relationship Id="rId4239" Type="http://schemas.openxmlformats.org/officeDocument/2006/relationships/hyperlink" Target="http://www.wikidata.org/entity/Q17505002" TargetMode="External"/><Relationship Id="rId4238" Type="http://schemas.openxmlformats.org/officeDocument/2006/relationships/hyperlink" Target="http://www.wikidata.org/entity/Q64302" TargetMode="External"/><Relationship Id="rId495" Type="http://schemas.openxmlformats.org/officeDocument/2006/relationships/hyperlink" Target="http://www.wikidata.org/entity/Q1622272" TargetMode="External"/><Relationship Id="rId4231" Type="http://schemas.openxmlformats.org/officeDocument/2006/relationships/hyperlink" Target="http://www.wikidata.org/entity/Q64302" TargetMode="External"/><Relationship Id="rId494" Type="http://schemas.openxmlformats.org/officeDocument/2006/relationships/hyperlink" Target="http://www.wikidata.org/entity/Q2345694" TargetMode="External"/><Relationship Id="rId4230" Type="http://schemas.openxmlformats.org/officeDocument/2006/relationships/hyperlink" Target="http://commons.wikimedia.org/wiki/Special:FilePath/%D0%A0%D0%B8%D1%85%D0%B0%D1%80%D0%B4%20%D0%90%D0%BD%D0%B4%D1%80%D0%B5.jpg" TargetMode="External"/><Relationship Id="rId493" Type="http://schemas.openxmlformats.org/officeDocument/2006/relationships/hyperlink" Target="http://commons.wikimedia.org/wiki/Special:FilePath/BoekenoogenGJ.jpg" TargetMode="External"/><Relationship Id="rId4233" Type="http://schemas.openxmlformats.org/officeDocument/2006/relationships/hyperlink" Target="http://commons.wikimedia.org/wiki/Special:FilePath/%D0%A0%D0%B8%D1%85%D0%B0%D1%80%D0%B4%20%D0%90%D0%BD%D0%B4%D1%80%D0%B5.jpg" TargetMode="External"/><Relationship Id="rId492" Type="http://schemas.openxmlformats.org/officeDocument/2006/relationships/hyperlink" Target="http://www.wikidata.org/entity/Q876864" TargetMode="External"/><Relationship Id="rId4232" Type="http://schemas.openxmlformats.org/officeDocument/2006/relationships/hyperlink" Target="http://www.wikidata.org/entity/Q12347522" TargetMode="External"/><Relationship Id="rId499" Type="http://schemas.openxmlformats.org/officeDocument/2006/relationships/hyperlink" Target="http://www.wikidata.org/entity/Q2319173" TargetMode="External"/><Relationship Id="rId4235" Type="http://schemas.openxmlformats.org/officeDocument/2006/relationships/hyperlink" Target="http://www.wikidata.org/entity/Q40348" TargetMode="External"/><Relationship Id="rId498" Type="http://schemas.openxmlformats.org/officeDocument/2006/relationships/hyperlink" Target="http://www.wikidata.org/entity/Q2251335" TargetMode="External"/><Relationship Id="rId4234" Type="http://schemas.openxmlformats.org/officeDocument/2006/relationships/hyperlink" Target="http://www.wikidata.org/entity/Q2134167" TargetMode="External"/><Relationship Id="rId497" Type="http://schemas.openxmlformats.org/officeDocument/2006/relationships/hyperlink" Target="http://www.wikidata.org/entity/Q2580620" TargetMode="External"/><Relationship Id="rId4237" Type="http://schemas.openxmlformats.org/officeDocument/2006/relationships/hyperlink" Target="http://www.wikidata.org/entity/Q36180" TargetMode="External"/><Relationship Id="rId496" Type="http://schemas.openxmlformats.org/officeDocument/2006/relationships/hyperlink" Target="http://commons.wikimedia.org/wiki/Special:FilePath/Edward%20De%20Gryse%20-%20priester-deken%20-%20Kortrijk.jpg" TargetMode="External"/><Relationship Id="rId4236" Type="http://schemas.openxmlformats.org/officeDocument/2006/relationships/hyperlink" Target="http://www.wikidata.org/entity/Q2134167" TargetMode="External"/><Relationship Id="rId4260" Type="http://schemas.openxmlformats.org/officeDocument/2006/relationships/hyperlink" Target="http://www.wikidata.org/entity/Q2424814" TargetMode="External"/><Relationship Id="rId4262" Type="http://schemas.openxmlformats.org/officeDocument/2006/relationships/hyperlink" Target="http://commons.wikimedia.org/wiki/Special:FilePath/Jan%20Baptist%20David%20-%20lithograph%20by%20Louis%20Tuerlinckx.jpg" TargetMode="External"/><Relationship Id="rId4261" Type="http://schemas.openxmlformats.org/officeDocument/2006/relationships/hyperlink" Target="http://www.wikidata.org/entity/Q201788" TargetMode="External"/><Relationship Id="rId4264" Type="http://schemas.openxmlformats.org/officeDocument/2006/relationships/hyperlink" Target="http://www.wikidata.org/entity/Q2251335" TargetMode="External"/><Relationship Id="rId4263" Type="http://schemas.openxmlformats.org/officeDocument/2006/relationships/hyperlink" Target="http://www.wikidata.org/entity/Q2424814" TargetMode="External"/><Relationship Id="rId4266" Type="http://schemas.openxmlformats.org/officeDocument/2006/relationships/hyperlink" Target="http://www.wikidata.org/entity/Q2424814" TargetMode="External"/><Relationship Id="rId4265" Type="http://schemas.openxmlformats.org/officeDocument/2006/relationships/hyperlink" Target="http://commons.wikimedia.org/wiki/Special:FilePath/Jan%20Baptist%20David%20-%20lithograph%20by%20Louis%20Tuerlinckx.jpg" TargetMode="External"/><Relationship Id="rId4268" Type="http://schemas.openxmlformats.org/officeDocument/2006/relationships/hyperlink" Target="http://commons.wikimedia.org/wiki/Special:FilePath/Jan%20Baptist%20David%20-%20lithograph%20by%20Louis%20Tuerlinckx.jpg" TargetMode="External"/><Relationship Id="rId4267" Type="http://schemas.openxmlformats.org/officeDocument/2006/relationships/hyperlink" Target="http://www.wikidata.org/entity/Q1104153" TargetMode="External"/><Relationship Id="rId4269" Type="http://schemas.openxmlformats.org/officeDocument/2006/relationships/hyperlink" Target="http://www.wikidata.org/entity/Q2424814" TargetMode="External"/><Relationship Id="rId4251" Type="http://schemas.openxmlformats.org/officeDocument/2006/relationships/hyperlink" Target="http://www.wikidata.org/entity/Q2424814" TargetMode="External"/><Relationship Id="rId4250" Type="http://schemas.openxmlformats.org/officeDocument/2006/relationships/hyperlink" Target="http://commons.wikimedia.org/wiki/Special:FilePath/%D0%A0%D0%B8%D1%85%D0%B0%D1%80%D0%B4%20%D0%90%D0%BD%D0%B4%D1%80%D0%B5.jpg" TargetMode="External"/><Relationship Id="rId4253" Type="http://schemas.openxmlformats.org/officeDocument/2006/relationships/hyperlink" Target="http://commons.wikimedia.org/wiki/Special:FilePath/Jan%20Baptist%20David%20-%20lithograph%20by%20Louis%20Tuerlinckx.jpg" TargetMode="External"/><Relationship Id="rId4252" Type="http://schemas.openxmlformats.org/officeDocument/2006/relationships/hyperlink" Target="http://www.wikidata.org/entity/Q1622272" TargetMode="External"/><Relationship Id="rId4255" Type="http://schemas.openxmlformats.org/officeDocument/2006/relationships/hyperlink" Target="http://www.wikidata.org/entity/Q82955" TargetMode="External"/><Relationship Id="rId4254" Type="http://schemas.openxmlformats.org/officeDocument/2006/relationships/hyperlink" Target="http://www.wikidata.org/entity/Q2424814" TargetMode="External"/><Relationship Id="rId4257" Type="http://schemas.openxmlformats.org/officeDocument/2006/relationships/hyperlink" Target="http://www.wikidata.org/entity/Q2424814" TargetMode="External"/><Relationship Id="rId4256" Type="http://schemas.openxmlformats.org/officeDocument/2006/relationships/hyperlink" Target="http://commons.wikimedia.org/wiki/Special:FilePath/Jan%20Baptist%20David%20-%20lithograph%20by%20Louis%20Tuerlinckx.jpg" TargetMode="External"/><Relationship Id="rId4259" Type="http://schemas.openxmlformats.org/officeDocument/2006/relationships/hyperlink" Target="http://commons.wikimedia.org/wiki/Special:FilePath/Jan%20Baptist%20David%20-%20lithograph%20by%20Louis%20Tuerlinckx.jpg" TargetMode="External"/><Relationship Id="rId4258" Type="http://schemas.openxmlformats.org/officeDocument/2006/relationships/hyperlink" Target="http://www.wikidata.org/entity/Q1162163" TargetMode="External"/><Relationship Id="rId3810" Type="http://schemas.openxmlformats.org/officeDocument/2006/relationships/hyperlink" Target="http://www.wikidata.org/entity/Q42603" TargetMode="External"/><Relationship Id="rId3812" Type="http://schemas.openxmlformats.org/officeDocument/2006/relationships/hyperlink" Target="http://www.wikidata.org/entity/Q114371470" TargetMode="External"/><Relationship Id="rId3811" Type="http://schemas.openxmlformats.org/officeDocument/2006/relationships/hyperlink" Target="http://www.wikidata.org/entity/Q115842281" TargetMode="External"/><Relationship Id="rId3814" Type="http://schemas.openxmlformats.org/officeDocument/2006/relationships/hyperlink" Target="http://www.wikidata.org/entity/Q2251335" TargetMode="External"/><Relationship Id="rId3813" Type="http://schemas.openxmlformats.org/officeDocument/2006/relationships/hyperlink" Target="http://www.wikidata.org/entity/Q118733026" TargetMode="External"/><Relationship Id="rId3816" Type="http://schemas.openxmlformats.org/officeDocument/2006/relationships/hyperlink" Target="http://www.wikidata.org/entity/Q175151" TargetMode="External"/><Relationship Id="rId3815" Type="http://schemas.openxmlformats.org/officeDocument/2006/relationships/hyperlink" Target="http://www.wikidata.org/entity/Q120248482" TargetMode="External"/><Relationship Id="rId3818" Type="http://schemas.openxmlformats.org/officeDocument/2006/relationships/hyperlink" Target="http://commons.wikimedia.org/wiki/Special:FilePath/Foto%20Savina%20Van%20Caloen.tif" TargetMode="External"/><Relationship Id="rId3817" Type="http://schemas.openxmlformats.org/officeDocument/2006/relationships/hyperlink" Target="http://www.wikidata.org/entity/Q116508674" TargetMode="External"/><Relationship Id="rId3819" Type="http://schemas.openxmlformats.org/officeDocument/2006/relationships/hyperlink" Target="http://www.wikidata.org/entity/Q118136722" TargetMode="External"/><Relationship Id="rId3801" Type="http://schemas.openxmlformats.org/officeDocument/2006/relationships/hyperlink" Target="http://www.wikidata.org/entity/Q120550899" TargetMode="External"/><Relationship Id="rId3800" Type="http://schemas.openxmlformats.org/officeDocument/2006/relationships/hyperlink" Target="http://www.wikidata.org/entity/Q1776501" TargetMode="External"/><Relationship Id="rId3803" Type="http://schemas.openxmlformats.org/officeDocument/2006/relationships/hyperlink" Target="http://www.wikidata.org/entity/Q120920666" TargetMode="External"/><Relationship Id="rId3802" Type="http://schemas.openxmlformats.org/officeDocument/2006/relationships/hyperlink" Target="http://www.wikidata.org/entity/Q33231" TargetMode="External"/><Relationship Id="rId3805" Type="http://schemas.openxmlformats.org/officeDocument/2006/relationships/hyperlink" Target="http://www.wikidata.org/entity/Q120556534" TargetMode="External"/><Relationship Id="rId3804" Type="http://schemas.openxmlformats.org/officeDocument/2006/relationships/hyperlink" Target="http://www.wikidata.org/entity/Q82955" TargetMode="External"/><Relationship Id="rId3807" Type="http://schemas.openxmlformats.org/officeDocument/2006/relationships/hyperlink" Target="http://www.wikidata.org/entity/Q116510998" TargetMode="External"/><Relationship Id="rId3806" Type="http://schemas.openxmlformats.org/officeDocument/2006/relationships/hyperlink" Target="http://www.wikidata.org/entity/Q1753370" TargetMode="External"/><Relationship Id="rId3809" Type="http://schemas.openxmlformats.org/officeDocument/2006/relationships/hyperlink" Target="http://www.wikidata.org/entity/Q115981938" TargetMode="External"/><Relationship Id="rId3808" Type="http://schemas.openxmlformats.org/officeDocument/2006/relationships/hyperlink" Target="http://www.wikidata.org/entity/Q333634" TargetMode="External"/><Relationship Id="rId1213" Type="http://schemas.openxmlformats.org/officeDocument/2006/relationships/hyperlink" Target="http://www.wikidata.org/entity/Q114371470" TargetMode="External"/><Relationship Id="rId2544" Type="http://schemas.openxmlformats.org/officeDocument/2006/relationships/hyperlink" Target="http://www.wikidata.org/entity/Q201788" TargetMode="External"/><Relationship Id="rId3876" Type="http://schemas.openxmlformats.org/officeDocument/2006/relationships/hyperlink" Target="http://www.wikidata.org/entity/Q212238" TargetMode="External"/><Relationship Id="rId1214" Type="http://schemas.openxmlformats.org/officeDocument/2006/relationships/hyperlink" Target="http://www.wikidata.org/entity/Q23895006" TargetMode="External"/><Relationship Id="rId2545" Type="http://schemas.openxmlformats.org/officeDocument/2006/relationships/hyperlink" Target="http://www.wikidata.org/entity/Q115811334" TargetMode="External"/><Relationship Id="rId3875" Type="http://schemas.openxmlformats.org/officeDocument/2006/relationships/hyperlink" Target="http://www.wikidata.org/entity/Q120855316" TargetMode="External"/><Relationship Id="rId1215" Type="http://schemas.openxmlformats.org/officeDocument/2006/relationships/hyperlink" Target="http://www.wikidata.org/entity/Q1930187" TargetMode="External"/><Relationship Id="rId2546" Type="http://schemas.openxmlformats.org/officeDocument/2006/relationships/hyperlink" Target="http://www.wikidata.org/entity/Q1753370" TargetMode="External"/><Relationship Id="rId3878" Type="http://schemas.openxmlformats.org/officeDocument/2006/relationships/hyperlink" Target="http://www.wikidata.org/entity/Q806798" TargetMode="External"/><Relationship Id="rId1216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547" Type="http://schemas.openxmlformats.org/officeDocument/2006/relationships/hyperlink" Target="http://www.wikidata.org/entity/Q87648661" TargetMode="External"/><Relationship Id="rId3877" Type="http://schemas.openxmlformats.org/officeDocument/2006/relationships/hyperlink" Target="http://www.wikidata.org/entity/Q122903266" TargetMode="External"/><Relationship Id="rId1217" Type="http://schemas.openxmlformats.org/officeDocument/2006/relationships/hyperlink" Target="http://www.wikidata.org/entity/Q115818861" TargetMode="External"/><Relationship Id="rId2548" Type="http://schemas.openxmlformats.org/officeDocument/2006/relationships/hyperlink" Target="http://www.wikidata.org/entity/Q635734" TargetMode="External"/><Relationship Id="rId1218" Type="http://schemas.openxmlformats.org/officeDocument/2006/relationships/hyperlink" Target="http://www.wikidata.org/entity/Q955464" TargetMode="External"/><Relationship Id="rId2549" Type="http://schemas.openxmlformats.org/officeDocument/2006/relationships/hyperlink" Target="http://www.wikidata.org/entity/Q115826199" TargetMode="External"/><Relationship Id="rId3879" Type="http://schemas.openxmlformats.org/officeDocument/2006/relationships/hyperlink" Target="http://www.wikidata.org/entity/Q120855316" TargetMode="External"/><Relationship Id="rId1219" Type="http://schemas.openxmlformats.org/officeDocument/2006/relationships/hyperlink" Target="http://www.wikidata.org/entity/Q23895006" TargetMode="External"/><Relationship Id="rId3870" Type="http://schemas.openxmlformats.org/officeDocument/2006/relationships/hyperlink" Target="http://www.wikidata.org/entity/Q3029404" TargetMode="External"/><Relationship Id="rId2540" Type="http://schemas.openxmlformats.org/officeDocument/2006/relationships/hyperlink" Target="http://www.wikidata.org/entity/Q2251335" TargetMode="External"/><Relationship Id="rId3872" Type="http://schemas.openxmlformats.org/officeDocument/2006/relationships/hyperlink" Target="http://www.wikidata.org/entity/Q17303149" TargetMode="External"/><Relationship Id="rId1210" Type="http://schemas.openxmlformats.org/officeDocument/2006/relationships/hyperlink" Target="http://www.wikidata.org/entity/Q61506427" TargetMode="External"/><Relationship Id="rId2541" Type="http://schemas.openxmlformats.org/officeDocument/2006/relationships/hyperlink" Target="http://www.wikidata.org/entity/Q115811038" TargetMode="External"/><Relationship Id="rId3871" Type="http://schemas.openxmlformats.org/officeDocument/2006/relationships/hyperlink" Target="http://www.wikidata.org/entity/Q116620937" TargetMode="External"/><Relationship Id="rId1211" Type="http://schemas.openxmlformats.org/officeDocument/2006/relationships/hyperlink" Target="http://www.wikidata.org/entity/Q40348" TargetMode="External"/><Relationship Id="rId2542" Type="http://schemas.openxmlformats.org/officeDocument/2006/relationships/hyperlink" Target="http://www.wikidata.org/entity/Q1753370" TargetMode="External"/><Relationship Id="rId3874" Type="http://schemas.openxmlformats.org/officeDocument/2006/relationships/hyperlink" Target="http://www.wikidata.org/entity/Q21550468" TargetMode="External"/><Relationship Id="rId1212" Type="http://schemas.openxmlformats.org/officeDocument/2006/relationships/hyperlink" Target="http://www.wikidata.org/entity/Q115827506" TargetMode="External"/><Relationship Id="rId2543" Type="http://schemas.openxmlformats.org/officeDocument/2006/relationships/hyperlink" Target="http://www.wikidata.org/entity/Q87648661" TargetMode="External"/><Relationship Id="rId3873" Type="http://schemas.openxmlformats.org/officeDocument/2006/relationships/hyperlink" Target="http://www.wikidata.org/entity/Q120248482" TargetMode="External"/><Relationship Id="rId1202" Type="http://schemas.openxmlformats.org/officeDocument/2006/relationships/hyperlink" Target="http://www.wikidata.org/entity/Q589298" TargetMode="External"/><Relationship Id="rId2533" Type="http://schemas.openxmlformats.org/officeDocument/2006/relationships/hyperlink" Target="http://www.wikidata.org/entity/Q115825992" TargetMode="External"/><Relationship Id="rId3865" Type="http://schemas.openxmlformats.org/officeDocument/2006/relationships/hyperlink" Target="http://www.wikidata.org/entity/Q119041387" TargetMode="External"/><Relationship Id="rId1203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534" Type="http://schemas.openxmlformats.org/officeDocument/2006/relationships/hyperlink" Target="http://www.wikidata.org/entity/Q955464" TargetMode="External"/><Relationship Id="rId3864" Type="http://schemas.openxmlformats.org/officeDocument/2006/relationships/hyperlink" Target="http://www.wikidata.org/entity/Q36834" TargetMode="External"/><Relationship Id="rId1204" Type="http://schemas.openxmlformats.org/officeDocument/2006/relationships/hyperlink" Target="http://www.wikidata.org/entity/Q115819088" TargetMode="External"/><Relationship Id="rId2535" Type="http://schemas.openxmlformats.org/officeDocument/2006/relationships/hyperlink" Target="http://www.wikidata.org/entity/Q115825992" TargetMode="External"/><Relationship Id="rId3867" Type="http://schemas.openxmlformats.org/officeDocument/2006/relationships/hyperlink" Target="http://www.wikidata.org/entity/Q120556534" TargetMode="External"/><Relationship Id="rId1205" Type="http://schemas.openxmlformats.org/officeDocument/2006/relationships/hyperlink" Target="http://www.wikidata.org/entity/Q114371470" TargetMode="External"/><Relationship Id="rId2536" Type="http://schemas.openxmlformats.org/officeDocument/2006/relationships/hyperlink" Target="http://www.wikidata.org/entity/Q1056391" TargetMode="External"/><Relationship Id="rId3866" Type="http://schemas.openxmlformats.org/officeDocument/2006/relationships/hyperlink" Target="http://www.wikidata.org/entity/Q39631" TargetMode="External"/><Relationship Id="rId1206" Type="http://schemas.openxmlformats.org/officeDocument/2006/relationships/hyperlink" Target="http://www.wikidata.org/entity/Q113925472" TargetMode="External"/><Relationship Id="rId2537" Type="http://schemas.openxmlformats.org/officeDocument/2006/relationships/hyperlink" Target="http://www.wikidata.org/entity/Q115825992" TargetMode="External"/><Relationship Id="rId3869" Type="http://schemas.openxmlformats.org/officeDocument/2006/relationships/hyperlink" Target="http://www.wikidata.org/entity/Q116522102" TargetMode="External"/><Relationship Id="rId1207" Type="http://schemas.openxmlformats.org/officeDocument/2006/relationships/hyperlink" Target="http://www.wikidata.org/entity/Q2251335" TargetMode="External"/><Relationship Id="rId2538" Type="http://schemas.openxmlformats.org/officeDocument/2006/relationships/hyperlink" Target="http://www.wikidata.org/entity/Q250867" TargetMode="External"/><Relationship Id="rId3868" Type="http://schemas.openxmlformats.org/officeDocument/2006/relationships/hyperlink" Target="http://www.wikidata.org/entity/Q42603" TargetMode="External"/><Relationship Id="rId1208" Type="http://schemas.openxmlformats.org/officeDocument/2006/relationships/hyperlink" Target="http://www.wikidata.org/entity/Q62080181" TargetMode="External"/><Relationship Id="rId2539" Type="http://schemas.openxmlformats.org/officeDocument/2006/relationships/hyperlink" Target="http://www.wikidata.org/entity/Q110039170" TargetMode="External"/><Relationship Id="rId1209" Type="http://schemas.openxmlformats.org/officeDocument/2006/relationships/hyperlink" Target="http://www.wikidata.org/entity/Q1753370" TargetMode="External"/><Relationship Id="rId3861" Type="http://schemas.openxmlformats.org/officeDocument/2006/relationships/hyperlink" Target="http://www.wikidata.org/entity/Q119040262" TargetMode="External"/><Relationship Id="rId2530" Type="http://schemas.openxmlformats.org/officeDocument/2006/relationships/hyperlink" Target="http://commons.wikimedia.org/wiki/Special:FilePath/Adolf%20Karel%20vader%20Petrus%20moeder%20Carolina%20Verriest%20in%201861.jpg" TargetMode="External"/><Relationship Id="rId3860" Type="http://schemas.openxmlformats.org/officeDocument/2006/relationships/hyperlink" Target="http://www.wikidata.org/entity/Q191808" TargetMode="External"/><Relationship Id="rId1200" Type="http://schemas.openxmlformats.org/officeDocument/2006/relationships/hyperlink" Target="http://www.wikidata.org/entity/Q250867" TargetMode="External"/><Relationship Id="rId2531" Type="http://schemas.openxmlformats.org/officeDocument/2006/relationships/hyperlink" Target="http://www.wikidata.org/entity/Q115826199" TargetMode="External"/><Relationship Id="rId3863" Type="http://schemas.openxmlformats.org/officeDocument/2006/relationships/hyperlink" Target="http://www.wikidata.org/entity/Q120556695" TargetMode="External"/><Relationship Id="rId1201" Type="http://schemas.openxmlformats.org/officeDocument/2006/relationships/hyperlink" Target="http://www.wikidata.org/entity/Q23895006" TargetMode="External"/><Relationship Id="rId2532" Type="http://schemas.openxmlformats.org/officeDocument/2006/relationships/hyperlink" Target="http://www.wikidata.org/entity/Q175151" TargetMode="External"/><Relationship Id="rId3862" Type="http://schemas.openxmlformats.org/officeDocument/2006/relationships/hyperlink" Target="http://www.wikidata.org/entity/Q39631" TargetMode="External"/><Relationship Id="rId1235" Type="http://schemas.openxmlformats.org/officeDocument/2006/relationships/hyperlink" Target="http://www.wikidata.org/entity/Q23895006" TargetMode="External"/><Relationship Id="rId2566" Type="http://schemas.openxmlformats.org/officeDocument/2006/relationships/hyperlink" Target="http://www.wikidata.org/entity/Q250867" TargetMode="External"/><Relationship Id="rId3898" Type="http://schemas.openxmlformats.org/officeDocument/2006/relationships/hyperlink" Target="http://www.wikidata.org/entity/Q115981931" TargetMode="External"/><Relationship Id="rId1236" Type="http://schemas.openxmlformats.org/officeDocument/2006/relationships/hyperlink" Target="http://www.wikidata.org/entity/Q36180" TargetMode="External"/><Relationship Id="rId2567" Type="http://schemas.openxmlformats.org/officeDocument/2006/relationships/hyperlink" Target="http://www.wikidata.org/entity/Q115815697" TargetMode="External"/><Relationship Id="rId3897" Type="http://schemas.openxmlformats.org/officeDocument/2006/relationships/hyperlink" Target="http://www.wikidata.org/entity/Q42603" TargetMode="External"/><Relationship Id="rId1237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568" Type="http://schemas.openxmlformats.org/officeDocument/2006/relationships/hyperlink" Target="http://www.wikidata.org/entity/Q1753370" TargetMode="External"/><Relationship Id="rId1238" Type="http://schemas.openxmlformats.org/officeDocument/2006/relationships/hyperlink" Target="http://www.wikidata.org/entity/Q115827506" TargetMode="External"/><Relationship Id="rId2569" Type="http://schemas.openxmlformats.org/officeDocument/2006/relationships/hyperlink" Target="http://www.wikidata.org/entity/Q87648661" TargetMode="External"/><Relationship Id="rId3899" Type="http://schemas.openxmlformats.org/officeDocument/2006/relationships/hyperlink" Target="http://www.wikidata.org/entity/Q955464" TargetMode="External"/><Relationship Id="rId1239" Type="http://schemas.openxmlformats.org/officeDocument/2006/relationships/hyperlink" Target="http://www.wikidata.org/entity/Q955464" TargetMode="External"/><Relationship Id="rId409" Type="http://schemas.openxmlformats.org/officeDocument/2006/relationships/hyperlink" Target="http://www.wikidata.org/entity/Q3185717" TargetMode="External"/><Relationship Id="rId404" Type="http://schemas.openxmlformats.org/officeDocument/2006/relationships/hyperlink" Target="http://www.wikidata.org/entity/Q14467526" TargetMode="External"/><Relationship Id="rId403" Type="http://schemas.openxmlformats.org/officeDocument/2006/relationships/hyperlink" Target="http://www.wikidata.org/entity/Q571426" TargetMode="External"/><Relationship Id="rId402" Type="http://schemas.openxmlformats.org/officeDocument/2006/relationships/hyperlink" Target="http://commons.wikimedia.org/wiki/Special:FilePath/WLvanHelten.jpg" TargetMode="External"/><Relationship Id="rId401" Type="http://schemas.openxmlformats.org/officeDocument/2006/relationships/hyperlink" Target="http://www.wikidata.org/entity/Q2251335" TargetMode="External"/><Relationship Id="rId408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407" Type="http://schemas.openxmlformats.org/officeDocument/2006/relationships/hyperlink" Target="http://www.wikidata.org/entity/Q2251335" TargetMode="External"/><Relationship Id="rId406" Type="http://schemas.openxmlformats.org/officeDocument/2006/relationships/hyperlink" Target="http://www.wikidata.org/entity/Q2426280" TargetMode="External"/><Relationship Id="rId405" Type="http://schemas.openxmlformats.org/officeDocument/2006/relationships/hyperlink" Target="http://commons.wikimedia.org/wiki/Special:FilePath/Johan%20Hendrik%20Caspar%20Kern.jpg" TargetMode="External"/><Relationship Id="rId3890" Type="http://schemas.openxmlformats.org/officeDocument/2006/relationships/hyperlink" Target="http://www.wikidata.org/entity/Q36180" TargetMode="External"/><Relationship Id="rId2560" Type="http://schemas.openxmlformats.org/officeDocument/2006/relationships/hyperlink" Target="http://www.wikidata.org/entity/Q114371470" TargetMode="External"/><Relationship Id="rId3892" Type="http://schemas.openxmlformats.org/officeDocument/2006/relationships/hyperlink" Target="http://www.wikidata.org/entity/Q49757" TargetMode="External"/><Relationship Id="rId1230" Type="http://schemas.openxmlformats.org/officeDocument/2006/relationships/hyperlink" Target="http://www.wikidata.org/entity/Q2251335" TargetMode="External"/><Relationship Id="rId2561" Type="http://schemas.openxmlformats.org/officeDocument/2006/relationships/hyperlink" Target="http://www.wikidata.org/entity/Q87648661" TargetMode="External"/><Relationship Id="rId3891" Type="http://schemas.openxmlformats.org/officeDocument/2006/relationships/hyperlink" Target="http://www.wikidata.org/entity/Q118733026" TargetMode="External"/><Relationship Id="rId400" Type="http://schemas.openxmlformats.org/officeDocument/2006/relationships/hyperlink" Target="http://www.wikidata.org/entity/Q18093100" TargetMode="External"/><Relationship Id="rId1231" Type="http://schemas.openxmlformats.org/officeDocument/2006/relationships/hyperlink" Target="http://www.wikidata.org/entity/Q115823355" TargetMode="External"/><Relationship Id="rId2562" Type="http://schemas.openxmlformats.org/officeDocument/2006/relationships/hyperlink" Target="http://www.wikidata.org/entity/Q2251335" TargetMode="External"/><Relationship Id="rId3894" Type="http://schemas.openxmlformats.org/officeDocument/2006/relationships/hyperlink" Target="http://www.wikidata.org/entity/Q147618" TargetMode="External"/><Relationship Id="rId1232" Type="http://schemas.openxmlformats.org/officeDocument/2006/relationships/hyperlink" Target="http://www.wikidata.org/entity/Q250867" TargetMode="External"/><Relationship Id="rId2563" Type="http://schemas.openxmlformats.org/officeDocument/2006/relationships/hyperlink" Target="http://www.wikidata.org/entity/Q75320316" TargetMode="External"/><Relationship Id="rId3893" Type="http://schemas.openxmlformats.org/officeDocument/2006/relationships/hyperlink" Target="http://www.wikidata.org/entity/Q116621552" TargetMode="External"/><Relationship Id="rId1233" Type="http://schemas.openxmlformats.org/officeDocument/2006/relationships/hyperlink" Target="http://www.wikidata.org/entity/Q113731929" TargetMode="External"/><Relationship Id="rId2564" Type="http://schemas.openxmlformats.org/officeDocument/2006/relationships/hyperlink" Target="http://commons.wikimedia.org/wiki/Special:FilePath/Foto%20Mary%20Clifford.jpg" TargetMode="External"/><Relationship Id="rId3896" Type="http://schemas.openxmlformats.org/officeDocument/2006/relationships/hyperlink" Target="http://www.wikidata.org/entity/Q118733026" TargetMode="External"/><Relationship Id="rId1234" Type="http://schemas.openxmlformats.org/officeDocument/2006/relationships/hyperlink" Target="http://www.wikidata.org/entity/Q250867" TargetMode="External"/><Relationship Id="rId2565" Type="http://schemas.openxmlformats.org/officeDocument/2006/relationships/hyperlink" Target="http://www.wikidata.org/entity/Q115831039" TargetMode="External"/><Relationship Id="rId3895" Type="http://schemas.openxmlformats.org/officeDocument/2006/relationships/hyperlink" Target="http://commons.wikimedia.org/wiki/Special:FilePath/Doodsprentje%20Mathilde%20Catteeuw.tif" TargetMode="External"/><Relationship Id="rId1224" Type="http://schemas.openxmlformats.org/officeDocument/2006/relationships/hyperlink" Target="http://www.wikidata.org/entity/Q23895006" TargetMode="External"/><Relationship Id="rId2555" Type="http://schemas.openxmlformats.org/officeDocument/2006/relationships/hyperlink" Target="http://www.wikidata.org/entity/Q115838249" TargetMode="External"/><Relationship Id="rId3887" Type="http://schemas.openxmlformats.org/officeDocument/2006/relationships/hyperlink" Target="http://www.wikidata.org/entity/Q122791049" TargetMode="External"/><Relationship Id="rId1225" Type="http://schemas.openxmlformats.org/officeDocument/2006/relationships/hyperlink" Target="http://www.wikidata.org/entity/Q250867" TargetMode="External"/><Relationship Id="rId2556" Type="http://schemas.openxmlformats.org/officeDocument/2006/relationships/hyperlink" Target="http://www.wikidata.org/entity/Q114371470" TargetMode="External"/><Relationship Id="rId3886" Type="http://schemas.openxmlformats.org/officeDocument/2006/relationships/hyperlink" Target="http://www.wikidata.org/entity/Q1281618" TargetMode="External"/><Relationship Id="rId1226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557" Type="http://schemas.openxmlformats.org/officeDocument/2006/relationships/hyperlink" Target="http://www.wikidata.org/entity/Q55420570" TargetMode="External"/><Relationship Id="rId3889" Type="http://schemas.openxmlformats.org/officeDocument/2006/relationships/hyperlink" Target="http://www.wikidata.org/entity/Q118733026" TargetMode="External"/><Relationship Id="rId1227" Type="http://schemas.openxmlformats.org/officeDocument/2006/relationships/hyperlink" Target="http://www.wikidata.org/entity/Q115823355" TargetMode="External"/><Relationship Id="rId2558" Type="http://schemas.openxmlformats.org/officeDocument/2006/relationships/hyperlink" Target="http://www.wikidata.org/entity/Q2251335" TargetMode="External"/><Relationship Id="rId3888" Type="http://schemas.openxmlformats.org/officeDocument/2006/relationships/hyperlink" Target="http://www.wikidata.org/entity/Q191808" TargetMode="External"/><Relationship Id="rId1228" Type="http://schemas.openxmlformats.org/officeDocument/2006/relationships/hyperlink" Target="http://www.wikidata.org/entity/Q955464" TargetMode="External"/><Relationship Id="rId2559" Type="http://schemas.openxmlformats.org/officeDocument/2006/relationships/hyperlink" Target="http://www.wikidata.org/entity/Q115839965" TargetMode="External"/><Relationship Id="rId1229" Type="http://schemas.openxmlformats.org/officeDocument/2006/relationships/hyperlink" Target="http://www.wikidata.org/entity/Q115819088" TargetMode="External"/><Relationship Id="rId3881" Type="http://schemas.openxmlformats.org/officeDocument/2006/relationships/hyperlink" Target="http://www.wikidata.org/entity/Q120550899" TargetMode="External"/><Relationship Id="rId2550" Type="http://schemas.openxmlformats.org/officeDocument/2006/relationships/hyperlink" Target="http://www.wikidata.org/entity/Q2516866" TargetMode="External"/><Relationship Id="rId3880" Type="http://schemas.openxmlformats.org/officeDocument/2006/relationships/hyperlink" Target="http://www.wikidata.org/entity/Q1930187" TargetMode="External"/><Relationship Id="rId1220" Type="http://schemas.openxmlformats.org/officeDocument/2006/relationships/hyperlink" Target="http://www.wikidata.org/entity/Q1056391" TargetMode="External"/><Relationship Id="rId2551" Type="http://schemas.openxmlformats.org/officeDocument/2006/relationships/hyperlink" Target="http://www.wikidata.org/entity/Q115831039" TargetMode="External"/><Relationship Id="rId3883" Type="http://schemas.openxmlformats.org/officeDocument/2006/relationships/hyperlink" Target="http://www.wikidata.org/entity/Q120550899" TargetMode="External"/><Relationship Id="rId1221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552" Type="http://schemas.openxmlformats.org/officeDocument/2006/relationships/hyperlink" Target="http://www.wikidata.org/entity/Q118732656" TargetMode="External"/><Relationship Id="rId3882" Type="http://schemas.openxmlformats.org/officeDocument/2006/relationships/hyperlink" Target="http://www.wikidata.org/entity/Q483501" TargetMode="External"/><Relationship Id="rId1222" Type="http://schemas.openxmlformats.org/officeDocument/2006/relationships/hyperlink" Target="http://www.wikidata.org/entity/Q115819088" TargetMode="External"/><Relationship Id="rId2553" Type="http://schemas.openxmlformats.org/officeDocument/2006/relationships/hyperlink" Target="http://www.wikidata.org/entity/Q115825992" TargetMode="External"/><Relationship Id="rId3885" Type="http://schemas.openxmlformats.org/officeDocument/2006/relationships/hyperlink" Target="http://www.wikidata.org/entity/Q120550899" TargetMode="External"/><Relationship Id="rId1223" Type="http://schemas.openxmlformats.org/officeDocument/2006/relationships/hyperlink" Target="http://www.wikidata.org/entity/Q250867" TargetMode="External"/><Relationship Id="rId2554" Type="http://schemas.openxmlformats.org/officeDocument/2006/relationships/hyperlink" Target="http://www.wikidata.org/entity/Q2251335" TargetMode="External"/><Relationship Id="rId3884" Type="http://schemas.openxmlformats.org/officeDocument/2006/relationships/hyperlink" Target="http://www.wikidata.org/entity/Q1028181" TargetMode="External"/><Relationship Id="rId2500" Type="http://schemas.openxmlformats.org/officeDocument/2006/relationships/hyperlink" Target="http://www.wikidata.org/entity/Q115811334" TargetMode="External"/><Relationship Id="rId3832" Type="http://schemas.openxmlformats.org/officeDocument/2006/relationships/hyperlink" Target="http://www.wikidata.org/entity/Q1072363" TargetMode="External"/><Relationship Id="rId2501" Type="http://schemas.openxmlformats.org/officeDocument/2006/relationships/hyperlink" Target="http://www.wikidata.org/entity/Q250867" TargetMode="External"/><Relationship Id="rId3831" Type="http://schemas.openxmlformats.org/officeDocument/2006/relationships/hyperlink" Target="http://www.wikidata.org/entity/Q116620739" TargetMode="External"/><Relationship Id="rId2502" Type="http://schemas.openxmlformats.org/officeDocument/2006/relationships/hyperlink" Target="http://www.wikidata.org/entity/Q115811038" TargetMode="External"/><Relationship Id="rId3834" Type="http://schemas.openxmlformats.org/officeDocument/2006/relationships/hyperlink" Target="http://www.wikidata.org/entity/Q2251335" TargetMode="External"/><Relationship Id="rId2503" Type="http://schemas.openxmlformats.org/officeDocument/2006/relationships/hyperlink" Target="http://www.wikidata.org/entity/Q2251335" TargetMode="External"/><Relationship Id="rId3833" Type="http://schemas.openxmlformats.org/officeDocument/2006/relationships/hyperlink" Target="http://www.wikidata.org/entity/Q115840234" TargetMode="External"/><Relationship Id="rId2504" Type="http://schemas.openxmlformats.org/officeDocument/2006/relationships/hyperlink" Target="http://www.wikidata.org/entity/Q115811334" TargetMode="External"/><Relationship Id="rId3836" Type="http://schemas.openxmlformats.org/officeDocument/2006/relationships/hyperlink" Target="http://www.wikidata.org/entity/Q219477" TargetMode="External"/><Relationship Id="rId2505" Type="http://schemas.openxmlformats.org/officeDocument/2006/relationships/hyperlink" Target="http://www.wikidata.org/entity/Q2251335" TargetMode="External"/><Relationship Id="rId3835" Type="http://schemas.openxmlformats.org/officeDocument/2006/relationships/hyperlink" Target="http://www.wikidata.org/entity/Q115842281" TargetMode="External"/><Relationship Id="rId2506" Type="http://schemas.openxmlformats.org/officeDocument/2006/relationships/hyperlink" Target="http://www.wikidata.org/entity/Q115815697" TargetMode="External"/><Relationship Id="rId3838" Type="http://schemas.openxmlformats.org/officeDocument/2006/relationships/hyperlink" Target="http://www.wikidata.org/entity/Q250867" TargetMode="External"/><Relationship Id="rId2507" Type="http://schemas.openxmlformats.org/officeDocument/2006/relationships/hyperlink" Target="http://www.wikidata.org/entity/Q955464" TargetMode="External"/><Relationship Id="rId3837" Type="http://schemas.openxmlformats.org/officeDocument/2006/relationships/hyperlink" Target="http://www.wikidata.org/entity/Q115842281" TargetMode="External"/><Relationship Id="rId2508" Type="http://schemas.openxmlformats.org/officeDocument/2006/relationships/hyperlink" Target="http://www.wikidata.org/entity/Q115818849" TargetMode="External"/><Relationship Id="rId2509" Type="http://schemas.openxmlformats.org/officeDocument/2006/relationships/hyperlink" Target="http://www.wikidata.org/entity/Q250867" TargetMode="External"/><Relationship Id="rId3839" Type="http://schemas.openxmlformats.org/officeDocument/2006/relationships/hyperlink" Target="http://www.wikidata.org/entity/Q115842281" TargetMode="External"/><Relationship Id="rId3830" Type="http://schemas.openxmlformats.org/officeDocument/2006/relationships/hyperlink" Target="http://www.wikidata.org/entity/Q3704253" TargetMode="External"/><Relationship Id="rId3821" Type="http://schemas.openxmlformats.org/officeDocument/2006/relationships/hyperlink" Target="http://www.wikidata.org/entity/Q115839946" TargetMode="External"/><Relationship Id="rId3820" Type="http://schemas.openxmlformats.org/officeDocument/2006/relationships/hyperlink" Target="http://www.wikidata.org/entity/Q1753370" TargetMode="External"/><Relationship Id="rId3823" Type="http://schemas.openxmlformats.org/officeDocument/2006/relationships/hyperlink" Target="http://www.wikidata.org/entity/Q115840234" TargetMode="External"/><Relationship Id="rId3822" Type="http://schemas.openxmlformats.org/officeDocument/2006/relationships/hyperlink" Target="http://www.wikidata.org/entity/Q955464" TargetMode="External"/><Relationship Id="rId3825" Type="http://schemas.openxmlformats.org/officeDocument/2006/relationships/hyperlink" Target="http://www.wikidata.org/entity/Q120248482" TargetMode="External"/><Relationship Id="rId3824" Type="http://schemas.openxmlformats.org/officeDocument/2006/relationships/hyperlink" Target="http://www.wikidata.org/entity/Q1162163" TargetMode="External"/><Relationship Id="rId3827" Type="http://schemas.openxmlformats.org/officeDocument/2006/relationships/hyperlink" Target="http://www.wikidata.org/entity/Q115839946" TargetMode="External"/><Relationship Id="rId3826" Type="http://schemas.openxmlformats.org/officeDocument/2006/relationships/hyperlink" Target="http://www.wikidata.org/entity/Q329439" TargetMode="External"/><Relationship Id="rId3829" Type="http://schemas.openxmlformats.org/officeDocument/2006/relationships/hyperlink" Target="http://www.wikidata.org/entity/Q120248482" TargetMode="External"/><Relationship Id="rId3828" Type="http://schemas.openxmlformats.org/officeDocument/2006/relationships/hyperlink" Target="http://www.wikidata.org/entity/Q250867" TargetMode="External"/><Relationship Id="rId2522" Type="http://schemas.openxmlformats.org/officeDocument/2006/relationships/hyperlink" Target="http://www.wikidata.org/entity/Q115822210" TargetMode="External"/><Relationship Id="rId3854" Type="http://schemas.openxmlformats.org/officeDocument/2006/relationships/hyperlink" Target="http://www.wikidata.org/entity/Q1753370" TargetMode="External"/><Relationship Id="rId2523" Type="http://schemas.openxmlformats.org/officeDocument/2006/relationships/hyperlink" Target="http://www.wikidata.org/entity/Q219477" TargetMode="External"/><Relationship Id="rId3853" Type="http://schemas.openxmlformats.org/officeDocument/2006/relationships/hyperlink" Target="http://www.wikidata.org/entity/Q115839946" TargetMode="External"/><Relationship Id="rId2524" Type="http://schemas.openxmlformats.org/officeDocument/2006/relationships/hyperlink" Target="http://www.wikidata.org/entity/Q115806479" TargetMode="External"/><Relationship Id="rId3856" Type="http://schemas.openxmlformats.org/officeDocument/2006/relationships/hyperlink" Target="http://www.wikidata.org/entity/Q1776501" TargetMode="External"/><Relationship Id="rId2525" Type="http://schemas.openxmlformats.org/officeDocument/2006/relationships/hyperlink" Target="http://www.wikidata.org/entity/Q1753370" TargetMode="External"/><Relationship Id="rId3855" Type="http://schemas.openxmlformats.org/officeDocument/2006/relationships/hyperlink" Target="http://www.wikidata.org/entity/Q116620739" TargetMode="External"/><Relationship Id="rId2526" Type="http://schemas.openxmlformats.org/officeDocument/2006/relationships/hyperlink" Target="http://www.wikidata.org/entity/Q115818849" TargetMode="External"/><Relationship Id="rId3858" Type="http://schemas.openxmlformats.org/officeDocument/2006/relationships/hyperlink" Target="http://www.wikidata.org/entity/Q1776501" TargetMode="External"/><Relationship Id="rId2527" Type="http://schemas.openxmlformats.org/officeDocument/2006/relationships/hyperlink" Target="http://www.wikidata.org/entity/Q2251335" TargetMode="External"/><Relationship Id="rId3857" Type="http://schemas.openxmlformats.org/officeDocument/2006/relationships/hyperlink" Target="http://www.wikidata.org/entity/Q116522102" TargetMode="External"/><Relationship Id="rId2528" Type="http://schemas.openxmlformats.org/officeDocument/2006/relationships/hyperlink" Target="http://www.wikidata.org/entity/Q100534520" TargetMode="External"/><Relationship Id="rId2529" Type="http://schemas.openxmlformats.org/officeDocument/2006/relationships/hyperlink" Target="http://www.wikidata.org/entity/Q36834" TargetMode="External"/><Relationship Id="rId3859" Type="http://schemas.openxmlformats.org/officeDocument/2006/relationships/hyperlink" Target="http://www.wikidata.org/entity/Q115846413" TargetMode="External"/><Relationship Id="rId3850" Type="http://schemas.openxmlformats.org/officeDocument/2006/relationships/hyperlink" Target="http://www.wikidata.org/entity/Q191808" TargetMode="External"/><Relationship Id="rId2520" Type="http://schemas.openxmlformats.org/officeDocument/2006/relationships/hyperlink" Target="http://www.wikidata.org/entity/Q110039170" TargetMode="External"/><Relationship Id="rId3852" Type="http://schemas.openxmlformats.org/officeDocument/2006/relationships/hyperlink" Target="http://www.wikidata.org/entity/Q7501153" TargetMode="External"/><Relationship Id="rId2521" Type="http://schemas.openxmlformats.org/officeDocument/2006/relationships/hyperlink" Target="http://www.wikidata.org/entity/Q250867" TargetMode="External"/><Relationship Id="rId3851" Type="http://schemas.openxmlformats.org/officeDocument/2006/relationships/hyperlink" Target="http://www.wikidata.org/entity/Q116620937" TargetMode="External"/><Relationship Id="rId2511" Type="http://schemas.openxmlformats.org/officeDocument/2006/relationships/hyperlink" Target="http://www.wikidata.org/entity/Q2251335" TargetMode="External"/><Relationship Id="rId3843" Type="http://schemas.openxmlformats.org/officeDocument/2006/relationships/hyperlink" Target="http://www.wikidata.org/entity/Q115835025" TargetMode="External"/><Relationship Id="rId2512" Type="http://schemas.openxmlformats.org/officeDocument/2006/relationships/hyperlink" Target="http://www.wikidata.org/entity/Q115821481" TargetMode="External"/><Relationship Id="rId3842" Type="http://schemas.openxmlformats.org/officeDocument/2006/relationships/hyperlink" Target="http://www.wikidata.org/entity/Q219477" TargetMode="External"/><Relationship Id="rId2513" Type="http://schemas.openxmlformats.org/officeDocument/2006/relationships/hyperlink" Target="http://www.wikidata.org/entity/Q955464" TargetMode="External"/><Relationship Id="rId3845" Type="http://schemas.openxmlformats.org/officeDocument/2006/relationships/hyperlink" Target="http://www.wikidata.org/entity/Q119794240" TargetMode="External"/><Relationship Id="rId2514" Type="http://schemas.openxmlformats.org/officeDocument/2006/relationships/hyperlink" Target="http://www.wikidata.org/entity/Q115821481" TargetMode="External"/><Relationship Id="rId3844" Type="http://schemas.openxmlformats.org/officeDocument/2006/relationships/hyperlink" Target="http://www.wikidata.org/entity/Q1776501" TargetMode="External"/><Relationship Id="rId2515" Type="http://schemas.openxmlformats.org/officeDocument/2006/relationships/hyperlink" Target="http://www.wikidata.org/entity/Q1162163" TargetMode="External"/><Relationship Id="rId3847" Type="http://schemas.openxmlformats.org/officeDocument/2006/relationships/hyperlink" Target="http://www.wikidata.org/entity/Q116620739" TargetMode="External"/><Relationship Id="rId2516" Type="http://schemas.openxmlformats.org/officeDocument/2006/relationships/hyperlink" Target="http://www.wikidata.org/entity/Q110039170" TargetMode="External"/><Relationship Id="rId3846" Type="http://schemas.openxmlformats.org/officeDocument/2006/relationships/hyperlink" Target="http://www.wikidata.org/entity/Q42603" TargetMode="External"/><Relationship Id="rId2517" Type="http://schemas.openxmlformats.org/officeDocument/2006/relationships/hyperlink" Target="http://www.wikidata.org/entity/Q955464" TargetMode="External"/><Relationship Id="rId3849" Type="http://schemas.openxmlformats.org/officeDocument/2006/relationships/hyperlink" Target="http://www.wikidata.org/entity/Q116522102" TargetMode="External"/><Relationship Id="rId2518" Type="http://schemas.openxmlformats.org/officeDocument/2006/relationships/hyperlink" Target="http://www.wikidata.org/entity/Q115821481" TargetMode="External"/><Relationship Id="rId3848" Type="http://schemas.openxmlformats.org/officeDocument/2006/relationships/hyperlink" Target="http://www.wikidata.org/entity/Q191808" TargetMode="External"/><Relationship Id="rId2519" Type="http://schemas.openxmlformats.org/officeDocument/2006/relationships/hyperlink" Target="http://www.wikidata.org/entity/Q250867" TargetMode="External"/><Relationship Id="rId3841" Type="http://schemas.openxmlformats.org/officeDocument/2006/relationships/hyperlink" Target="http://www.wikidata.org/entity/Q115846413" TargetMode="External"/><Relationship Id="rId2510" Type="http://schemas.openxmlformats.org/officeDocument/2006/relationships/hyperlink" Target="http://www.wikidata.org/entity/Q115815697" TargetMode="External"/><Relationship Id="rId3840" Type="http://schemas.openxmlformats.org/officeDocument/2006/relationships/hyperlink" Target="http://www.wikidata.org/entity/Q2251335" TargetMode="External"/><Relationship Id="rId4327" Type="http://schemas.openxmlformats.org/officeDocument/2006/relationships/hyperlink" Target="http://www.wikidata.org/entity/Q733786" TargetMode="External"/><Relationship Id="rId4326" Type="http://schemas.openxmlformats.org/officeDocument/2006/relationships/hyperlink" Target="http://www.wikidata.org/entity/Q56036025" TargetMode="External"/><Relationship Id="rId4329" Type="http://schemas.openxmlformats.org/officeDocument/2006/relationships/hyperlink" Target="http://www.wikidata.org/entity/Q6673651" TargetMode="External"/><Relationship Id="rId4328" Type="http://schemas.openxmlformats.org/officeDocument/2006/relationships/hyperlink" Target="http://www.wikidata.org/entity/Q56036025" TargetMode="External"/><Relationship Id="rId469" Type="http://schemas.openxmlformats.org/officeDocument/2006/relationships/hyperlink" Target="http://www.wikidata.org/entity/Q1622272" TargetMode="External"/><Relationship Id="rId468" Type="http://schemas.openxmlformats.org/officeDocument/2006/relationships/hyperlink" Target="http://www.wikidata.org/entity/Q18093100" TargetMode="External"/><Relationship Id="rId467" Type="http://schemas.openxmlformats.org/officeDocument/2006/relationships/hyperlink" Target="http://commons.wikimedia.org/wiki/Special:FilePath/PieterG%C3%A9nard.jpg" TargetMode="External"/><Relationship Id="rId1290" Type="http://schemas.openxmlformats.org/officeDocument/2006/relationships/hyperlink" Target="http://www.wikidata.org/entity/Q2251335" TargetMode="External"/><Relationship Id="rId1291" Type="http://schemas.openxmlformats.org/officeDocument/2006/relationships/hyperlink" Target="http://www.wikidata.org/entity/Q115834873" TargetMode="External"/><Relationship Id="rId1292" Type="http://schemas.openxmlformats.org/officeDocument/2006/relationships/hyperlink" Target="http://www.wikidata.org/entity/Q2251335" TargetMode="External"/><Relationship Id="rId462" Type="http://schemas.openxmlformats.org/officeDocument/2006/relationships/hyperlink" Target="http://www.wikidata.org/entity/Q82955" TargetMode="External"/><Relationship Id="rId1293" Type="http://schemas.openxmlformats.org/officeDocument/2006/relationships/hyperlink" Target="http://www.wikidata.org/entity/Q115823355" TargetMode="External"/><Relationship Id="rId461" Type="http://schemas.openxmlformats.org/officeDocument/2006/relationships/hyperlink" Target="http://www.wikidata.org/entity/Q3431564" TargetMode="External"/><Relationship Id="rId1294" Type="http://schemas.openxmlformats.org/officeDocument/2006/relationships/hyperlink" Target="http://www.wikidata.org/entity/Q1753370" TargetMode="External"/><Relationship Id="rId460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1295" Type="http://schemas.openxmlformats.org/officeDocument/2006/relationships/hyperlink" Target="http://www.wikidata.org/entity/Q115830433" TargetMode="External"/><Relationship Id="rId4321" Type="http://schemas.openxmlformats.org/officeDocument/2006/relationships/hyperlink" Target="http://www.wikidata.org/entity/Q121594" TargetMode="External"/><Relationship Id="rId1296" Type="http://schemas.openxmlformats.org/officeDocument/2006/relationships/hyperlink" Target="http://www.wikidata.org/entity/Q1104153" TargetMode="External"/><Relationship Id="rId4320" Type="http://schemas.openxmlformats.org/officeDocument/2006/relationships/hyperlink" Target="http://www.wikidata.org/entity/Q56036025" TargetMode="External"/><Relationship Id="rId466" Type="http://schemas.openxmlformats.org/officeDocument/2006/relationships/hyperlink" Target="http://www.wikidata.org/entity/Q635734" TargetMode="External"/><Relationship Id="rId1297" Type="http://schemas.openxmlformats.org/officeDocument/2006/relationships/hyperlink" Target="http://www.wikidata.org/entity/Q17428533" TargetMode="External"/><Relationship Id="rId4323" Type="http://schemas.openxmlformats.org/officeDocument/2006/relationships/hyperlink" Target="http://www.wikidata.org/entity/Q182436" TargetMode="External"/><Relationship Id="rId465" Type="http://schemas.openxmlformats.org/officeDocument/2006/relationships/hyperlink" Target="http://www.wikidata.org/entity/Q14101076" TargetMode="External"/><Relationship Id="rId1298" Type="http://schemas.openxmlformats.org/officeDocument/2006/relationships/hyperlink" Target="http://www.wikidata.org/entity/Q189010" TargetMode="External"/><Relationship Id="rId4322" Type="http://schemas.openxmlformats.org/officeDocument/2006/relationships/hyperlink" Target="http://www.wikidata.org/entity/Q56036025" TargetMode="External"/><Relationship Id="rId464" Type="http://schemas.openxmlformats.org/officeDocument/2006/relationships/hyperlink" Target="http://www.wikidata.org/entity/Q2251335" TargetMode="External"/><Relationship Id="rId1299" Type="http://schemas.openxmlformats.org/officeDocument/2006/relationships/hyperlink" Target="http://www.wikidata.org/entity/Q115836854" TargetMode="External"/><Relationship Id="rId4325" Type="http://schemas.openxmlformats.org/officeDocument/2006/relationships/hyperlink" Target="http://www.wikidata.org/entity/Q214917" TargetMode="External"/><Relationship Id="rId463" Type="http://schemas.openxmlformats.org/officeDocument/2006/relationships/hyperlink" Target="http://www.wikidata.org/entity/Q3431564" TargetMode="External"/><Relationship Id="rId4324" Type="http://schemas.openxmlformats.org/officeDocument/2006/relationships/hyperlink" Target="http://www.wikidata.org/entity/Q56036025" TargetMode="External"/><Relationship Id="rId4316" Type="http://schemas.openxmlformats.org/officeDocument/2006/relationships/hyperlink" Target="http://commons.wikimedia.org/wiki/Special:FilePath/Amaat%20Vyncke.jpg" TargetMode="External"/><Relationship Id="rId4315" Type="http://schemas.openxmlformats.org/officeDocument/2006/relationships/hyperlink" Target="http://www.wikidata.org/entity/Q250867" TargetMode="External"/><Relationship Id="rId4318" Type="http://schemas.openxmlformats.org/officeDocument/2006/relationships/hyperlink" Target="http://www.wikidata.org/entity/Q47064" TargetMode="External"/><Relationship Id="rId4317" Type="http://schemas.openxmlformats.org/officeDocument/2006/relationships/hyperlink" Target="http://www.wikidata.org/entity/Q3421496" TargetMode="External"/><Relationship Id="rId4319" Type="http://schemas.openxmlformats.org/officeDocument/2006/relationships/hyperlink" Target="http://commons.wikimedia.org/wiki/Special:FilePath/Amaat%20Vyncke.jpg" TargetMode="External"/><Relationship Id="rId459" Type="http://schemas.openxmlformats.org/officeDocument/2006/relationships/hyperlink" Target="http://www.wikidata.org/entity/Q36180" TargetMode="External"/><Relationship Id="rId458" Type="http://schemas.openxmlformats.org/officeDocument/2006/relationships/hyperlink" Target="http://www.wikidata.org/entity/Q2426280" TargetMode="External"/><Relationship Id="rId457" Type="http://schemas.openxmlformats.org/officeDocument/2006/relationships/hyperlink" Target="http://commons.wikimedia.org/wiki/Special:FilePath/Edward%20De%20Gryse%20-%20priester-deken%20-%20Kortrijk.jpg" TargetMode="External"/><Relationship Id="rId456" Type="http://schemas.openxmlformats.org/officeDocument/2006/relationships/hyperlink" Target="http://www.wikidata.org/entity/Q115705951" TargetMode="External"/><Relationship Id="rId1280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281" Type="http://schemas.openxmlformats.org/officeDocument/2006/relationships/hyperlink" Target="http://www.wikidata.org/entity/Q115836854" TargetMode="External"/><Relationship Id="rId451" Type="http://schemas.openxmlformats.org/officeDocument/2006/relationships/hyperlink" Target="http://commons.wikimedia.org/wiki/Special:FilePath/Edward%20De%20Gryse%20-%20priester-deken%20-%20Kortrijk.jpg" TargetMode="External"/><Relationship Id="rId1282" Type="http://schemas.openxmlformats.org/officeDocument/2006/relationships/hyperlink" Target="http://www.wikidata.org/entity/Q955464" TargetMode="External"/><Relationship Id="rId450" Type="http://schemas.openxmlformats.org/officeDocument/2006/relationships/hyperlink" Target="http://www.wikidata.org/entity/Q250867" TargetMode="External"/><Relationship Id="rId1283" Type="http://schemas.openxmlformats.org/officeDocument/2006/relationships/hyperlink" Target="http://www.wikidata.org/entity/Q115836854" TargetMode="External"/><Relationship Id="rId1284" Type="http://schemas.openxmlformats.org/officeDocument/2006/relationships/hyperlink" Target="http://www.wikidata.org/entity/Q250867" TargetMode="External"/><Relationship Id="rId4310" Type="http://schemas.openxmlformats.org/officeDocument/2006/relationships/hyperlink" Target="http://commons.wikimedia.org/wiki/Special:FilePath/Amaat%20Vyncke.jpg" TargetMode="External"/><Relationship Id="rId1285" Type="http://schemas.openxmlformats.org/officeDocument/2006/relationships/hyperlink" Target="http://www.wikidata.org/entity/Q115838563" TargetMode="External"/><Relationship Id="rId455" Type="http://schemas.openxmlformats.org/officeDocument/2006/relationships/hyperlink" Target="http://www.wikidata.org/entity/Q2345694" TargetMode="External"/><Relationship Id="rId1286" Type="http://schemas.openxmlformats.org/officeDocument/2006/relationships/hyperlink" Target="http://www.wikidata.org/entity/Q955464" TargetMode="External"/><Relationship Id="rId4312" Type="http://schemas.openxmlformats.org/officeDocument/2006/relationships/hyperlink" Target="http://www.wikidata.org/entity/Q219477" TargetMode="External"/><Relationship Id="rId454" Type="http://schemas.openxmlformats.org/officeDocument/2006/relationships/hyperlink" Target="http://commons.wikimedia.org/wiki/Special:FilePath/James%20Weale.jpg" TargetMode="External"/><Relationship Id="rId1287" Type="http://schemas.openxmlformats.org/officeDocument/2006/relationships/hyperlink" Target="http://www.wikidata.org/entity/Q115838563" TargetMode="External"/><Relationship Id="rId4311" Type="http://schemas.openxmlformats.org/officeDocument/2006/relationships/hyperlink" Target="http://www.wikidata.org/entity/Q3421496" TargetMode="External"/><Relationship Id="rId453" Type="http://schemas.openxmlformats.org/officeDocument/2006/relationships/hyperlink" Target="http://www.wikidata.org/entity/Q1660363" TargetMode="External"/><Relationship Id="rId1288" Type="http://schemas.openxmlformats.org/officeDocument/2006/relationships/hyperlink" Target="http://www.wikidata.org/entity/Q250867" TargetMode="External"/><Relationship Id="rId4314" Type="http://schemas.openxmlformats.org/officeDocument/2006/relationships/hyperlink" Target="http://www.wikidata.org/entity/Q3421496" TargetMode="External"/><Relationship Id="rId452" Type="http://schemas.openxmlformats.org/officeDocument/2006/relationships/hyperlink" Target="http://www.wikidata.org/entity/Q2062803" TargetMode="External"/><Relationship Id="rId1289" Type="http://schemas.openxmlformats.org/officeDocument/2006/relationships/hyperlink" Target="http://www.wikidata.org/entity/Q115834834" TargetMode="External"/><Relationship Id="rId4313" Type="http://schemas.openxmlformats.org/officeDocument/2006/relationships/hyperlink" Target="http://commons.wikimedia.org/wiki/Special:FilePath/Amaat%20Vyncke.jpg" TargetMode="External"/><Relationship Id="rId3018" Type="http://schemas.openxmlformats.org/officeDocument/2006/relationships/hyperlink" Target="http://www.wikidata.org/entity/Q250867" TargetMode="External"/><Relationship Id="rId4349" Type="http://schemas.openxmlformats.org/officeDocument/2006/relationships/hyperlink" Target="http://www.wikidata.org/entity/Q122971559" TargetMode="External"/><Relationship Id="rId3017" Type="http://schemas.openxmlformats.org/officeDocument/2006/relationships/hyperlink" Target="http://www.wikidata.org/entity/Q120999304" TargetMode="External"/><Relationship Id="rId4348" Type="http://schemas.openxmlformats.org/officeDocument/2006/relationships/hyperlink" Target="http://www.wikidata.org/entity/Q955464" TargetMode="External"/><Relationship Id="rId3019" Type="http://schemas.openxmlformats.org/officeDocument/2006/relationships/hyperlink" Target="http://www.wikidata.org/entity/Q116621789" TargetMode="External"/><Relationship Id="rId491" Type="http://schemas.openxmlformats.org/officeDocument/2006/relationships/hyperlink" Target="http://www.wikidata.org/entity/Q2319173" TargetMode="External"/><Relationship Id="rId490" Type="http://schemas.openxmlformats.org/officeDocument/2006/relationships/hyperlink" Target="http://commons.wikimedia.org/wiki/Special:FilePath/Portret%20van%20Edmond%20Van%20der%20Straeten%201895%20barcode%20910000105444.jpg" TargetMode="External"/><Relationship Id="rId489" Type="http://schemas.openxmlformats.org/officeDocument/2006/relationships/hyperlink" Target="http://www.wikidata.org/entity/Q446966" TargetMode="External"/><Relationship Id="rId484" Type="http://schemas.openxmlformats.org/officeDocument/2006/relationships/hyperlink" Target="http://commons.wikimedia.org/wiki/Special:FilePath/Portret%20van%20Jan%20Nolet%20de%20Brauwere%20van%20Steeland%2C%20RP-P-1906-1206.jpg" TargetMode="External"/><Relationship Id="rId3010" Type="http://schemas.openxmlformats.org/officeDocument/2006/relationships/hyperlink" Target="http://www.wikidata.org/entity/Q66095885" TargetMode="External"/><Relationship Id="rId4341" Type="http://schemas.openxmlformats.org/officeDocument/2006/relationships/hyperlink" Target="http://www.wikidata.org/entity/Q122974430" TargetMode="External"/><Relationship Id="rId483" Type="http://schemas.openxmlformats.org/officeDocument/2006/relationships/hyperlink" Target="http://www.wikidata.org/entity/Q4263842" TargetMode="External"/><Relationship Id="rId4340" Type="http://schemas.openxmlformats.org/officeDocument/2006/relationships/hyperlink" Target="http://www.wikidata.org/entity/Q122974373" TargetMode="External"/><Relationship Id="rId482" Type="http://schemas.openxmlformats.org/officeDocument/2006/relationships/hyperlink" Target="http://www.wikidata.org/entity/Q329468" TargetMode="External"/><Relationship Id="rId3012" Type="http://schemas.openxmlformats.org/officeDocument/2006/relationships/hyperlink" Target="http://www.wikidata.org/entity/Q191808" TargetMode="External"/><Relationship Id="rId4343" Type="http://schemas.openxmlformats.org/officeDocument/2006/relationships/hyperlink" Target="http://www.wikidata.org/entity/Q1776501" TargetMode="External"/><Relationship Id="rId481" Type="http://schemas.openxmlformats.org/officeDocument/2006/relationships/hyperlink" Target="http://www.wikidata.org/entity/Q1056391" TargetMode="External"/><Relationship Id="rId3011" Type="http://schemas.openxmlformats.org/officeDocument/2006/relationships/hyperlink" Target="http://www.wikidata.org/entity/Q123416923" TargetMode="External"/><Relationship Id="rId4342" Type="http://schemas.openxmlformats.org/officeDocument/2006/relationships/hyperlink" Target="http://www.wikidata.org/entity/Q129121545" TargetMode="External"/><Relationship Id="rId488" Type="http://schemas.openxmlformats.org/officeDocument/2006/relationships/hyperlink" Target="http://www.wikidata.org/entity/Q18533827" TargetMode="External"/><Relationship Id="rId3014" Type="http://schemas.openxmlformats.org/officeDocument/2006/relationships/hyperlink" Target="http://www.wikidata.org/entity/Q1657500" TargetMode="External"/><Relationship Id="rId4345" Type="http://schemas.openxmlformats.org/officeDocument/2006/relationships/hyperlink" Target="http://www.wikidata.org/entity/Q191808" TargetMode="External"/><Relationship Id="rId487" Type="http://schemas.openxmlformats.org/officeDocument/2006/relationships/hyperlink" Target="http://commons.wikimedia.org/wiki/Special:FilePath/Rubio%20i%20ors.jpg" TargetMode="External"/><Relationship Id="rId3013" Type="http://schemas.openxmlformats.org/officeDocument/2006/relationships/hyperlink" Target="http://www.wikidata.org/entity/Q115980044" TargetMode="External"/><Relationship Id="rId4344" Type="http://schemas.openxmlformats.org/officeDocument/2006/relationships/hyperlink" Target="http://www.wikidata.org/entity/Q124619468" TargetMode="External"/><Relationship Id="rId486" Type="http://schemas.openxmlformats.org/officeDocument/2006/relationships/hyperlink" Target="http://www.wikidata.org/entity/Q201788" TargetMode="External"/><Relationship Id="rId3016" Type="http://schemas.openxmlformats.org/officeDocument/2006/relationships/hyperlink" Target="http://www.wikidata.org/entity/Q1056391" TargetMode="External"/><Relationship Id="rId4347" Type="http://schemas.openxmlformats.org/officeDocument/2006/relationships/hyperlink" Target="http://www.wikidata.org/entity/Q122971559" TargetMode="External"/><Relationship Id="rId485" Type="http://schemas.openxmlformats.org/officeDocument/2006/relationships/hyperlink" Target="http://www.wikidata.org/entity/Q3067739" TargetMode="External"/><Relationship Id="rId3015" Type="http://schemas.openxmlformats.org/officeDocument/2006/relationships/hyperlink" Target="http://www.wikidata.org/entity/Q120999304" TargetMode="External"/><Relationship Id="rId4346" Type="http://schemas.openxmlformats.org/officeDocument/2006/relationships/hyperlink" Target="http://commons.wikimedia.org/wiki/Special:FilePath/Schilderij%20Henri%20Dobbelaere%20Engelendale.jpg" TargetMode="External"/><Relationship Id="rId3007" Type="http://schemas.openxmlformats.org/officeDocument/2006/relationships/hyperlink" Target="http://www.wikidata.org/entity/Q122798023" TargetMode="External"/><Relationship Id="rId4338" Type="http://schemas.openxmlformats.org/officeDocument/2006/relationships/hyperlink" Target="http://www.wikidata.org/entity/Q42853596" TargetMode="External"/><Relationship Id="rId3006" Type="http://schemas.openxmlformats.org/officeDocument/2006/relationships/hyperlink" Target="http://www.wikidata.org/entity/Q2229927" TargetMode="External"/><Relationship Id="rId4337" Type="http://schemas.openxmlformats.org/officeDocument/2006/relationships/hyperlink" Target="http://www.wikidata.org/entity/Q6051619" TargetMode="External"/><Relationship Id="rId3009" Type="http://schemas.openxmlformats.org/officeDocument/2006/relationships/hyperlink" Target="http://www.wikidata.org/entity/Q125351679" TargetMode="External"/><Relationship Id="rId3008" Type="http://schemas.openxmlformats.org/officeDocument/2006/relationships/hyperlink" Target="http://www.wikidata.org/entity/Q7316604" TargetMode="External"/><Relationship Id="rId4339" Type="http://schemas.openxmlformats.org/officeDocument/2006/relationships/hyperlink" Target="http://www.wikidata.org/entity/Q18120029" TargetMode="External"/><Relationship Id="rId480" Type="http://schemas.openxmlformats.org/officeDocument/2006/relationships/hyperlink" Target="http://www.wikidata.org/entity/Q2580620" TargetMode="External"/><Relationship Id="rId479" Type="http://schemas.openxmlformats.org/officeDocument/2006/relationships/hyperlink" Target="http://commons.wikimedia.org/wiki/Special:FilePath/Johan%20Hendrik%20Caspar%20Kern.jpg" TargetMode="External"/><Relationship Id="rId478" Type="http://schemas.openxmlformats.org/officeDocument/2006/relationships/hyperlink" Target="http://www.wikidata.org/entity/Q1731155" TargetMode="External"/><Relationship Id="rId473" Type="http://schemas.openxmlformats.org/officeDocument/2006/relationships/hyperlink" Target="http://www.wikidata.org/entity/Q2580620" TargetMode="External"/><Relationship Id="rId4330" Type="http://schemas.openxmlformats.org/officeDocument/2006/relationships/hyperlink" Target="http://www.wikidata.org/entity/Q56036025" TargetMode="External"/><Relationship Id="rId472" Type="http://schemas.openxmlformats.org/officeDocument/2006/relationships/hyperlink" Target="http://www.wikidata.org/entity/Q998550" TargetMode="External"/><Relationship Id="rId471" Type="http://schemas.openxmlformats.org/officeDocument/2006/relationships/hyperlink" Target="http://www.wikidata.org/entity/Q3431564" TargetMode="External"/><Relationship Id="rId3001" Type="http://schemas.openxmlformats.org/officeDocument/2006/relationships/hyperlink" Target="http://www.wikidata.org/entity/Q118732528" TargetMode="External"/><Relationship Id="rId4332" Type="http://schemas.openxmlformats.org/officeDocument/2006/relationships/hyperlink" Target="http://www.wikidata.org/entity/Q56036025" TargetMode="External"/><Relationship Id="rId470" Type="http://schemas.openxmlformats.org/officeDocument/2006/relationships/hyperlink" Target="http://commons.wikimedia.org/wiki/Special:FilePath/WLvanHelten.jpg" TargetMode="External"/><Relationship Id="rId3000" Type="http://schemas.openxmlformats.org/officeDocument/2006/relationships/hyperlink" Target="http://www.wikidata.org/entity/Q2251335" TargetMode="External"/><Relationship Id="rId4331" Type="http://schemas.openxmlformats.org/officeDocument/2006/relationships/hyperlink" Target="http://www.wikidata.org/entity/Q36180" TargetMode="External"/><Relationship Id="rId477" Type="http://schemas.openxmlformats.org/officeDocument/2006/relationships/hyperlink" Target="http://www.wikidata.org/entity/Q571426" TargetMode="External"/><Relationship Id="rId3003" Type="http://schemas.openxmlformats.org/officeDocument/2006/relationships/hyperlink" Target="http://www.wikidata.org/entity/Q125491053" TargetMode="External"/><Relationship Id="rId4334" Type="http://schemas.openxmlformats.org/officeDocument/2006/relationships/hyperlink" Target="http://www.wikidata.org/entity/Q42853596" TargetMode="External"/><Relationship Id="rId476" Type="http://schemas.openxmlformats.org/officeDocument/2006/relationships/hyperlink" Target="http://www.wikidata.org/entity/Q201788" TargetMode="External"/><Relationship Id="rId3002" Type="http://schemas.openxmlformats.org/officeDocument/2006/relationships/hyperlink" Target="http://www.wikidata.org/entity/Q66095885" TargetMode="External"/><Relationship Id="rId4333" Type="http://schemas.openxmlformats.org/officeDocument/2006/relationships/hyperlink" Target="http://www.wikidata.org/entity/Q49757" TargetMode="External"/><Relationship Id="rId475" Type="http://schemas.openxmlformats.org/officeDocument/2006/relationships/hyperlink" Target="http://www.wikidata.org/entity/Q2580620" TargetMode="External"/><Relationship Id="rId3005" Type="http://schemas.openxmlformats.org/officeDocument/2006/relationships/hyperlink" Target="http://www.wikidata.org/entity/Q117246781" TargetMode="External"/><Relationship Id="rId4336" Type="http://schemas.openxmlformats.org/officeDocument/2006/relationships/hyperlink" Target="http://www.wikidata.org/entity/Q42853596" TargetMode="External"/><Relationship Id="rId474" Type="http://schemas.openxmlformats.org/officeDocument/2006/relationships/hyperlink" Target="http://www.wikidata.org/entity/Q182436" TargetMode="External"/><Relationship Id="rId3004" Type="http://schemas.openxmlformats.org/officeDocument/2006/relationships/hyperlink" Target="http://www.wikidata.org/entity/Q16513769" TargetMode="External"/><Relationship Id="rId4335" Type="http://schemas.openxmlformats.org/officeDocument/2006/relationships/hyperlink" Target="http://www.wikidata.org/entity/Q806798" TargetMode="External"/><Relationship Id="rId1257" Type="http://schemas.openxmlformats.org/officeDocument/2006/relationships/hyperlink" Target="http://www.wikidata.org/entity/Q1622272" TargetMode="External"/><Relationship Id="rId2588" Type="http://schemas.openxmlformats.org/officeDocument/2006/relationships/hyperlink" Target="http://www.wikidata.org/entity/Q2113250" TargetMode="External"/><Relationship Id="rId1258" Type="http://schemas.openxmlformats.org/officeDocument/2006/relationships/hyperlink" Target="http://www.wikidata.org/entity/Q113925472" TargetMode="External"/><Relationship Id="rId2589" Type="http://schemas.openxmlformats.org/officeDocument/2006/relationships/hyperlink" Target="http://www.wikidata.org/entity/Q115839320" TargetMode="External"/><Relationship Id="rId1259" Type="http://schemas.openxmlformats.org/officeDocument/2006/relationships/hyperlink" Target="http://www.wikidata.org/entity/Q435940" TargetMode="External"/><Relationship Id="rId426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425" Type="http://schemas.openxmlformats.org/officeDocument/2006/relationships/hyperlink" Target="http://www.wikidata.org/entity/Q208762" TargetMode="External"/><Relationship Id="rId424" Type="http://schemas.openxmlformats.org/officeDocument/2006/relationships/hyperlink" Target="http://www.wikidata.org/entity/Q2426280" TargetMode="External"/><Relationship Id="rId423" Type="http://schemas.openxmlformats.org/officeDocument/2006/relationships/hyperlink" Target="http://commons.wikimedia.org/wiki/Special:FilePath/Johan%20Hendrik%20Caspar%20Kern.jpg" TargetMode="External"/><Relationship Id="rId429" Type="http://schemas.openxmlformats.org/officeDocument/2006/relationships/hyperlink" Target="http://commons.wikimedia.org/wiki/Special:FilePath/PieterG%C3%A9nard.jpg" TargetMode="External"/><Relationship Id="rId428" Type="http://schemas.openxmlformats.org/officeDocument/2006/relationships/hyperlink" Target="http://www.wikidata.org/entity/Q82955" TargetMode="External"/><Relationship Id="rId427" Type="http://schemas.openxmlformats.org/officeDocument/2006/relationships/hyperlink" Target="http://www.wikidata.org/entity/Q14101076" TargetMode="External"/><Relationship Id="rId2580" Type="http://schemas.openxmlformats.org/officeDocument/2006/relationships/hyperlink" Target="http://www.wikidata.org/entity/Q2141193" TargetMode="External"/><Relationship Id="rId1250" Type="http://schemas.openxmlformats.org/officeDocument/2006/relationships/hyperlink" Target="http://www.wikidata.org/entity/Q115830433" TargetMode="External"/><Relationship Id="rId2581" Type="http://schemas.openxmlformats.org/officeDocument/2006/relationships/hyperlink" Target="http://www.wikidata.org/entity/Q115838249" TargetMode="External"/><Relationship Id="rId1251" Type="http://schemas.openxmlformats.org/officeDocument/2006/relationships/hyperlink" Target="http://www.wikidata.org/entity/Q250867" TargetMode="External"/><Relationship Id="rId2582" Type="http://schemas.openxmlformats.org/officeDocument/2006/relationships/hyperlink" Target="http://www.wikidata.org/entity/Q955464" TargetMode="External"/><Relationship Id="rId1252" Type="http://schemas.openxmlformats.org/officeDocument/2006/relationships/hyperlink" Target="http://www.wikidata.org/entity/Q62117109" TargetMode="External"/><Relationship Id="rId2583" Type="http://schemas.openxmlformats.org/officeDocument/2006/relationships/hyperlink" Target="http://www.wikidata.org/entity/Q115821481" TargetMode="External"/><Relationship Id="rId422" Type="http://schemas.openxmlformats.org/officeDocument/2006/relationships/hyperlink" Target="http://www.wikidata.org/entity/Q1622272" TargetMode="External"/><Relationship Id="rId1253" Type="http://schemas.openxmlformats.org/officeDocument/2006/relationships/hyperlink" Target="http://www.wikidata.org/entity/Q329737" TargetMode="External"/><Relationship Id="rId2584" Type="http://schemas.openxmlformats.org/officeDocument/2006/relationships/hyperlink" Target="http://www.wikidata.org/entity/Q1753370" TargetMode="External"/><Relationship Id="rId421" Type="http://schemas.openxmlformats.org/officeDocument/2006/relationships/hyperlink" Target="http://www.wikidata.org/entity/Q571426" TargetMode="External"/><Relationship Id="rId1254" Type="http://schemas.openxmlformats.org/officeDocument/2006/relationships/hyperlink" Target="http://www.wikidata.org/entity/Q115818861" TargetMode="External"/><Relationship Id="rId2585" Type="http://schemas.openxmlformats.org/officeDocument/2006/relationships/hyperlink" Target="http://www.wikidata.org/entity/Q110039170" TargetMode="External"/><Relationship Id="rId420" Type="http://schemas.openxmlformats.org/officeDocument/2006/relationships/hyperlink" Target="http://commons.wikimedia.org/wiki/Special:FilePath/James%20Weale.jpg" TargetMode="External"/><Relationship Id="rId1255" Type="http://schemas.openxmlformats.org/officeDocument/2006/relationships/hyperlink" Target="http://www.wikidata.org/entity/Q1469535" TargetMode="External"/><Relationship Id="rId2586" Type="http://schemas.openxmlformats.org/officeDocument/2006/relationships/hyperlink" Target="http://www.wikidata.org/entity/Q1753370" TargetMode="External"/><Relationship Id="rId1256" Type="http://schemas.openxmlformats.org/officeDocument/2006/relationships/hyperlink" Target="http://www.wikidata.org/entity/Q115830433" TargetMode="External"/><Relationship Id="rId2587" Type="http://schemas.openxmlformats.org/officeDocument/2006/relationships/hyperlink" Target="http://www.wikidata.org/entity/Q115818849" TargetMode="External"/><Relationship Id="rId1246" Type="http://schemas.openxmlformats.org/officeDocument/2006/relationships/hyperlink" Target="http://www.wikidata.org/entity/Q17428533" TargetMode="External"/><Relationship Id="rId2577" Type="http://schemas.openxmlformats.org/officeDocument/2006/relationships/hyperlink" Target="http://www.wikidata.org/entity/Q115834690" TargetMode="External"/><Relationship Id="rId1247" Type="http://schemas.openxmlformats.org/officeDocument/2006/relationships/hyperlink" Target="http://www.wikidata.org/entity/Q82955" TargetMode="External"/><Relationship Id="rId2578" Type="http://schemas.openxmlformats.org/officeDocument/2006/relationships/hyperlink" Target="http://www.wikidata.org/entity/Q1622272" TargetMode="External"/><Relationship Id="rId1248" Type="http://schemas.openxmlformats.org/officeDocument/2006/relationships/hyperlink" Target="http://www.wikidata.org/entity/Q115830433" TargetMode="External"/><Relationship Id="rId2579" Type="http://schemas.openxmlformats.org/officeDocument/2006/relationships/hyperlink" Target="http://www.wikidata.org/entity/Q115834690" TargetMode="External"/><Relationship Id="rId1249" Type="http://schemas.openxmlformats.org/officeDocument/2006/relationships/hyperlink" Target="http://www.wikidata.org/entity/Q1056391" TargetMode="External"/><Relationship Id="rId415" Type="http://schemas.openxmlformats.org/officeDocument/2006/relationships/hyperlink" Target="http://www.wikidata.org/entity/Q2062803" TargetMode="External"/><Relationship Id="rId414" Type="http://schemas.openxmlformats.org/officeDocument/2006/relationships/hyperlink" Target="http://commons.wikimedia.org/wiki/Special:FilePath/Edward%20De%20Gryse%20-%20priester-deken%20-%20Kortrijk.jpg" TargetMode="External"/><Relationship Id="rId413" Type="http://schemas.openxmlformats.org/officeDocument/2006/relationships/hyperlink" Target="http://www.wikidata.org/entity/Q2251335" TargetMode="External"/><Relationship Id="rId412" Type="http://schemas.openxmlformats.org/officeDocument/2006/relationships/hyperlink" Target="http://www.wikidata.org/entity/Q2345694" TargetMode="External"/><Relationship Id="rId419" Type="http://schemas.openxmlformats.org/officeDocument/2006/relationships/hyperlink" Target="http://www.wikidata.org/entity/Q212238" TargetMode="External"/><Relationship Id="rId418" Type="http://schemas.openxmlformats.org/officeDocument/2006/relationships/hyperlink" Target="http://www.wikidata.org/entity/Q2062803" TargetMode="External"/><Relationship Id="rId417" Type="http://schemas.openxmlformats.org/officeDocument/2006/relationships/hyperlink" Target="http://commons.wikimedia.org/wiki/Special:FilePath/James%20Weale.jpg" TargetMode="External"/><Relationship Id="rId416" Type="http://schemas.openxmlformats.org/officeDocument/2006/relationships/hyperlink" Target="http://www.wikidata.org/entity/Q47090899" TargetMode="External"/><Relationship Id="rId2570" Type="http://schemas.openxmlformats.org/officeDocument/2006/relationships/hyperlink" Target="http://www.wikidata.org/entity/Q883211" TargetMode="External"/><Relationship Id="rId1240" Type="http://schemas.openxmlformats.org/officeDocument/2006/relationships/hyperlink" Target="http://www.wikidata.org/entity/Q115827506" TargetMode="External"/><Relationship Id="rId2571" Type="http://schemas.openxmlformats.org/officeDocument/2006/relationships/hyperlink" Target="http://www.wikidata.org/entity/Q115834690" TargetMode="External"/><Relationship Id="rId1241" Type="http://schemas.openxmlformats.org/officeDocument/2006/relationships/hyperlink" Target="http://www.wikidata.org/entity/Q250867" TargetMode="External"/><Relationship Id="rId2572" Type="http://schemas.openxmlformats.org/officeDocument/2006/relationships/hyperlink" Target="http://www.wikidata.org/entity/Q955464" TargetMode="External"/><Relationship Id="rId411" Type="http://schemas.openxmlformats.org/officeDocument/2006/relationships/hyperlink" Target="http://commons.wikimedia.org/wiki/Special:FilePath/Joseph%20van%20den%20Gheyn%20%281854-1913%29.jpg" TargetMode="External"/><Relationship Id="rId1242" Type="http://schemas.openxmlformats.org/officeDocument/2006/relationships/hyperlink" Target="http://www.wikidata.org/entity/Q113731929" TargetMode="External"/><Relationship Id="rId2573" Type="http://schemas.openxmlformats.org/officeDocument/2006/relationships/hyperlink" Target="http://www.wikidata.org/entity/Q115834690" TargetMode="External"/><Relationship Id="rId410" Type="http://schemas.openxmlformats.org/officeDocument/2006/relationships/hyperlink" Target="http://www.wikidata.org/entity/Q4773904" TargetMode="External"/><Relationship Id="rId1243" Type="http://schemas.openxmlformats.org/officeDocument/2006/relationships/hyperlink" Target="http://www.wikidata.org/entity/Q2251335" TargetMode="External"/><Relationship Id="rId2574" Type="http://schemas.openxmlformats.org/officeDocument/2006/relationships/hyperlink" Target="http://www.wikidata.org/entity/Q250867" TargetMode="External"/><Relationship Id="rId1244" Type="http://schemas.openxmlformats.org/officeDocument/2006/relationships/hyperlink" Target="http://www.wikidata.org/entity/Q115827506" TargetMode="External"/><Relationship Id="rId2575" Type="http://schemas.openxmlformats.org/officeDocument/2006/relationships/hyperlink" Target="http://www.wikidata.org/entity/Q115825992" TargetMode="External"/><Relationship Id="rId1245" Type="http://schemas.openxmlformats.org/officeDocument/2006/relationships/hyperlink" Target="http://www.wikidata.org/entity/Q2251335" TargetMode="External"/><Relationship Id="rId2576" Type="http://schemas.openxmlformats.org/officeDocument/2006/relationships/hyperlink" Target="http://www.wikidata.org/entity/Q1657500" TargetMode="External"/><Relationship Id="rId1279" Type="http://schemas.openxmlformats.org/officeDocument/2006/relationships/hyperlink" Target="http://www.wikidata.org/entity/Q6673651" TargetMode="External"/><Relationship Id="rId4305" Type="http://schemas.openxmlformats.org/officeDocument/2006/relationships/hyperlink" Target="http://www.wikidata.org/entity/Q3421496" TargetMode="External"/><Relationship Id="rId4304" Type="http://schemas.openxmlformats.org/officeDocument/2006/relationships/hyperlink" Target="http://commons.wikimedia.org/wiki/Special:FilePath/Amaat%20Vyncke.jpg" TargetMode="External"/><Relationship Id="rId4307" Type="http://schemas.openxmlformats.org/officeDocument/2006/relationships/hyperlink" Target="http://commons.wikimedia.org/wiki/Special:FilePath/Amaat%20Vyncke.jpg" TargetMode="External"/><Relationship Id="rId4306" Type="http://schemas.openxmlformats.org/officeDocument/2006/relationships/hyperlink" Target="http://www.wikidata.org/entity/Q435940" TargetMode="External"/><Relationship Id="rId4309" Type="http://schemas.openxmlformats.org/officeDocument/2006/relationships/hyperlink" Target="http://www.wikidata.org/entity/Q1753370" TargetMode="External"/><Relationship Id="rId4308" Type="http://schemas.openxmlformats.org/officeDocument/2006/relationships/hyperlink" Target="http://www.wikidata.org/entity/Q3421496" TargetMode="External"/><Relationship Id="rId448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447" Type="http://schemas.openxmlformats.org/officeDocument/2006/relationships/hyperlink" Target="http://www.wikidata.org/entity/Q250867" TargetMode="External"/><Relationship Id="rId446" Type="http://schemas.openxmlformats.org/officeDocument/2006/relationships/hyperlink" Target="http://www.wikidata.org/entity/Q2426280" TargetMode="External"/><Relationship Id="rId445" Type="http://schemas.openxmlformats.org/officeDocument/2006/relationships/hyperlink" Target="http://www.wikidata.org/entity/Q435940" TargetMode="External"/><Relationship Id="rId449" Type="http://schemas.openxmlformats.org/officeDocument/2006/relationships/hyperlink" Target="http://www.wikidata.org/entity/Q2345694" TargetMode="External"/><Relationship Id="rId1270" Type="http://schemas.openxmlformats.org/officeDocument/2006/relationships/hyperlink" Target="http://www.wikidata.org/entity/Q115818861" TargetMode="External"/><Relationship Id="rId440" Type="http://schemas.openxmlformats.org/officeDocument/2006/relationships/hyperlink" Target="http://commons.wikimedia.org/wiki/Special:FilePath/PieterG%C3%A9nard.jpg" TargetMode="External"/><Relationship Id="rId1271" Type="http://schemas.openxmlformats.org/officeDocument/2006/relationships/hyperlink" Target="http://www.wikidata.org/entity/Q1753370" TargetMode="External"/><Relationship Id="rId1272" Type="http://schemas.openxmlformats.org/officeDocument/2006/relationships/hyperlink" Target="http://www.wikidata.org/entity/Q115819088" TargetMode="External"/><Relationship Id="rId1273" Type="http://schemas.openxmlformats.org/officeDocument/2006/relationships/hyperlink" Target="http://www.wikidata.org/entity/Q1753370" TargetMode="External"/><Relationship Id="rId1274" Type="http://schemas.openxmlformats.org/officeDocument/2006/relationships/hyperlink" Target="http://www.wikidata.org/entity/Q115834834" TargetMode="External"/><Relationship Id="rId444" Type="http://schemas.openxmlformats.org/officeDocument/2006/relationships/hyperlink" Target="http://www.wikidata.org/entity/Q11071766" TargetMode="External"/><Relationship Id="rId1275" Type="http://schemas.openxmlformats.org/officeDocument/2006/relationships/hyperlink" Target="http://www.wikidata.org/entity/Q250867" TargetMode="External"/><Relationship Id="rId4301" Type="http://schemas.openxmlformats.org/officeDocument/2006/relationships/hyperlink" Target="http://commons.wikimedia.org/wiki/Special:FilePath/Membres%20du%20Minist%C3%A8re%20%28Delcour%29.jpg" TargetMode="External"/><Relationship Id="rId443" Type="http://schemas.openxmlformats.org/officeDocument/2006/relationships/hyperlink" Target="http://commons.wikimedia.org/wiki/Special:FilePath/PieterG%C3%A9nard.jpg" TargetMode="External"/><Relationship Id="rId1276" Type="http://schemas.openxmlformats.org/officeDocument/2006/relationships/hyperlink" Target="http://www.wikidata.org/entity/Q115834873" TargetMode="External"/><Relationship Id="rId4300" Type="http://schemas.openxmlformats.org/officeDocument/2006/relationships/hyperlink" Target="http://www.wikidata.org/entity/Q32391314" TargetMode="External"/><Relationship Id="rId442" Type="http://schemas.openxmlformats.org/officeDocument/2006/relationships/hyperlink" Target="http://www.wikidata.org/entity/Q201788" TargetMode="External"/><Relationship Id="rId1277" Type="http://schemas.openxmlformats.org/officeDocument/2006/relationships/hyperlink" Target="http://www.wikidata.org/entity/Q250867" TargetMode="External"/><Relationship Id="rId4303" Type="http://schemas.openxmlformats.org/officeDocument/2006/relationships/hyperlink" Target="http://www.wikidata.org/entity/Q2251335" TargetMode="External"/><Relationship Id="rId441" Type="http://schemas.openxmlformats.org/officeDocument/2006/relationships/hyperlink" Target="http://www.wikidata.org/entity/Q14101076" TargetMode="External"/><Relationship Id="rId1278" Type="http://schemas.openxmlformats.org/officeDocument/2006/relationships/hyperlink" Target="http://www.wikidata.org/entity/Q23895006" TargetMode="External"/><Relationship Id="rId4302" Type="http://schemas.openxmlformats.org/officeDocument/2006/relationships/hyperlink" Target="http://www.wikidata.org/entity/Q3421496" TargetMode="External"/><Relationship Id="rId1268" Type="http://schemas.openxmlformats.org/officeDocument/2006/relationships/hyperlink" Target="http://www.wikidata.org/entity/Q115830433" TargetMode="External"/><Relationship Id="rId2599" Type="http://schemas.openxmlformats.org/officeDocument/2006/relationships/hyperlink" Target="http://www.wikidata.org/entity/Q115839320" TargetMode="External"/><Relationship Id="rId1269" Type="http://schemas.openxmlformats.org/officeDocument/2006/relationships/hyperlink" Target="http://www.wikidata.org/entity/Q2251335" TargetMode="External"/><Relationship Id="rId437" Type="http://schemas.openxmlformats.org/officeDocument/2006/relationships/hyperlink" Target="http://commons.wikimedia.org/wiki/Special:FilePath/WLvanHelten.jpg" TargetMode="External"/><Relationship Id="rId436" Type="http://schemas.openxmlformats.org/officeDocument/2006/relationships/hyperlink" Target="http://www.wikidata.org/entity/Q14467526" TargetMode="External"/><Relationship Id="rId435" Type="http://schemas.openxmlformats.org/officeDocument/2006/relationships/hyperlink" Target="http://www.wikidata.org/entity/Q18093100" TargetMode="External"/><Relationship Id="rId434" Type="http://schemas.openxmlformats.org/officeDocument/2006/relationships/hyperlink" Target="http://commons.wikimedia.org/wiki/Special:FilePath/Portret%20van%20Edmond%20Van%20der%20Straeten%201895%20barcode%20910000105444.jpg" TargetMode="External"/><Relationship Id="rId439" Type="http://schemas.openxmlformats.org/officeDocument/2006/relationships/hyperlink" Target="http://www.wikidata.org/entity/Q182436" TargetMode="External"/><Relationship Id="rId438" Type="http://schemas.openxmlformats.org/officeDocument/2006/relationships/hyperlink" Target="http://www.wikidata.org/entity/Q14101076" TargetMode="External"/><Relationship Id="rId2590" Type="http://schemas.openxmlformats.org/officeDocument/2006/relationships/hyperlink" Target="http://www.wikidata.org/entity/Q955464" TargetMode="External"/><Relationship Id="rId1260" Type="http://schemas.openxmlformats.org/officeDocument/2006/relationships/hyperlink" Target="http://www.wikidata.org/entity/Q115830433" TargetMode="External"/><Relationship Id="rId2591" Type="http://schemas.openxmlformats.org/officeDocument/2006/relationships/hyperlink" Target="http://www.wikidata.org/entity/Q115834690" TargetMode="External"/><Relationship Id="rId1261" Type="http://schemas.openxmlformats.org/officeDocument/2006/relationships/hyperlink" Target="http://www.wikidata.org/entity/Q1044528" TargetMode="External"/><Relationship Id="rId2592" Type="http://schemas.openxmlformats.org/officeDocument/2006/relationships/hyperlink" Target="http://www.wikidata.org/entity/Q2251335" TargetMode="External"/><Relationship Id="rId1262" Type="http://schemas.openxmlformats.org/officeDocument/2006/relationships/hyperlink" Target="http://www.wikidata.org/entity/Q115834834" TargetMode="External"/><Relationship Id="rId2593" Type="http://schemas.openxmlformats.org/officeDocument/2006/relationships/hyperlink" Target="http://www.wikidata.org/entity/Q115839965" TargetMode="External"/><Relationship Id="rId1263" Type="http://schemas.openxmlformats.org/officeDocument/2006/relationships/hyperlink" Target="http://www.wikidata.org/entity/Q955464" TargetMode="External"/><Relationship Id="rId2594" Type="http://schemas.openxmlformats.org/officeDocument/2006/relationships/hyperlink" Target="http://www.wikidata.org/entity/Q955464" TargetMode="External"/><Relationship Id="rId433" Type="http://schemas.openxmlformats.org/officeDocument/2006/relationships/hyperlink" Target="http://www.wikidata.org/entity/Q14915627" TargetMode="External"/><Relationship Id="rId1264" Type="http://schemas.openxmlformats.org/officeDocument/2006/relationships/hyperlink" Target="http://www.wikidata.org/entity/Q115834873" TargetMode="External"/><Relationship Id="rId2595" Type="http://schemas.openxmlformats.org/officeDocument/2006/relationships/hyperlink" Target="http://www.wikidata.org/entity/Q115839975" TargetMode="External"/><Relationship Id="rId432" Type="http://schemas.openxmlformats.org/officeDocument/2006/relationships/hyperlink" Target="http://www.wikidata.org/entity/Q18533827" TargetMode="External"/><Relationship Id="rId1265" Type="http://schemas.openxmlformats.org/officeDocument/2006/relationships/hyperlink" Target="http://www.wikidata.org/entity/Q955464" TargetMode="External"/><Relationship Id="rId2596" Type="http://schemas.openxmlformats.org/officeDocument/2006/relationships/hyperlink" Target="http://www.wikidata.org/entity/Q955464" TargetMode="External"/><Relationship Id="rId431" Type="http://schemas.openxmlformats.org/officeDocument/2006/relationships/hyperlink" Target="http://www.wikidata.org/entity/Q39631" TargetMode="External"/><Relationship Id="rId1266" Type="http://schemas.openxmlformats.org/officeDocument/2006/relationships/hyperlink" Target="http://www.wikidata.org/entity/Q115834873" TargetMode="External"/><Relationship Id="rId2597" Type="http://schemas.openxmlformats.org/officeDocument/2006/relationships/hyperlink" Target="http://www.wikidata.org/entity/Q110039170" TargetMode="External"/><Relationship Id="rId430" Type="http://schemas.openxmlformats.org/officeDocument/2006/relationships/hyperlink" Target="http://www.wikidata.org/entity/Q1894475" TargetMode="External"/><Relationship Id="rId1267" Type="http://schemas.openxmlformats.org/officeDocument/2006/relationships/hyperlink" Target="http://www.wikidata.org/entity/Q1162163" TargetMode="External"/><Relationship Id="rId2598" Type="http://schemas.openxmlformats.org/officeDocument/2006/relationships/hyperlink" Target="http://www.wikidata.org/entity/Q11977377" TargetMode="External"/><Relationship Id="rId3070" Type="http://schemas.openxmlformats.org/officeDocument/2006/relationships/hyperlink" Target="http://www.wikidata.org/entity/Q955464" TargetMode="External"/><Relationship Id="rId3072" Type="http://schemas.openxmlformats.org/officeDocument/2006/relationships/hyperlink" Target="http://www.wikidata.org/entity/Q1622272" TargetMode="External"/><Relationship Id="rId3071" Type="http://schemas.openxmlformats.org/officeDocument/2006/relationships/hyperlink" Target="http://www.wikidata.org/entity/Q120442396" TargetMode="External"/><Relationship Id="rId3074" Type="http://schemas.openxmlformats.org/officeDocument/2006/relationships/hyperlink" Target="http://www.wikidata.org/entity/Q1104153" TargetMode="External"/><Relationship Id="rId3073" Type="http://schemas.openxmlformats.org/officeDocument/2006/relationships/hyperlink" Target="http://www.wikidata.org/entity/Q120471627" TargetMode="External"/><Relationship Id="rId3076" Type="http://schemas.openxmlformats.org/officeDocument/2006/relationships/hyperlink" Target="http://www.wikidata.org/entity/Q15627169" TargetMode="External"/><Relationship Id="rId3075" Type="http://schemas.openxmlformats.org/officeDocument/2006/relationships/hyperlink" Target="http://www.wikidata.org/entity/Q116679969" TargetMode="External"/><Relationship Id="rId3078" Type="http://schemas.openxmlformats.org/officeDocument/2006/relationships/hyperlink" Target="http://www.wikidata.org/entity/Q37226" TargetMode="External"/><Relationship Id="rId3077" Type="http://schemas.openxmlformats.org/officeDocument/2006/relationships/hyperlink" Target="http://www.wikidata.org/entity/Q117246862" TargetMode="External"/><Relationship Id="rId3079" Type="http://schemas.openxmlformats.org/officeDocument/2006/relationships/hyperlink" Target="http://www.wikidata.org/entity/Q120442396" TargetMode="External"/><Relationship Id="rId3061" Type="http://schemas.openxmlformats.org/officeDocument/2006/relationships/hyperlink" Target="http://www.wikidata.org/entity/Q250867" TargetMode="External"/><Relationship Id="rId3060" Type="http://schemas.openxmlformats.org/officeDocument/2006/relationships/hyperlink" Target="http://www.wikidata.org/entity/Q119039938" TargetMode="External"/><Relationship Id="rId3063" Type="http://schemas.openxmlformats.org/officeDocument/2006/relationships/hyperlink" Target="http://www.wikidata.org/entity/Q998550" TargetMode="External"/><Relationship Id="rId3062" Type="http://schemas.openxmlformats.org/officeDocument/2006/relationships/hyperlink" Target="http://www.wikidata.org/entity/Q120552708" TargetMode="External"/><Relationship Id="rId3065" Type="http://schemas.openxmlformats.org/officeDocument/2006/relationships/hyperlink" Target="http://www.wikidata.org/entity/Q1776501" TargetMode="External"/><Relationship Id="rId3064" Type="http://schemas.openxmlformats.org/officeDocument/2006/relationships/hyperlink" Target="http://www.wikidata.org/entity/Q117244211" TargetMode="External"/><Relationship Id="rId3067" Type="http://schemas.openxmlformats.org/officeDocument/2006/relationships/hyperlink" Target="http://www.wikidata.org/entity/Q120727152" TargetMode="External"/><Relationship Id="rId3066" Type="http://schemas.openxmlformats.org/officeDocument/2006/relationships/hyperlink" Target="http://commons.wikimedia.org/wiki/Special:FilePath/Foto%20Dymphna%20Gezelle%20%282%29.jpg" TargetMode="External"/><Relationship Id="rId3069" Type="http://schemas.openxmlformats.org/officeDocument/2006/relationships/hyperlink" Target="http://www.wikidata.org/entity/Q120442396" TargetMode="External"/><Relationship Id="rId3068" Type="http://schemas.openxmlformats.org/officeDocument/2006/relationships/hyperlink" Target="http://www.wikidata.org/entity/Q39631" TargetMode="External"/><Relationship Id="rId3090" Type="http://schemas.openxmlformats.org/officeDocument/2006/relationships/hyperlink" Target="http://www.wikidata.org/entity/Q120897770" TargetMode="External"/><Relationship Id="rId3092" Type="http://schemas.openxmlformats.org/officeDocument/2006/relationships/hyperlink" Target="http://www.wikidata.org/entity/Q120199426" TargetMode="External"/><Relationship Id="rId3091" Type="http://schemas.openxmlformats.org/officeDocument/2006/relationships/hyperlink" Target="http://www.wikidata.org/entity/Q2101758" TargetMode="External"/><Relationship Id="rId3094" Type="http://schemas.openxmlformats.org/officeDocument/2006/relationships/hyperlink" Target="http://www.wikidata.org/entity/Q122818902" TargetMode="External"/><Relationship Id="rId3093" Type="http://schemas.openxmlformats.org/officeDocument/2006/relationships/hyperlink" Target="http://www.wikidata.org/entity/Q42603" TargetMode="External"/><Relationship Id="rId3096" Type="http://schemas.openxmlformats.org/officeDocument/2006/relationships/hyperlink" Target="http://www.wikidata.org/entity/Q116679969" TargetMode="External"/><Relationship Id="rId3095" Type="http://schemas.openxmlformats.org/officeDocument/2006/relationships/hyperlink" Target="http://www.wikidata.org/entity/Q25110562" TargetMode="External"/><Relationship Id="rId3098" Type="http://schemas.openxmlformats.org/officeDocument/2006/relationships/hyperlink" Target="http://www.wikidata.org/entity/Q122872579" TargetMode="External"/><Relationship Id="rId3097" Type="http://schemas.openxmlformats.org/officeDocument/2006/relationships/hyperlink" Target="http://www.wikidata.org/entity/Q40348" TargetMode="External"/><Relationship Id="rId3099" Type="http://schemas.openxmlformats.org/officeDocument/2006/relationships/hyperlink" Target="http://www.wikidata.org/entity/Q250867" TargetMode="External"/><Relationship Id="rId3081" Type="http://schemas.openxmlformats.org/officeDocument/2006/relationships/hyperlink" Target="http://www.wikidata.org/entity/Q123741345" TargetMode="External"/><Relationship Id="rId3080" Type="http://schemas.openxmlformats.org/officeDocument/2006/relationships/hyperlink" Target="http://www.wikidata.org/entity/Q4958876" TargetMode="External"/><Relationship Id="rId3083" Type="http://schemas.openxmlformats.org/officeDocument/2006/relationships/hyperlink" Target="http://www.wikidata.org/entity/Q125257906" TargetMode="External"/><Relationship Id="rId3082" Type="http://schemas.openxmlformats.org/officeDocument/2006/relationships/hyperlink" Target="http://www.wikidata.org/entity/Q3704253" TargetMode="External"/><Relationship Id="rId3085" Type="http://schemas.openxmlformats.org/officeDocument/2006/relationships/hyperlink" Target="http://www.wikidata.org/entity/Q119039938" TargetMode="External"/><Relationship Id="rId3084" Type="http://schemas.openxmlformats.org/officeDocument/2006/relationships/hyperlink" Target="http://www.wikidata.org/entity/Q76604670" TargetMode="External"/><Relationship Id="rId3087" Type="http://schemas.openxmlformats.org/officeDocument/2006/relationships/hyperlink" Target="http://www.wikidata.org/entity/Q117244211" TargetMode="External"/><Relationship Id="rId3086" Type="http://schemas.openxmlformats.org/officeDocument/2006/relationships/hyperlink" Target="http://www.wikidata.org/entity/Q208762" TargetMode="External"/><Relationship Id="rId3089" Type="http://schemas.openxmlformats.org/officeDocument/2006/relationships/hyperlink" Target="http://commons.wikimedia.org/wiki/Special:FilePath/Foto%20Dymphna%20Gezelle%20%282%29.jpg" TargetMode="External"/><Relationship Id="rId3088" Type="http://schemas.openxmlformats.org/officeDocument/2006/relationships/hyperlink" Target="http://www.wikidata.org/entity/Q219477" TargetMode="External"/><Relationship Id="rId3039" Type="http://schemas.openxmlformats.org/officeDocument/2006/relationships/hyperlink" Target="http://www.wikidata.org/entity/Q122884757" TargetMode="External"/><Relationship Id="rId1" Type="http://schemas.openxmlformats.org/officeDocument/2006/relationships/hyperlink" Target="http://www.wikidata.org/entity/Q3166510" TargetMode="External"/><Relationship Id="rId2" Type="http://schemas.openxmlformats.org/officeDocument/2006/relationships/hyperlink" Target="http://www.wikidata.org/entity/Q1044528" TargetMode="External"/><Relationship Id="rId3" Type="http://schemas.openxmlformats.org/officeDocument/2006/relationships/hyperlink" Target="http://commons.wikimedia.org/wiki/Special:FilePath/Brugge%20-%20Bisschop%20Faict%20%281864-1894%29%20-%20Brugge%20-%20Belgi%C3%AB.jpg" TargetMode="External"/><Relationship Id="rId4" Type="http://schemas.openxmlformats.org/officeDocument/2006/relationships/hyperlink" Target="http://www.wikidata.org/entity/Q378133" TargetMode="External"/><Relationship Id="rId3030" Type="http://schemas.openxmlformats.org/officeDocument/2006/relationships/hyperlink" Target="http://www.wikidata.org/entity/Q117264774" TargetMode="External"/><Relationship Id="rId4361" Type="http://schemas.openxmlformats.org/officeDocument/2006/relationships/hyperlink" Target="http://www.wikidata.org/entity/Q2251335" TargetMode="External"/><Relationship Id="rId4360" Type="http://schemas.openxmlformats.org/officeDocument/2006/relationships/hyperlink" Target="http://www.wikidata.org/entity/Q129121545" TargetMode="External"/><Relationship Id="rId9" Type="http://schemas.openxmlformats.org/officeDocument/2006/relationships/hyperlink" Target="http://commons.wikimedia.org/wiki/Special:FilePath/Wiseman.jpg" TargetMode="External"/><Relationship Id="rId3032" Type="http://schemas.openxmlformats.org/officeDocument/2006/relationships/hyperlink" Target="http://www.wikidata.org/entity/Q122842403" TargetMode="External"/><Relationship Id="rId4363" Type="http://schemas.openxmlformats.org/officeDocument/2006/relationships/hyperlink" Target="http://www.wikidata.org/entity/Q830337" TargetMode="External"/><Relationship Id="rId3031" Type="http://schemas.openxmlformats.org/officeDocument/2006/relationships/hyperlink" Target="http://www.wikidata.org/entity/Q191808" TargetMode="External"/><Relationship Id="rId4362" Type="http://schemas.openxmlformats.org/officeDocument/2006/relationships/hyperlink" Target="http://www.wikidata.org/entity/Q124619468" TargetMode="External"/><Relationship Id="rId3034" Type="http://schemas.openxmlformats.org/officeDocument/2006/relationships/hyperlink" Target="http://www.wikidata.org/entity/Q2251335" TargetMode="External"/><Relationship Id="rId4365" Type="http://schemas.openxmlformats.org/officeDocument/2006/relationships/hyperlink" Target="http://www.wikidata.org/entity/Q124619468" TargetMode="External"/><Relationship Id="rId3033" Type="http://schemas.openxmlformats.org/officeDocument/2006/relationships/hyperlink" Target="http://www.wikidata.org/entity/Q120651810" TargetMode="External"/><Relationship Id="rId4364" Type="http://schemas.openxmlformats.org/officeDocument/2006/relationships/hyperlink" Target="http://commons.wikimedia.org/wiki/Special:FilePath/Schilderij%20Henri%20Dobbelaere%20Engelendale.jpg" TargetMode="External"/><Relationship Id="rId5" Type="http://schemas.openxmlformats.org/officeDocument/2006/relationships/hyperlink" Target="http://www.wikidata.org/entity/Q82955" TargetMode="External"/><Relationship Id="rId3036" Type="http://schemas.openxmlformats.org/officeDocument/2006/relationships/hyperlink" Target="http://www.wikidata.org/entity/Q105186" TargetMode="External"/><Relationship Id="rId4367" Type="http://schemas.openxmlformats.org/officeDocument/2006/relationships/hyperlink" Target="http://commons.wikimedia.org/wiki/Special:FilePath/Schilderij%20Henri%20Dobbelaere%20Engelendale.jpg" TargetMode="External"/><Relationship Id="rId6" Type="http://schemas.openxmlformats.org/officeDocument/2006/relationships/hyperlink" Target="http://commons.wikimedia.org/wiki/Special:FilePath/Hendrik%20Conscience.jpg" TargetMode="External"/><Relationship Id="rId3035" Type="http://schemas.openxmlformats.org/officeDocument/2006/relationships/hyperlink" Target="http://www.wikidata.org/entity/Q125535110" TargetMode="External"/><Relationship Id="rId4366" Type="http://schemas.openxmlformats.org/officeDocument/2006/relationships/hyperlink" Target="http://www.wikidata.org/entity/Q1646408" TargetMode="External"/><Relationship Id="rId7" Type="http://schemas.openxmlformats.org/officeDocument/2006/relationships/hyperlink" Target="http://www.wikidata.org/entity/Q672816" TargetMode="External"/><Relationship Id="rId3038" Type="http://schemas.openxmlformats.org/officeDocument/2006/relationships/hyperlink" Target="http://www.wikidata.org/entity/Q435940" TargetMode="External"/><Relationship Id="rId4369" Type="http://schemas.openxmlformats.org/officeDocument/2006/relationships/hyperlink" Target="http://www.wikidata.org/entity/Q191808" TargetMode="External"/><Relationship Id="rId8" Type="http://schemas.openxmlformats.org/officeDocument/2006/relationships/hyperlink" Target="http://www.wikidata.org/entity/Q25393460" TargetMode="External"/><Relationship Id="rId3037" Type="http://schemas.openxmlformats.org/officeDocument/2006/relationships/hyperlink" Target="http://www.wikidata.org/entity/Q123717111" TargetMode="External"/><Relationship Id="rId4368" Type="http://schemas.openxmlformats.org/officeDocument/2006/relationships/hyperlink" Target="http://www.wikidata.org/entity/Q129121545" TargetMode="External"/><Relationship Id="rId3029" Type="http://schemas.openxmlformats.org/officeDocument/2006/relationships/hyperlink" Target="http://www.wikidata.org/entity/Q1753370" TargetMode="External"/><Relationship Id="rId3028" Type="http://schemas.openxmlformats.org/officeDocument/2006/relationships/hyperlink" Target="http://www.wikidata.org/entity/Q115980044" TargetMode="External"/><Relationship Id="rId4359" Type="http://schemas.openxmlformats.org/officeDocument/2006/relationships/hyperlink" Target="http://commons.wikimedia.org/wiki/Special:FilePath/Schilderij%20Henri%20Dobbelaere%20Engelendale.jpg" TargetMode="External"/><Relationship Id="rId4350" Type="http://schemas.openxmlformats.org/officeDocument/2006/relationships/hyperlink" Target="http://www.wikidata.org/entity/Q1162163" TargetMode="External"/><Relationship Id="rId3021" Type="http://schemas.openxmlformats.org/officeDocument/2006/relationships/hyperlink" Target="http://www.wikidata.org/entity/Q117226377" TargetMode="External"/><Relationship Id="rId4352" Type="http://schemas.openxmlformats.org/officeDocument/2006/relationships/hyperlink" Target="http://www.wikidata.org/entity/Q250867" TargetMode="External"/><Relationship Id="rId3020" Type="http://schemas.openxmlformats.org/officeDocument/2006/relationships/hyperlink" Target="http://www.wikidata.org/entity/Q116659577" TargetMode="External"/><Relationship Id="rId4351" Type="http://schemas.openxmlformats.org/officeDocument/2006/relationships/hyperlink" Target="http://www.wikidata.org/entity/Q122971559" TargetMode="External"/><Relationship Id="rId3023" Type="http://schemas.openxmlformats.org/officeDocument/2006/relationships/hyperlink" Target="http://www.wikidata.org/entity/Q2251335" TargetMode="External"/><Relationship Id="rId4354" Type="http://schemas.openxmlformats.org/officeDocument/2006/relationships/hyperlink" Target="http://www.wikidata.org/entity/Q2251335" TargetMode="External"/><Relationship Id="rId3022" Type="http://schemas.openxmlformats.org/officeDocument/2006/relationships/hyperlink" Target="http://www.wikidata.org/entity/Q120999304" TargetMode="External"/><Relationship Id="rId4353" Type="http://schemas.openxmlformats.org/officeDocument/2006/relationships/hyperlink" Target="http://www.wikidata.org/entity/Q122971559" TargetMode="External"/><Relationship Id="rId3025" Type="http://schemas.openxmlformats.org/officeDocument/2006/relationships/hyperlink" Target="http://www.wikidata.org/entity/Q119625198" TargetMode="External"/><Relationship Id="rId4356" Type="http://schemas.openxmlformats.org/officeDocument/2006/relationships/hyperlink" Target="http://www.wikidata.org/entity/Q1753370" TargetMode="External"/><Relationship Id="rId3024" Type="http://schemas.openxmlformats.org/officeDocument/2006/relationships/hyperlink" Target="http://www.wikidata.org/entity/Q119217748" TargetMode="External"/><Relationship Id="rId4355" Type="http://schemas.openxmlformats.org/officeDocument/2006/relationships/hyperlink" Target="http://www.wikidata.org/entity/Q122971559" TargetMode="External"/><Relationship Id="rId3027" Type="http://schemas.openxmlformats.org/officeDocument/2006/relationships/hyperlink" Target="http://www.wikidata.org/entity/Q1776501" TargetMode="External"/><Relationship Id="rId4358" Type="http://schemas.openxmlformats.org/officeDocument/2006/relationships/hyperlink" Target="http://www.wikidata.org/entity/Q186360" TargetMode="External"/><Relationship Id="rId3026" Type="http://schemas.openxmlformats.org/officeDocument/2006/relationships/hyperlink" Target="http://www.wikidata.org/entity/Q123416923" TargetMode="External"/><Relationship Id="rId4357" Type="http://schemas.openxmlformats.org/officeDocument/2006/relationships/hyperlink" Target="http://www.wikidata.org/entity/Q124619468" TargetMode="External"/><Relationship Id="rId3050" Type="http://schemas.openxmlformats.org/officeDocument/2006/relationships/hyperlink" Target="http://www.wikidata.org/entity/Q118766019" TargetMode="External"/><Relationship Id="rId3052" Type="http://schemas.openxmlformats.org/officeDocument/2006/relationships/hyperlink" Target="http://www.wikidata.org/entity/Q118766019" TargetMode="External"/><Relationship Id="rId3051" Type="http://schemas.openxmlformats.org/officeDocument/2006/relationships/hyperlink" Target="http://www.wikidata.org/entity/Q40348" TargetMode="External"/><Relationship Id="rId3054" Type="http://schemas.openxmlformats.org/officeDocument/2006/relationships/hyperlink" Target="http://www.wikidata.org/entity/Q120552708" TargetMode="External"/><Relationship Id="rId3053" Type="http://schemas.openxmlformats.org/officeDocument/2006/relationships/hyperlink" Target="http://www.wikidata.org/entity/Q16533" TargetMode="External"/><Relationship Id="rId3056" Type="http://schemas.openxmlformats.org/officeDocument/2006/relationships/hyperlink" Target="http://www.wikidata.org/entity/Q122818902" TargetMode="External"/><Relationship Id="rId3055" Type="http://schemas.openxmlformats.org/officeDocument/2006/relationships/hyperlink" Target="http://www.wikidata.org/entity/Q2516866" TargetMode="External"/><Relationship Id="rId3058" Type="http://schemas.openxmlformats.org/officeDocument/2006/relationships/hyperlink" Target="http://www.wikidata.org/entity/Q120471627" TargetMode="External"/><Relationship Id="rId3057" Type="http://schemas.openxmlformats.org/officeDocument/2006/relationships/hyperlink" Target="http://www.wikidata.org/entity/Q1540278" TargetMode="External"/><Relationship Id="rId3059" Type="http://schemas.openxmlformats.org/officeDocument/2006/relationships/hyperlink" Target="http://www.wikidata.org/entity/Q250867" TargetMode="External"/><Relationship Id="rId4370" Type="http://schemas.openxmlformats.org/officeDocument/2006/relationships/drawing" Target="../drawings/drawing1.xml"/><Relationship Id="rId3041" Type="http://schemas.openxmlformats.org/officeDocument/2006/relationships/hyperlink" Target="http://www.wikidata.org/entity/Q129072389" TargetMode="External"/><Relationship Id="rId3040" Type="http://schemas.openxmlformats.org/officeDocument/2006/relationships/hyperlink" Target="http://www.wikidata.org/entity/Q49757" TargetMode="External"/><Relationship Id="rId3043" Type="http://schemas.openxmlformats.org/officeDocument/2006/relationships/hyperlink" Target="http://www.wikidata.org/entity/Q114371470" TargetMode="External"/><Relationship Id="rId3042" Type="http://schemas.openxmlformats.org/officeDocument/2006/relationships/hyperlink" Target="http://www.wikidata.org/entity/Q120442396" TargetMode="External"/><Relationship Id="rId3045" Type="http://schemas.openxmlformats.org/officeDocument/2006/relationships/hyperlink" Target="http://www.wikidata.org/entity/Q115705951" TargetMode="External"/><Relationship Id="rId3044" Type="http://schemas.openxmlformats.org/officeDocument/2006/relationships/hyperlink" Target="http://www.wikidata.org/entity/Q120442396" TargetMode="External"/><Relationship Id="rId3047" Type="http://schemas.openxmlformats.org/officeDocument/2006/relationships/hyperlink" Target="http://www.wikidata.org/entity/Q435940" TargetMode="External"/><Relationship Id="rId3046" Type="http://schemas.openxmlformats.org/officeDocument/2006/relationships/hyperlink" Target="http://www.wikidata.org/entity/Q115980136" TargetMode="External"/><Relationship Id="rId3049" Type="http://schemas.openxmlformats.org/officeDocument/2006/relationships/hyperlink" Target="http://www.wikidata.org/entity/Q175151" TargetMode="External"/><Relationship Id="rId3048" Type="http://schemas.openxmlformats.org/officeDocument/2006/relationships/hyperlink" Target="http://www.wikidata.org/entity/Q120552708" TargetMode="External"/><Relationship Id="rId3911" Type="http://schemas.openxmlformats.org/officeDocument/2006/relationships/hyperlink" Target="http://www.wikidata.org/entity/Q2251335" TargetMode="External"/><Relationship Id="rId3910" Type="http://schemas.openxmlformats.org/officeDocument/2006/relationships/hyperlink" Target="http://www.wikidata.org/entity/Q115981938" TargetMode="External"/><Relationship Id="rId3913" Type="http://schemas.openxmlformats.org/officeDocument/2006/relationships/hyperlink" Target="http://www.wikidata.org/entity/Q116522102" TargetMode="External"/><Relationship Id="rId3912" Type="http://schemas.openxmlformats.org/officeDocument/2006/relationships/hyperlink" Target="http://www.wikidata.org/entity/Q120164850" TargetMode="External"/><Relationship Id="rId3915" Type="http://schemas.openxmlformats.org/officeDocument/2006/relationships/hyperlink" Target="http://www.wikidata.org/entity/Q120999228" TargetMode="External"/><Relationship Id="rId3914" Type="http://schemas.openxmlformats.org/officeDocument/2006/relationships/hyperlink" Target="http://www.wikidata.org/entity/Q37226" TargetMode="External"/><Relationship Id="rId3917" Type="http://schemas.openxmlformats.org/officeDocument/2006/relationships/hyperlink" Target="http://www.wikidata.org/entity/Q116508871" TargetMode="External"/><Relationship Id="rId3916" Type="http://schemas.openxmlformats.org/officeDocument/2006/relationships/hyperlink" Target="http://www.wikidata.org/entity/Q250867" TargetMode="External"/><Relationship Id="rId3919" Type="http://schemas.openxmlformats.org/officeDocument/2006/relationships/hyperlink" Target="http://www.wikidata.org/entity/Q116621811" TargetMode="External"/><Relationship Id="rId3918" Type="http://schemas.openxmlformats.org/officeDocument/2006/relationships/hyperlink" Target="http://www.wikidata.org/entity/Q116621363" TargetMode="External"/><Relationship Id="rId3900" Type="http://schemas.openxmlformats.org/officeDocument/2006/relationships/hyperlink" Target="http://www.wikidata.org/entity/Q115981931" TargetMode="External"/><Relationship Id="rId3902" Type="http://schemas.openxmlformats.org/officeDocument/2006/relationships/hyperlink" Target="http://www.wikidata.org/entity/Q115981931" TargetMode="External"/><Relationship Id="rId3901" Type="http://schemas.openxmlformats.org/officeDocument/2006/relationships/hyperlink" Target="http://www.wikidata.org/entity/Q1072363" TargetMode="External"/><Relationship Id="rId3904" Type="http://schemas.openxmlformats.org/officeDocument/2006/relationships/hyperlink" Target="http://www.wikidata.org/entity/Q115981938" TargetMode="External"/><Relationship Id="rId3903" Type="http://schemas.openxmlformats.org/officeDocument/2006/relationships/hyperlink" Target="http://www.wikidata.org/entity/Q1056391" TargetMode="External"/><Relationship Id="rId3906" Type="http://schemas.openxmlformats.org/officeDocument/2006/relationships/hyperlink" Target="http://www.wikidata.org/entity/Q115981931" TargetMode="External"/><Relationship Id="rId3905" Type="http://schemas.openxmlformats.org/officeDocument/2006/relationships/hyperlink" Target="http://www.wikidata.org/entity/Q1056391" TargetMode="External"/><Relationship Id="rId3908" Type="http://schemas.openxmlformats.org/officeDocument/2006/relationships/hyperlink" Target="http://www.wikidata.org/entity/Q115981931" TargetMode="External"/><Relationship Id="rId3907" Type="http://schemas.openxmlformats.org/officeDocument/2006/relationships/hyperlink" Target="http://www.wikidata.org/entity/Q250867" TargetMode="External"/><Relationship Id="rId3909" Type="http://schemas.openxmlformats.org/officeDocument/2006/relationships/hyperlink" Target="http://www.wikidata.org/entity/Q2251335" TargetMode="External"/><Relationship Id="rId3931" Type="http://schemas.openxmlformats.org/officeDocument/2006/relationships/hyperlink" Target="http://commons.wikimedia.org/wiki/Special:FilePath/Doodsprentje%20Mathilde%20Catteeuw.tif" TargetMode="External"/><Relationship Id="rId2600" Type="http://schemas.openxmlformats.org/officeDocument/2006/relationships/hyperlink" Target="http://www.wikidata.org/entity/Q250867" TargetMode="External"/><Relationship Id="rId3930" Type="http://schemas.openxmlformats.org/officeDocument/2006/relationships/hyperlink" Target="http://www.wikidata.org/entity/Q2313151" TargetMode="External"/><Relationship Id="rId2601" Type="http://schemas.openxmlformats.org/officeDocument/2006/relationships/hyperlink" Target="http://www.wikidata.org/entity/Q115821481" TargetMode="External"/><Relationship Id="rId3933" Type="http://schemas.openxmlformats.org/officeDocument/2006/relationships/hyperlink" Target="http://www.wikidata.org/entity/Q250867" TargetMode="External"/><Relationship Id="rId2602" Type="http://schemas.openxmlformats.org/officeDocument/2006/relationships/hyperlink" Target="http://www.wikidata.org/entity/Q756215" TargetMode="External"/><Relationship Id="rId3932" Type="http://schemas.openxmlformats.org/officeDocument/2006/relationships/hyperlink" Target="http://www.wikidata.org/entity/Q120884878" TargetMode="External"/><Relationship Id="rId2603" Type="http://schemas.openxmlformats.org/officeDocument/2006/relationships/hyperlink" Target="http://www.wikidata.org/entity/Q115839965" TargetMode="External"/><Relationship Id="rId3935" Type="http://schemas.openxmlformats.org/officeDocument/2006/relationships/hyperlink" Target="http://www.wikidata.org/entity/Q955464" TargetMode="External"/><Relationship Id="rId2604" Type="http://schemas.openxmlformats.org/officeDocument/2006/relationships/hyperlink" Target="http://www.wikidata.org/entity/Q4991371" TargetMode="External"/><Relationship Id="rId3934" Type="http://schemas.openxmlformats.org/officeDocument/2006/relationships/hyperlink" Target="http://www.wikidata.org/entity/Q115979812" TargetMode="External"/><Relationship Id="rId2605" Type="http://schemas.openxmlformats.org/officeDocument/2006/relationships/hyperlink" Target="http://www.wikidata.org/entity/Q115839320" TargetMode="External"/><Relationship Id="rId3937" Type="http://schemas.openxmlformats.org/officeDocument/2006/relationships/hyperlink" Target="http://www.wikidata.org/entity/Q250867" TargetMode="External"/><Relationship Id="rId2606" Type="http://schemas.openxmlformats.org/officeDocument/2006/relationships/hyperlink" Target="http://www.wikidata.org/entity/Q2251335" TargetMode="External"/><Relationship Id="rId3936" Type="http://schemas.openxmlformats.org/officeDocument/2006/relationships/hyperlink" Target="http://www.wikidata.org/entity/Q123416074" TargetMode="External"/><Relationship Id="rId808" Type="http://schemas.openxmlformats.org/officeDocument/2006/relationships/hyperlink" Target="http://commons.wikimedia.org/wiki/Special:FilePath/HugoVerriest.jpg" TargetMode="External"/><Relationship Id="rId2607" Type="http://schemas.openxmlformats.org/officeDocument/2006/relationships/hyperlink" Target="http://www.wikidata.org/entity/Q55420570" TargetMode="External"/><Relationship Id="rId3939" Type="http://schemas.openxmlformats.org/officeDocument/2006/relationships/hyperlink" Target="http://www.wikidata.org/entity/Q1162163" TargetMode="External"/><Relationship Id="rId807" Type="http://schemas.openxmlformats.org/officeDocument/2006/relationships/hyperlink" Target="http://www.wikidata.org/entity/Q1162163" TargetMode="External"/><Relationship Id="rId2608" Type="http://schemas.openxmlformats.org/officeDocument/2006/relationships/hyperlink" Target="http://www.wikidata.org/entity/Q1753370" TargetMode="External"/><Relationship Id="rId3938" Type="http://schemas.openxmlformats.org/officeDocument/2006/relationships/hyperlink" Target="http://www.wikidata.org/entity/Q115979812" TargetMode="External"/><Relationship Id="rId806" Type="http://schemas.openxmlformats.org/officeDocument/2006/relationships/hyperlink" Target="http://www.wikidata.org/entity/Q981444" TargetMode="External"/><Relationship Id="rId2609" Type="http://schemas.openxmlformats.org/officeDocument/2006/relationships/hyperlink" Target="http://www.wikidata.org/entity/Q115839975" TargetMode="External"/><Relationship Id="rId805" Type="http://schemas.openxmlformats.org/officeDocument/2006/relationships/hyperlink" Target="http://www.wikidata.org/entity/Q14467526" TargetMode="External"/><Relationship Id="rId809" Type="http://schemas.openxmlformats.org/officeDocument/2006/relationships/hyperlink" Target="http://www.wikidata.org/entity/Q2361397" TargetMode="External"/><Relationship Id="rId800" Type="http://schemas.openxmlformats.org/officeDocument/2006/relationships/hyperlink" Target="http://commons.wikimedia.org/wiki/Special:FilePath/Ferdinand%20Vander%20Haeghen.jpg" TargetMode="External"/><Relationship Id="rId804" Type="http://schemas.openxmlformats.org/officeDocument/2006/relationships/hyperlink" Target="http://www.wikidata.org/entity/Q2360914" TargetMode="External"/><Relationship Id="rId803" Type="http://schemas.openxmlformats.org/officeDocument/2006/relationships/hyperlink" Target="http://commons.wikimedia.org/wiki/Special:FilePath/Ferdinand%20Vander%20Haeghen.jpg" TargetMode="External"/><Relationship Id="rId802" Type="http://schemas.openxmlformats.org/officeDocument/2006/relationships/hyperlink" Target="http://www.wikidata.org/entity/Q201788" TargetMode="External"/><Relationship Id="rId801" Type="http://schemas.openxmlformats.org/officeDocument/2006/relationships/hyperlink" Target="http://www.wikidata.org/entity/Q2065109" TargetMode="External"/><Relationship Id="rId3920" Type="http://schemas.openxmlformats.org/officeDocument/2006/relationships/hyperlink" Target="http://www.wikidata.org/entity/Q115981931" TargetMode="External"/><Relationship Id="rId3922" Type="http://schemas.openxmlformats.org/officeDocument/2006/relationships/hyperlink" Target="http://www.wikidata.org/entity/Q117244772" TargetMode="External"/><Relationship Id="rId3921" Type="http://schemas.openxmlformats.org/officeDocument/2006/relationships/hyperlink" Target="http://www.wikidata.org/entity/Q1657500" TargetMode="External"/><Relationship Id="rId3924" Type="http://schemas.openxmlformats.org/officeDocument/2006/relationships/hyperlink" Target="http://www.wikidata.org/entity/Q37226" TargetMode="External"/><Relationship Id="rId3923" Type="http://schemas.openxmlformats.org/officeDocument/2006/relationships/hyperlink" Target="http://www.wikidata.org/entity/Q115846413" TargetMode="External"/><Relationship Id="rId3926" Type="http://schemas.openxmlformats.org/officeDocument/2006/relationships/hyperlink" Target="http://www.wikidata.org/entity/Q2251335" TargetMode="External"/><Relationship Id="rId3925" Type="http://schemas.openxmlformats.org/officeDocument/2006/relationships/hyperlink" Target="http://www.wikidata.org/entity/Q120999228" TargetMode="External"/><Relationship Id="rId3928" Type="http://schemas.openxmlformats.org/officeDocument/2006/relationships/hyperlink" Target="http://www.wikidata.org/entity/Q955464" TargetMode="External"/><Relationship Id="rId3927" Type="http://schemas.openxmlformats.org/officeDocument/2006/relationships/hyperlink" Target="http://www.wikidata.org/entity/Q120884878" TargetMode="External"/><Relationship Id="rId3929" Type="http://schemas.openxmlformats.org/officeDocument/2006/relationships/hyperlink" Target="http://www.wikidata.org/entity/Q116621552" TargetMode="External"/><Relationship Id="rId1334" Type="http://schemas.openxmlformats.org/officeDocument/2006/relationships/hyperlink" Target="http://www.wikidata.org/entity/Q1657500" TargetMode="External"/><Relationship Id="rId2665" Type="http://schemas.openxmlformats.org/officeDocument/2006/relationships/hyperlink" Target="http://www.wikidata.org/entity/Q87648661" TargetMode="External"/><Relationship Id="rId3997" Type="http://schemas.openxmlformats.org/officeDocument/2006/relationships/hyperlink" Target="http://www.wikidata.org/entity/Q2496044" TargetMode="External"/><Relationship Id="rId1335" Type="http://schemas.openxmlformats.org/officeDocument/2006/relationships/hyperlink" Target="http://www.wikidata.org/entity/Q98322098" TargetMode="External"/><Relationship Id="rId2666" Type="http://schemas.openxmlformats.org/officeDocument/2006/relationships/hyperlink" Target="http://www.wikidata.org/entity/Q42973" TargetMode="External"/><Relationship Id="rId3996" Type="http://schemas.openxmlformats.org/officeDocument/2006/relationships/hyperlink" Target="http://www.wikidata.org/entity/Q1776501" TargetMode="External"/><Relationship Id="rId1336" Type="http://schemas.openxmlformats.org/officeDocument/2006/relationships/hyperlink" Target="http://www.wikidata.org/entity/Q2251335" TargetMode="External"/><Relationship Id="rId2667" Type="http://schemas.openxmlformats.org/officeDocument/2006/relationships/hyperlink" Target="http://www.wikidata.org/entity/Q100534520" TargetMode="External"/><Relationship Id="rId3999" Type="http://schemas.openxmlformats.org/officeDocument/2006/relationships/hyperlink" Target="http://www.wikidata.org/entity/Q123615494" TargetMode="External"/><Relationship Id="rId1337" Type="http://schemas.openxmlformats.org/officeDocument/2006/relationships/hyperlink" Target="http://www.wikidata.org/entity/Q56174577" TargetMode="External"/><Relationship Id="rId2668" Type="http://schemas.openxmlformats.org/officeDocument/2006/relationships/hyperlink" Target="http://www.wikidata.org/entity/Q82955" TargetMode="External"/><Relationship Id="rId3998" Type="http://schemas.openxmlformats.org/officeDocument/2006/relationships/hyperlink" Target="http://www.wikidata.org/entity/Q45684" TargetMode="External"/><Relationship Id="rId1338" Type="http://schemas.openxmlformats.org/officeDocument/2006/relationships/hyperlink" Target="http://www.wikidata.org/entity/Q2443377" TargetMode="External"/><Relationship Id="rId2669" Type="http://schemas.openxmlformats.org/officeDocument/2006/relationships/hyperlink" Target="http://commons.wikimedia.org/wiki/Special:FilePath/Adolf%20Karel%20vader%20Petrus%20moeder%20Carolina%20Verriest%20in%201861.jpg" TargetMode="External"/><Relationship Id="rId1339" Type="http://schemas.openxmlformats.org/officeDocument/2006/relationships/hyperlink" Target="http://www.wikidata.org/entity/Q115838563" TargetMode="External"/><Relationship Id="rId745" Type="http://schemas.openxmlformats.org/officeDocument/2006/relationships/hyperlink" Target="http://www.wikidata.org/entity/Q1056391" TargetMode="External"/><Relationship Id="rId744" Type="http://schemas.openxmlformats.org/officeDocument/2006/relationships/hyperlink" Target="http://www.wikidata.org/entity/Q377071" TargetMode="External"/><Relationship Id="rId743" Type="http://schemas.openxmlformats.org/officeDocument/2006/relationships/hyperlink" Target="http://www.wikidata.org/entity/Q36834" TargetMode="External"/><Relationship Id="rId742" Type="http://schemas.openxmlformats.org/officeDocument/2006/relationships/hyperlink" Target="http://www.wikidata.org/entity/Q2182589" TargetMode="External"/><Relationship Id="rId749" Type="http://schemas.openxmlformats.org/officeDocument/2006/relationships/hyperlink" Target="http://commons.wikimedia.org/wiki/Special:FilePath/Max%20Rooses.jpg" TargetMode="External"/><Relationship Id="rId748" Type="http://schemas.openxmlformats.org/officeDocument/2006/relationships/hyperlink" Target="http://www.wikidata.org/entity/Q4164507" TargetMode="External"/><Relationship Id="rId747" Type="http://schemas.openxmlformats.org/officeDocument/2006/relationships/hyperlink" Target="http://www.wikidata.org/entity/Q2413334" TargetMode="External"/><Relationship Id="rId746" Type="http://schemas.openxmlformats.org/officeDocument/2006/relationships/hyperlink" Target="http://commons.wikimedia.org/wiki/Special:FilePath/Edgar%20Tinel%201911.jpg" TargetMode="External"/><Relationship Id="rId3991" Type="http://schemas.openxmlformats.org/officeDocument/2006/relationships/hyperlink" Target="http://www.wikidata.org/entity/Q2251335" TargetMode="External"/><Relationship Id="rId2660" Type="http://schemas.openxmlformats.org/officeDocument/2006/relationships/hyperlink" Target="http://www.wikidata.org/entity/Q42603" TargetMode="External"/><Relationship Id="rId3990" Type="http://schemas.openxmlformats.org/officeDocument/2006/relationships/hyperlink" Target="http://www.wikidata.org/entity/Q115982585" TargetMode="External"/><Relationship Id="rId741" Type="http://schemas.openxmlformats.org/officeDocument/2006/relationships/hyperlink" Target="http://commons.wikimedia.org/wiki/Special:FilePath/Portret%20van%20Jean%20Casier%201880%20barcode%20910000105033.jpg" TargetMode="External"/><Relationship Id="rId1330" Type="http://schemas.openxmlformats.org/officeDocument/2006/relationships/hyperlink" Target="http://commons.wikimedia.org/wiki/Special:FilePath/Pierre%20Nicolas%20Croquison.jpg" TargetMode="External"/><Relationship Id="rId2661" Type="http://schemas.openxmlformats.org/officeDocument/2006/relationships/hyperlink" Target="http://www.wikidata.org/entity/Q115855636" TargetMode="External"/><Relationship Id="rId3993" Type="http://schemas.openxmlformats.org/officeDocument/2006/relationships/hyperlink" Target="http://www.wikidata.org/entity/Q1622272" TargetMode="External"/><Relationship Id="rId740" Type="http://schemas.openxmlformats.org/officeDocument/2006/relationships/hyperlink" Target="http://www.wikidata.org/entity/Q82955" TargetMode="External"/><Relationship Id="rId1331" Type="http://schemas.openxmlformats.org/officeDocument/2006/relationships/hyperlink" Target="http://www.wikidata.org/entity/Q115836854" TargetMode="External"/><Relationship Id="rId2662" Type="http://schemas.openxmlformats.org/officeDocument/2006/relationships/hyperlink" Target="http://www.wikidata.org/entity/Q191808" TargetMode="External"/><Relationship Id="rId3992" Type="http://schemas.openxmlformats.org/officeDocument/2006/relationships/hyperlink" Target="http://www.wikidata.org/entity/Q13769746" TargetMode="External"/><Relationship Id="rId1332" Type="http://schemas.openxmlformats.org/officeDocument/2006/relationships/hyperlink" Target="http://www.wikidata.org/entity/Q1753370" TargetMode="External"/><Relationship Id="rId2663" Type="http://schemas.openxmlformats.org/officeDocument/2006/relationships/hyperlink" Target="http://www.wikidata.org/entity/Q115822210" TargetMode="External"/><Relationship Id="rId3995" Type="http://schemas.openxmlformats.org/officeDocument/2006/relationships/hyperlink" Target="http://www.wikidata.org/entity/Q131928133" TargetMode="External"/><Relationship Id="rId1333" Type="http://schemas.openxmlformats.org/officeDocument/2006/relationships/hyperlink" Target="http://www.wikidata.org/entity/Q13575367" TargetMode="External"/><Relationship Id="rId2664" Type="http://schemas.openxmlformats.org/officeDocument/2006/relationships/hyperlink" Target="http://www.wikidata.org/entity/Q42603" TargetMode="External"/><Relationship Id="rId3994" Type="http://schemas.openxmlformats.org/officeDocument/2006/relationships/hyperlink" Target="http://commons.wikimedia.org/wiki/Special:FilePath/GlasraamLodewijkScharpe.jpg" TargetMode="External"/><Relationship Id="rId1323" Type="http://schemas.openxmlformats.org/officeDocument/2006/relationships/hyperlink" Target="http://www.wikidata.org/entity/Q955464" TargetMode="External"/><Relationship Id="rId2654" Type="http://schemas.openxmlformats.org/officeDocument/2006/relationships/hyperlink" Target="http://www.wikidata.org/entity/Q918824" TargetMode="External"/><Relationship Id="rId3986" Type="http://schemas.openxmlformats.org/officeDocument/2006/relationships/hyperlink" Target="http://www.wikidata.org/entity/Q120829902" TargetMode="External"/><Relationship Id="rId1324" Type="http://schemas.openxmlformats.org/officeDocument/2006/relationships/hyperlink" Target="http://www.wikidata.org/entity/Q98322098" TargetMode="External"/><Relationship Id="rId2655" Type="http://schemas.openxmlformats.org/officeDocument/2006/relationships/hyperlink" Target="http://www.wikidata.org/entity/Q115815697" TargetMode="External"/><Relationship Id="rId3985" Type="http://schemas.openxmlformats.org/officeDocument/2006/relationships/hyperlink" Target="http://www.wikidata.org/entity/Q191808" TargetMode="External"/><Relationship Id="rId1325" Type="http://schemas.openxmlformats.org/officeDocument/2006/relationships/hyperlink" Target="http://www.wikidata.org/entity/Q589298" TargetMode="External"/><Relationship Id="rId2656" Type="http://schemas.openxmlformats.org/officeDocument/2006/relationships/hyperlink" Target="http://www.wikidata.org/entity/Q42603" TargetMode="External"/><Relationship Id="rId3988" Type="http://schemas.openxmlformats.org/officeDocument/2006/relationships/hyperlink" Target="http://www.wikidata.org/entity/Q122971209" TargetMode="External"/><Relationship Id="rId1326" Type="http://schemas.openxmlformats.org/officeDocument/2006/relationships/hyperlink" Target="http://www.wikidata.org/entity/Q98322098" TargetMode="External"/><Relationship Id="rId2657" Type="http://schemas.openxmlformats.org/officeDocument/2006/relationships/hyperlink" Target="http://www.wikidata.org/entity/Q115308515" TargetMode="External"/><Relationship Id="rId3987" Type="http://schemas.openxmlformats.org/officeDocument/2006/relationships/hyperlink" Target="http://www.wikidata.org/entity/Q114371470" TargetMode="External"/><Relationship Id="rId1327" Type="http://schemas.openxmlformats.org/officeDocument/2006/relationships/hyperlink" Target="http://www.wikidata.org/entity/Q250867" TargetMode="External"/><Relationship Id="rId2658" Type="http://schemas.openxmlformats.org/officeDocument/2006/relationships/hyperlink" Target="http://www.wikidata.org/entity/Q1753370" TargetMode="External"/><Relationship Id="rId1328" Type="http://schemas.openxmlformats.org/officeDocument/2006/relationships/hyperlink" Target="http://www.wikidata.org/entity/Q28584401" TargetMode="External"/><Relationship Id="rId2659" Type="http://schemas.openxmlformats.org/officeDocument/2006/relationships/hyperlink" Target="http://www.wikidata.org/entity/Q115818718" TargetMode="External"/><Relationship Id="rId3989" Type="http://schemas.openxmlformats.org/officeDocument/2006/relationships/hyperlink" Target="http://www.wikidata.org/entity/Q43683879" TargetMode="External"/><Relationship Id="rId1329" Type="http://schemas.openxmlformats.org/officeDocument/2006/relationships/hyperlink" Target="http://www.wikidata.org/entity/Q2251335" TargetMode="External"/><Relationship Id="rId739" Type="http://schemas.openxmlformats.org/officeDocument/2006/relationships/hyperlink" Target="http://www.wikidata.org/entity/Q3171149" TargetMode="External"/><Relationship Id="rId734" Type="http://schemas.openxmlformats.org/officeDocument/2006/relationships/hyperlink" Target="http://commons.wikimedia.org/wiki/Special:FilePath/De%20Potter%20Frans%20070512.png" TargetMode="External"/><Relationship Id="rId733" Type="http://schemas.openxmlformats.org/officeDocument/2006/relationships/hyperlink" Target="http://www.wikidata.org/entity/Q114037016" TargetMode="External"/><Relationship Id="rId732" Type="http://schemas.openxmlformats.org/officeDocument/2006/relationships/hyperlink" Target="http://www.wikidata.org/entity/Q15461013" TargetMode="External"/><Relationship Id="rId731" Type="http://schemas.openxmlformats.org/officeDocument/2006/relationships/hyperlink" Target="http://www.wikidata.org/entity/Q1930187" TargetMode="External"/><Relationship Id="rId738" Type="http://schemas.openxmlformats.org/officeDocument/2006/relationships/hyperlink" Target="http://www.wikidata.org/entity/Q1958649" TargetMode="External"/><Relationship Id="rId737" Type="http://schemas.openxmlformats.org/officeDocument/2006/relationships/hyperlink" Target="http://www.wikidata.org/entity/Q94896539" TargetMode="External"/><Relationship Id="rId736" Type="http://schemas.openxmlformats.org/officeDocument/2006/relationships/hyperlink" Target="http://www.wikidata.org/entity/Q36180" TargetMode="External"/><Relationship Id="rId735" Type="http://schemas.openxmlformats.org/officeDocument/2006/relationships/hyperlink" Target="http://www.wikidata.org/entity/Q26845752" TargetMode="External"/><Relationship Id="rId3980" Type="http://schemas.openxmlformats.org/officeDocument/2006/relationships/hyperlink" Target="http://www.wikidata.org/entity/Q115982585" TargetMode="External"/><Relationship Id="rId730" Type="http://schemas.openxmlformats.org/officeDocument/2006/relationships/hyperlink" Target="http://www.wikidata.org/entity/Q37793252" TargetMode="External"/><Relationship Id="rId2650" Type="http://schemas.openxmlformats.org/officeDocument/2006/relationships/hyperlink" Target="http://www.wikidata.org/entity/Q1776501" TargetMode="External"/><Relationship Id="rId3982" Type="http://schemas.openxmlformats.org/officeDocument/2006/relationships/hyperlink" Target="http://www.wikidata.org/entity/Q123615494" TargetMode="External"/><Relationship Id="rId1320" Type="http://schemas.openxmlformats.org/officeDocument/2006/relationships/hyperlink" Target="http://www.wikidata.org/entity/Q4964182" TargetMode="External"/><Relationship Id="rId2651" Type="http://schemas.openxmlformats.org/officeDocument/2006/relationships/hyperlink" Target="http://www.wikidata.org/entity/Q115852702" TargetMode="External"/><Relationship Id="rId3981" Type="http://schemas.openxmlformats.org/officeDocument/2006/relationships/hyperlink" Target="http://www.wikidata.org/entity/Q250867" TargetMode="External"/><Relationship Id="rId1321" Type="http://schemas.openxmlformats.org/officeDocument/2006/relationships/hyperlink" Target="http://commons.wikimedia.org/wiki/Special:FilePath/Bartholomew%20Woodlock%2C%20portrait.png" TargetMode="External"/><Relationship Id="rId2652" Type="http://schemas.openxmlformats.org/officeDocument/2006/relationships/hyperlink" Target="http://www.wikidata.org/entity/Q191808" TargetMode="External"/><Relationship Id="rId3984" Type="http://schemas.openxmlformats.org/officeDocument/2006/relationships/hyperlink" Target="http://www.wikidata.org/entity/Q123417058" TargetMode="External"/><Relationship Id="rId1322" Type="http://schemas.openxmlformats.org/officeDocument/2006/relationships/hyperlink" Target="http://www.wikidata.org/entity/Q98322098" TargetMode="External"/><Relationship Id="rId2653" Type="http://schemas.openxmlformats.org/officeDocument/2006/relationships/hyperlink" Target="http://www.wikidata.org/entity/Q115825992" TargetMode="External"/><Relationship Id="rId3983" Type="http://schemas.openxmlformats.org/officeDocument/2006/relationships/hyperlink" Target="http://www.wikidata.org/entity/Q6606110" TargetMode="External"/><Relationship Id="rId1356" Type="http://schemas.openxmlformats.org/officeDocument/2006/relationships/hyperlink" Target="http://www.wikidata.org/entity/Q1162163" TargetMode="External"/><Relationship Id="rId2687" Type="http://schemas.openxmlformats.org/officeDocument/2006/relationships/hyperlink" Target="http://commons.wikimedia.org/wiki/Special:FilePath/Adolf%20Karel%20vader%20Petrus%20moeder%20Carolina%20Verriest%20in%201861.jpg" TargetMode="External"/><Relationship Id="rId1357" Type="http://schemas.openxmlformats.org/officeDocument/2006/relationships/hyperlink" Target="http://www.wikidata.org/entity/Q64727835" TargetMode="External"/><Relationship Id="rId2688" Type="http://schemas.openxmlformats.org/officeDocument/2006/relationships/hyperlink" Target="http://www.wikidata.org/entity/Q100534520" TargetMode="External"/><Relationship Id="rId1358" Type="http://schemas.openxmlformats.org/officeDocument/2006/relationships/hyperlink" Target="http://www.wikidata.org/entity/Q611644" TargetMode="External"/><Relationship Id="rId2689" Type="http://schemas.openxmlformats.org/officeDocument/2006/relationships/hyperlink" Target="http://www.wikidata.org/entity/Q49757" TargetMode="External"/><Relationship Id="rId1359" Type="http://schemas.openxmlformats.org/officeDocument/2006/relationships/hyperlink" Target="http://www.wikidata.org/entity/Q64727835" TargetMode="External"/><Relationship Id="rId767" Type="http://schemas.openxmlformats.org/officeDocument/2006/relationships/hyperlink" Target="http://www.wikidata.org/entity/Q719358" TargetMode="External"/><Relationship Id="rId766" Type="http://schemas.openxmlformats.org/officeDocument/2006/relationships/hyperlink" Target="http://www.wikidata.org/entity/Q201788" TargetMode="External"/><Relationship Id="rId765" Type="http://schemas.openxmlformats.org/officeDocument/2006/relationships/hyperlink" Target="http://www.wikidata.org/entity/Q2360914" TargetMode="External"/><Relationship Id="rId764" Type="http://schemas.openxmlformats.org/officeDocument/2006/relationships/hyperlink" Target="http://commons.wikimedia.org/wiki/Special:FilePath/Ferdinand%20Vander%20Haeghen.jpg" TargetMode="External"/><Relationship Id="rId769" Type="http://schemas.openxmlformats.org/officeDocument/2006/relationships/hyperlink" Target="http://commons.wikimedia.org/wiki/Special:FilePath/Theophiel%20Coopman%20%281852-1915%29.jpg" TargetMode="External"/><Relationship Id="rId768" Type="http://schemas.openxmlformats.org/officeDocument/2006/relationships/hyperlink" Target="http://www.wikidata.org/entity/Q1162163" TargetMode="External"/><Relationship Id="rId2680" Type="http://schemas.openxmlformats.org/officeDocument/2006/relationships/hyperlink" Target="http://www.wikidata.org/entity/Q39631" TargetMode="External"/><Relationship Id="rId1350" Type="http://schemas.openxmlformats.org/officeDocument/2006/relationships/hyperlink" Target="http://www.wikidata.org/entity/Q82955" TargetMode="External"/><Relationship Id="rId2681" Type="http://schemas.openxmlformats.org/officeDocument/2006/relationships/hyperlink" Target="http://www.wikidata.org/entity/Q115811922" TargetMode="External"/><Relationship Id="rId1351" Type="http://schemas.openxmlformats.org/officeDocument/2006/relationships/hyperlink" Target="http://www.wikidata.org/entity/Q98322098" TargetMode="External"/><Relationship Id="rId2682" Type="http://schemas.openxmlformats.org/officeDocument/2006/relationships/hyperlink" Target="http://www.wikidata.org/entity/Q114371470" TargetMode="External"/><Relationship Id="rId763" Type="http://schemas.openxmlformats.org/officeDocument/2006/relationships/hyperlink" Target="http://www.wikidata.org/entity/Q18120029" TargetMode="External"/><Relationship Id="rId1352" Type="http://schemas.openxmlformats.org/officeDocument/2006/relationships/hyperlink" Target="http://www.wikidata.org/entity/Q1753370" TargetMode="External"/><Relationship Id="rId2683" Type="http://schemas.openxmlformats.org/officeDocument/2006/relationships/hyperlink" Target="http://www.wikidata.org/entity/Q115979048" TargetMode="External"/><Relationship Id="rId762" Type="http://schemas.openxmlformats.org/officeDocument/2006/relationships/hyperlink" Target="http://www.wikidata.org/entity/Q2065109" TargetMode="External"/><Relationship Id="rId1353" Type="http://schemas.openxmlformats.org/officeDocument/2006/relationships/hyperlink" Target="http://www.wikidata.org/entity/Q115834873" TargetMode="External"/><Relationship Id="rId2684" Type="http://schemas.openxmlformats.org/officeDocument/2006/relationships/hyperlink" Target="http://www.wikidata.org/entity/Q1753370" TargetMode="External"/><Relationship Id="rId761" Type="http://schemas.openxmlformats.org/officeDocument/2006/relationships/hyperlink" Target="http://commons.wikimedia.org/wiki/Special:FilePath/Josephus%20Alberdingk%20Thijm%20portret%20%281864-1889%29.png" TargetMode="External"/><Relationship Id="rId1354" Type="http://schemas.openxmlformats.org/officeDocument/2006/relationships/hyperlink" Target="http://www.wikidata.org/entity/Q25378518" TargetMode="External"/><Relationship Id="rId2685" Type="http://schemas.openxmlformats.org/officeDocument/2006/relationships/hyperlink" Target="http://www.wikidata.org/entity/Q100534520" TargetMode="External"/><Relationship Id="rId760" Type="http://schemas.openxmlformats.org/officeDocument/2006/relationships/hyperlink" Target="http://www.wikidata.org/entity/Q2516866" TargetMode="External"/><Relationship Id="rId1355" Type="http://schemas.openxmlformats.org/officeDocument/2006/relationships/hyperlink" Target="http://www.wikidata.org/entity/Q45029767" TargetMode="External"/><Relationship Id="rId2686" Type="http://schemas.openxmlformats.org/officeDocument/2006/relationships/hyperlink" Target="http://www.wikidata.org/entity/Q40348" TargetMode="External"/><Relationship Id="rId1345" Type="http://schemas.openxmlformats.org/officeDocument/2006/relationships/hyperlink" Target="http://commons.wikimedia.org/wiki/Special:FilePath/Bartholomew%20Woodlock%2C%20portrait.png" TargetMode="External"/><Relationship Id="rId2676" Type="http://schemas.openxmlformats.org/officeDocument/2006/relationships/hyperlink" Target="http://www.wikidata.org/entity/Q115979048" TargetMode="External"/><Relationship Id="rId1346" Type="http://schemas.openxmlformats.org/officeDocument/2006/relationships/hyperlink" Target="http://www.wikidata.org/entity/Q4865289" TargetMode="External"/><Relationship Id="rId2677" Type="http://schemas.openxmlformats.org/officeDocument/2006/relationships/hyperlink" Target="http://www.wikidata.org/entity/Q250867" TargetMode="External"/><Relationship Id="rId1347" Type="http://schemas.openxmlformats.org/officeDocument/2006/relationships/hyperlink" Target="http://www.wikidata.org/entity/Q1231865" TargetMode="External"/><Relationship Id="rId2678" Type="http://schemas.openxmlformats.org/officeDocument/2006/relationships/hyperlink" Target="http://www.wikidata.org/entity/Q113486838" TargetMode="External"/><Relationship Id="rId1348" Type="http://schemas.openxmlformats.org/officeDocument/2006/relationships/hyperlink" Target="http://commons.wikimedia.org/wiki/Special:FilePath/Bartholomew%20Woodlock%2C%20portrait.png" TargetMode="External"/><Relationship Id="rId2679" Type="http://schemas.openxmlformats.org/officeDocument/2006/relationships/hyperlink" Target="http://www.wikidata.org/entity/Q115844439" TargetMode="External"/><Relationship Id="rId1349" Type="http://schemas.openxmlformats.org/officeDocument/2006/relationships/hyperlink" Target="http://www.wikidata.org/entity/Q61506427" TargetMode="External"/><Relationship Id="rId756" Type="http://schemas.openxmlformats.org/officeDocument/2006/relationships/hyperlink" Target="http://www.wikidata.org/entity/Q2606766" TargetMode="External"/><Relationship Id="rId755" Type="http://schemas.openxmlformats.org/officeDocument/2006/relationships/hyperlink" Target="http://commons.wikimedia.org/wiki/Special:FilePath/Langendonck.jpg" TargetMode="External"/><Relationship Id="rId754" Type="http://schemas.openxmlformats.org/officeDocument/2006/relationships/hyperlink" Target="http://www.wikidata.org/entity/Q49757" TargetMode="External"/><Relationship Id="rId753" Type="http://schemas.openxmlformats.org/officeDocument/2006/relationships/hyperlink" Target="http://www.wikidata.org/entity/Q2754460" TargetMode="External"/><Relationship Id="rId759" Type="http://schemas.openxmlformats.org/officeDocument/2006/relationships/hyperlink" Target="http://www.wikidata.org/entity/Q1978794" TargetMode="External"/><Relationship Id="rId758" Type="http://schemas.openxmlformats.org/officeDocument/2006/relationships/hyperlink" Target="http://commons.wikimedia.org/wiki/Special:FilePath/G%C3%A9rard%20van%20Caloen%20%28detail%29.jpg" TargetMode="External"/><Relationship Id="rId757" Type="http://schemas.openxmlformats.org/officeDocument/2006/relationships/hyperlink" Target="http://www.wikidata.org/entity/Q10567966" TargetMode="External"/><Relationship Id="rId2670" Type="http://schemas.openxmlformats.org/officeDocument/2006/relationships/hyperlink" Target="http://www.wikidata.org/entity/Q75279907" TargetMode="External"/><Relationship Id="rId1340" Type="http://schemas.openxmlformats.org/officeDocument/2006/relationships/hyperlink" Target="http://www.wikidata.org/entity/Q1753370" TargetMode="External"/><Relationship Id="rId2671" Type="http://schemas.openxmlformats.org/officeDocument/2006/relationships/hyperlink" Target="http://www.wikidata.org/entity/Q830337" TargetMode="External"/><Relationship Id="rId752" Type="http://schemas.openxmlformats.org/officeDocument/2006/relationships/hyperlink" Target="http://commons.wikimedia.org/wiki/Special:FilePath/Edgar%20Tinel%201911.jpg" TargetMode="External"/><Relationship Id="rId1341" Type="http://schemas.openxmlformats.org/officeDocument/2006/relationships/hyperlink" Target="http://www.wikidata.org/entity/Q62117109" TargetMode="External"/><Relationship Id="rId2672" Type="http://schemas.openxmlformats.org/officeDocument/2006/relationships/hyperlink" Target="http://www.wikidata.org/entity/Q115818849" TargetMode="External"/><Relationship Id="rId751" Type="http://schemas.openxmlformats.org/officeDocument/2006/relationships/hyperlink" Target="http://www.wikidata.org/entity/Q486748" TargetMode="External"/><Relationship Id="rId1342" Type="http://schemas.openxmlformats.org/officeDocument/2006/relationships/hyperlink" Target="http://www.wikidata.org/entity/Q3075052" TargetMode="External"/><Relationship Id="rId2673" Type="http://schemas.openxmlformats.org/officeDocument/2006/relationships/hyperlink" Target="http://www.wikidata.org/entity/Q45684" TargetMode="External"/><Relationship Id="rId750" Type="http://schemas.openxmlformats.org/officeDocument/2006/relationships/hyperlink" Target="http://www.wikidata.org/entity/Q377071" TargetMode="External"/><Relationship Id="rId1343" Type="http://schemas.openxmlformats.org/officeDocument/2006/relationships/hyperlink" Target="http://www.wikidata.org/entity/Q4865289" TargetMode="External"/><Relationship Id="rId2674" Type="http://schemas.openxmlformats.org/officeDocument/2006/relationships/hyperlink" Target="http://www.wikidata.org/entity/Q115979048" TargetMode="External"/><Relationship Id="rId1344" Type="http://schemas.openxmlformats.org/officeDocument/2006/relationships/hyperlink" Target="http://www.wikidata.org/entity/Q1056391" TargetMode="External"/><Relationship Id="rId2675" Type="http://schemas.openxmlformats.org/officeDocument/2006/relationships/hyperlink" Target="http://www.wikidata.org/entity/Q955464" TargetMode="External"/><Relationship Id="rId2621" Type="http://schemas.openxmlformats.org/officeDocument/2006/relationships/hyperlink" Target="http://www.wikidata.org/entity/Q115822210" TargetMode="External"/><Relationship Id="rId3953" Type="http://schemas.openxmlformats.org/officeDocument/2006/relationships/hyperlink" Target="http://www.wikidata.org/entity/Q49757" TargetMode="External"/><Relationship Id="rId2622" Type="http://schemas.openxmlformats.org/officeDocument/2006/relationships/hyperlink" Target="http://www.wikidata.org/entity/Q435940" TargetMode="External"/><Relationship Id="rId3952" Type="http://schemas.openxmlformats.org/officeDocument/2006/relationships/hyperlink" Target="http://www.wikidata.org/entity/Q136703696" TargetMode="External"/><Relationship Id="rId2623" Type="http://schemas.openxmlformats.org/officeDocument/2006/relationships/hyperlink" Target="http://www.wikidata.org/entity/Q115825992" TargetMode="External"/><Relationship Id="rId3955" Type="http://schemas.openxmlformats.org/officeDocument/2006/relationships/hyperlink" Target="http://www.wikidata.org/entity/Q250867" TargetMode="External"/><Relationship Id="rId2624" Type="http://schemas.openxmlformats.org/officeDocument/2006/relationships/hyperlink" Target="http://www.wikidata.org/entity/Q435940" TargetMode="External"/><Relationship Id="rId3954" Type="http://schemas.openxmlformats.org/officeDocument/2006/relationships/hyperlink" Target="http://www.wikidata.org/entity/Q136734381" TargetMode="External"/><Relationship Id="rId2625" Type="http://schemas.openxmlformats.org/officeDocument/2006/relationships/hyperlink" Target="http://www.wikidata.org/entity/Q75279907" TargetMode="External"/><Relationship Id="rId3957" Type="http://schemas.openxmlformats.org/officeDocument/2006/relationships/hyperlink" Target="http://www.wikidata.org/entity/Q2251335" TargetMode="External"/><Relationship Id="rId2626" Type="http://schemas.openxmlformats.org/officeDocument/2006/relationships/hyperlink" Target="http://www.wikidata.org/entity/Q191808" TargetMode="External"/><Relationship Id="rId3956" Type="http://schemas.openxmlformats.org/officeDocument/2006/relationships/hyperlink" Target="http://www.wikidata.org/entity/Q115979812" TargetMode="External"/><Relationship Id="rId2627" Type="http://schemas.openxmlformats.org/officeDocument/2006/relationships/hyperlink" Target="http://www.wikidata.org/entity/Q115308515" TargetMode="External"/><Relationship Id="rId3959" Type="http://schemas.openxmlformats.org/officeDocument/2006/relationships/hyperlink" Target="http://www.wikidata.org/entity/Q118395622" TargetMode="External"/><Relationship Id="rId2628" Type="http://schemas.openxmlformats.org/officeDocument/2006/relationships/hyperlink" Target="http://www.wikidata.org/entity/Q250867" TargetMode="External"/><Relationship Id="rId3958" Type="http://schemas.openxmlformats.org/officeDocument/2006/relationships/hyperlink" Target="http://www.wikidata.org/entity/Q115982585" TargetMode="External"/><Relationship Id="rId709" Type="http://schemas.openxmlformats.org/officeDocument/2006/relationships/hyperlink" Target="http://www.wikidata.org/entity/Q635734" TargetMode="External"/><Relationship Id="rId2629" Type="http://schemas.openxmlformats.org/officeDocument/2006/relationships/hyperlink" Target="http://www.wikidata.org/entity/Q115839965" TargetMode="External"/><Relationship Id="rId708" Type="http://schemas.openxmlformats.org/officeDocument/2006/relationships/hyperlink" Target="http://www.wikidata.org/entity/Q94896539" TargetMode="External"/><Relationship Id="rId707" Type="http://schemas.openxmlformats.org/officeDocument/2006/relationships/hyperlink" Target="http://www.wikidata.org/entity/Q432386" TargetMode="External"/><Relationship Id="rId706" Type="http://schemas.openxmlformats.org/officeDocument/2006/relationships/hyperlink" Target="http://www.wikidata.org/entity/Q94896539" TargetMode="External"/><Relationship Id="rId701" Type="http://schemas.openxmlformats.org/officeDocument/2006/relationships/hyperlink" Target="http://www.wikidata.org/entity/Q175151" TargetMode="External"/><Relationship Id="rId700" Type="http://schemas.openxmlformats.org/officeDocument/2006/relationships/hyperlink" Target="http://www.wikidata.org/entity/Q22002048" TargetMode="External"/><Relationship Id="rId705" Type="http://schemas.openxmlformats.org/officeDocument/2006/relationships/hyperlink" Target="http://www.wikidata.org/entity/Q1028181" TargetMode="External"/><Relationship Id="rId704" Type="http://schemas.openxmlformats.org/officeDocument/2006/relationships/hyperlink" Target="http://www.wikidata.org/entity/Q22002048" TargetMode="External"/><Relationship Id="rId703" Type="http://schemas.openxmlformats.org/officeDocument/2006/relationships/hyperlink" Target="http://www.wikidata.org/entity/Q201788" TargetMode="External"/><Relationship Id="rId702" Type="http://schemas.openxmlformats.org/officeDocument/2006/relationships/hyperlink" Target="http://www.wikidata.org/entity/Q94896539" TargetMode="External"/><Relationship Id="rId3951" Type="http://schemas.openxmlformats.org/officeDocument/2006/relationships/hyperlink" Target="http://commons.wikimedia.org/wiki/Special:FilePath/EdwardVanEven.jpg" TargetMode="External"/><Relationship Id="rId2620" Type="http://schemas.openxmlformats.org/officeDocument/2006/relationships/hyperlink" Target="http://www.wikidata.org/entity/Q82955" TargetMode="External"/><Relationship Id="rId3950" Type="http://schemas.openxmlformats.org/officeDocument/2006/relationships/hyperlink" Target="http://www.wikidata.org/entity/Q6673651" TargetMode="External"/><Relationship Id="rId2610" Type="http://schemas.openxmlformats.org/officeDocument/2006/relationships/hyperlink" Target="http://www.wikidata.org/entity/Q2251335" TargetMode="External"/><Relationship Id="rId3942" Type="http://schemas.openxmlformats.org/officeDocument/2006/relationships/hyperlink" Target="http://www.wikidata.org/entity/Q125275288" TargetMode="External"/><Relationship Id="rId2611" Type="http://schemas.openxmlformats.org/officeDocument/2006/relationships/hyperlink" Target="http://www.wikidata.org/entity/Q115821481" TargetMode="External"/><Relationship Id="rId3941" Type="http://schemas.openxmlformats.org/officeDocument/2006/relationships/hyperlink" Target="http://www.wikidata.org/entity/Q250867" TargetMode="External"/><Relationship Id="rId2612" Type="http://schemas.openxmlformats.org/officeDocument/2006/relationships/hyperlink" Target="http://www.wikidata.org/entity/Q352388" TargetMode="External"/><Relationship Id="rId3944" Type="http://schemas.openxmlformats.org/officeDocument/2006/relationships/hyperlink" Target="http://www.wikidata.org/entity/Q122971209" TargetMode="External"/><Relationship Id="rId2613" Type="http://schemas.openxmlformats.org/officeDocument/2006/relationships/hyperlink" Target="http://www.wikidata.org/entity/Q113466955" TargetMode="External"/><Relationship Id="rId3943" Type="http://schemas.openxmlformats.org/officeDocument/2006/relationships/hyperlink" Target="http://www.wikidata.org/entity/Q7313543" TargetMode="External"/><Relationship Id="rId2614" Type="http://schemas.openxmlformats.org/officeDocument/2006/relationships/hyperlink" Target="http://www.wikidata.org/entity/Q285759" TargetMode="External"/><Relationship Id="rId3946" Type="http://schemas.openxmlformats.org/officeDocument/2006/relationships/hyperlink" Target="http://www.wikidata.org/entity/Q13575404" TargetMode="External"/><Relationship Id="rId2615" Type="http://schemas.openxmlformats.org/officeDocument/2006/relationships/hyperlink" Target="http://commons.wikimedia.org/wiki/Special:FilePath/Cordelia%20Van%20de%20Wiele%20-%20secretaresse%20Guido%20Gezelle.jpg" TargetMode="External"/><Relationship Id="rId3945" Type="http://schemas.openxmlformats.org/officeDocument/2006/relationships/hyperlink" Target="http://www.wikidata.org/entity/Q33109310" TargetMode="External"/><Relationship Id="rId2616" Type="http://schemas.openxmlformats.org/officeDocument/2006/relationships/hyperlink" Target="http://www.wikidata.org/entity/Q113466955" TargetMode="External"/><Relationship Id="rId3948" Type="http://schemas.openxmlformats.org/officeDocument/2006/relationships/hyperlink" Target="http://commons.wikimedia.org/wiki/Special:FilePath/EdwardVanEven.jpg" TargetMode="External"/><Relationship Id="rId2617" Type="http://schemas.openxmlformats.org/officeDocument/2006/relationships/hyperlink" Target="http://www.wikidata.org/entity/Q80687" TargetMode="External"/><Relationship Id="rId3947" Type="http://schemas.openxmlformats.org/officeDocument/2006/relationships/hyperlink" Target="http://www.wikidata.org/entity/Q10732476" TargetMode="External"/><Relationship Id="rId2618" Type="http://schemas.openxmlformats.org/officeDocument/2006/relationships/hyperlink" Target="http://commons.wikimedia.org/wiki/Special:FilePath/Cordelia%20Van%20de%20Wiele%20-%20secretaresse%20Guido%20Gezelle.jpg" TargetMode="External"/><Relationship Id="rId2619" Type="http://schemas.openxmlformats.org/officeDocument/2006/relationships/hyperlink" Target="http://www.wikidata.org/entity/Q115844439" TargetMode="External"/><Relationship Id="rId3949" Type="http://schemas.openxmlformats.org/officeDocument/2006/relationships/hyperlink" Target="http://www.wikidata.org/entity/Q13575404" TargetMode="External"/><Relationship Id="rId3940" Type="http://schemas.openxmlformats.org/officeDocument/2006/relationships/hyperlink" Target="http://www.wikidata.org/entity/Q115979812" TargetMode="External"/><Relationship Id="rId1312" Type="http://schemas.openxmlformats.org/officeDocument/2006/relationships/hyperlink" Target="http://www.wikidata.org/entity/Q1028181" TargetMode="External"/><Relationship Id="rId2643" Type="http://schemas.openxmlformats.org/officeDocument/2006/relationships/hyperlink" Target="http://www.wikidata.org/entity/Q56036023" TargetMode="External"/><Relationship Id="rId3975" Type="http://schemas.openxmlformats.org/officeDocument/2006/relationships/hyperlink" Target="http://www.wikidata.org/entity/Q16513769" TargetMode="External"/><Relationship Id="rId1313" Type="http://schemas.openxmlformats.org/officeDocument/2006/relationships/hyperlink" Target="http://www.wikidata.org/entity/Q56174577" TargetMode="External"/><Relationship Id="rId2644" Type="http://schemas.openxmlformats.org/officeDocument/2006/relationships/hyperlink" Target="http://www.wikidata.org/entity/Q40348" TargetMode="External"/><Relationship Id="rId3974" Type="http://schemas.openxmlformats.org/officeDocument/2006/relationships/hyperlink" Target="http://www.wikidata.org/entity/Q126734623" TargetMode="External"/><Relationship Id="rId1314" Type="http://schemas.openxmlformats.org/officeDocument/2006/relationships/hyperlink" Target="http://www.wikidata.org/entity/Q2516866" TargetMode="External"/><Relationship Id="rId2645" Type="http://schemas.openxmlformats.org/officeDocument/2006/relationships/hyperlink" Target="http://www.wikidata.org/entity/Q115844249" TargetMode="External"/><Relationship Id="rId3977" Type="http://schemas.openxmlformats.org/officeDocument/2006/relationships/hyperlink" Target="http://www.wikidata.org/entity/Q1162163" TargetMode="External"/><Relationship Id="rId1315" Type="http://schemas.openxmlformats.org/officeDocument/2006/relationships/hyperlink" Target="http://www.wikidata.org/entity/Q13575367" TargetMode="External"/><Relationship Id="rId2646" Type="http://schemas.openxmlformats.org/officeDocument/2006/relationships/hyperlink" Target="http://www.wikidata.org/entity/Q191808" TargetMode="External"/><Relationship Id="rId3976" Type="http://schemas.openxmlformats.org/officeDocument/2006/relationships/hyperlink" Target="http://www.wikidata.org/entity/Q115982585" TargetMode="External"/><Relationship Id="rId1316" Type="http://schemas.openxmlformats.org/officeDocument/2006/relationships/hyperlink" Target="http://www.wikidata.org/entity/Q2251335" TargetMode="External"/><Relationship Id="rId2647" Type="http://schemas.openxmlformats.org/officeDocument/2006/relationships/hyperlink" Target="http://www.wikidata.org/entity/Q115308515" TargetMode="External"/><Relationship Id="rId3979" Type="http://schemas.openxmlformats.org/officeDocument/2006/relationships/hyperlink" Target="http://www.wikidata.org/entity/Q191808" TargetMode="External"/><Relationship Id="rId1317" Type="http://schemas.openxmlformats.org/officeDocument/2006/relationships/hyperlink" Target="http://www.wikidata.org/entity/Q115830433" TargetMode="External"/><Relationship Id="rId2648" Type="http://schemas.openxmlformats.org/officeDocument/2006/relationships/hyperlink" Target="http://www.wikidata.org/entity/Q1657500" TargetMode="External"/><Relationship Id="rId3978" Type="http://schemas.openxmlformats.org/officeDocument/2006/relationships/hyperlink" Target="http://www.wikidata.org/entity/Q123414712" TargetMode="External"/><Relationship Id="rId1318" Type="http://schemas.openxmlformats.org/officeDocument/2006/relationships/hyperlink" Target="http://www.wikidata.org/entity/Q1958649" TargetMode="External"/><Relationship Id="rId2649" Type="http://schemas.openxmlformats.org/officeDocument/2006/relationships/hyperlink" Target="http://www.wikidata.org/entity/Q115844249" TargetMode="External"/><Relationship Id="rId1319" Type="http://schemas.openxmlformats.org/officeDocument/2006/relationships/hyperlink" Target="http://www.wikidata.org/entity/Q4865289" TargetMode="External"/><Relationship Id="rId729" Type="http://schemas.openxmlformats.org/officeDocument/2006/relationships/hyperlink" Target="http://www.wikidata.org/entity/Q201788" TargetMode="External"/><Relationship Id="rId728" Type="http://schemas.openxmlformats.org/officeDocument/2006/relationships/hyperlink" Target="http://www.wikidata.org/entity/Q37793252" TargetMode="External"/><Relationship Id="rId723" Type="http://schemas.openxmlformats.org/officeDocument/2006/relationships/hyperlink" Target="http://www.wikidata.org/entity/Q2251335" TargetMode="External"/><Relationship Id="rId722" Type="http://schemas.openxmlformats.org/officeDocument/2006/relationships/hyperlink" Target="http://www.wikidata.org/entity/Q28973684" TargetMode="External"/><Relationship Id="rId721" Type="http://schemas.openxmlformats.org/officeDocument/2006/relationships/hyperlink" Target="http://www.wikidata.org/entity/Q201788" TargetMode="External"/><Relationship Id="rId720" Type="http://schemas.openxmlformats.org/officeDocument/2006/relationships/hyperlink" Target="http://www.wikidata.org/entity/Q55672664" TargetMode="External"/><Relationship Id="rId727" Type="http://schemas.openxmlformats.org/officeDocument/2006/relationships/hyperlink" Target="http://www.wikidata.org/entity/Q16947657" TargetMode="External"/><Relationship Id="rId726" Type="http://schemas.openxmlformats.org/officeDocument/2006/relationships/hyperlink" Target="http://www.wikidata.org/entity/Q22002048" TargetMode="External"/><Relationship Id="rId725" Type="http://schemas.openxmlformats.org/officeDocument/2006/relationships/hyperlink" Target="http://www.wikidata.org/entity/Q7239684" TargetMode="External"/><Relationship Id="rId724" Type="http://schemas.openxmlformats.org/officeDocument/2006/relationships/hyperlink" Target="http://www.wikidata.org/entity/Q94896539" TargetMode="External"/><Relationship Id="rId3971" Type="http://schemas.openxmlformats.org/officeDocument/2006/relationships/hyperlink" Target="http://www.wikidata.org/entity/Q82955" TargetMode="External"/><Relationship Id="rId2640" Type="http://schemas.openxmlformats.org/officeDocument/2006/relationships/hyperlink" Target="http://www.wikidata.org/entity/Q1753370" TargetMode="External"/><Relationship Id="rId3970" Type="http://schemas.openxmlformats.org/officeDocument/2006/relationships/hyperlink" Target="http://www.wikidata.org/entity/Q123615494" TargetMode="External"/><Relationship Id="rId1310" Type="http://schemas.openxmlformats.org/officeDocument/2006/relationships/hyperlink" Target="http://www.wikidata.org/entity/Q516463" TargetMode="External"/><Relationship Id="rId2641" Type="http://schemas.openxmlformats.org/officeDocument/2006/relationships/hyperlink" Target="http://www.wikidata.org/entity/Q115806479" TargetMode="External"/><Relationship Id="rId3973" Type="http://schemas.openxmlformats.org/officeDocument/2006/relationships/hyperlink" Target="http://www.wikidata.org/entity/Q191808" TargetMode="External"/><Relationship Id="rId1311" Type="http://schemas.openxmlformats.org/officeDocument/2006/relationships/hyperlink" Target="http://www.wikidata.org/entity/Q56174577" TargetMode="External"/><Relationship Id="rId2642" Type="http://schemas.openxmlformats.org/officeDocument/2006/relationships/hyperlink" Target="http://www.wikidata.org/entity/Q42603" TargetMode="External"/><Relationship Id="rId3972" Type="http://schemas.openxmlformats.org/officeDocument/2006/relationships/hyperlink" Target="http://www.wikidata.org/entity/Q131928133" TargetMode="External"/><Relationship Id="rId1301" Type="http://schemas.openxmlformats.org/officeDocument/2006/relationships/hyperlink" Target="http://www.wikidata.org/entity/Q113731929" TargetMode="External"/><Relationship Id="rId2632" Type="http://schemas.openxmlformats.org/officeDocument/2006/relationships/hyperlink" Target="http://www.wikidata.org/entity/Q1469535" TargetMode="External"/><Relationship Id="rId3964" Type="http://schemas.openxmlformats.org/officeDocument/2006/relationships/hyperlink" Target="http://www.wikidata.org/entity/Q131923924" TargetMode="External"/><Relationship Id="rId1302" Type="http://schemas.openxmlformats.org/officeDocument/2006/relationships/hyperlink" Target="http://www.wikidata.org/entity/Q1958649" TargetMode="External"/><Relationship Id="rId2633" Type="http://schemas.openxmlformats.org/officeDocument/2006/relationships/hyperlink" Target="http://www.wikidata.org/entity/Q115838249" TargetMode="External"/><Relationship Id="rId3963" Type="http://schemas.openxmlformats.org/officeDocument/2006/relationships/hyperlink" Target="http://www.wikidata.org/entity/Q49757" TargetMode="External"/><Relationship Id="rId1303" Type="http://schemas.openxmlformats.org/officeDocument/2006/relationships/hyperlink" Target="http://www.wikidata.org/entity/Q13575367" TargetMode="External"/><Relationship Id="rId2634" Type="http://schemas.openxmlformats.org/officeDocument/2006/relationships/hyperlink" Target="http://www.wikidata.org/entity/Q1753370" TargetMode="External"/><Relationship Id="rId3966" Type="http://schemas.openxmlformats.org/officeDocument/2006/relationships/hyperlink" Target="http://www.wikidata.org/entity/Q136735429" TargetMode="External"/><Relationship Id="rId1304" Type="http://schemas.openxmlformats.org/officeDocument/2006/relationships/hyperlink" Target="http://www.wikidata.org/entity/Q955464" TargetMode="External"/><Relationship Id="rId2635" Type="http://schemas.openxmlformats.org/officeDocument/2006/relationships/hyperlink" Target="http://www.wikidata.org/entity/Q115308515" TargetMode="External"/><Relationship Id="rId3965" Type="http://schemas.openxmlformats.org/officeDocument/2006/relationships/hyperlink" Target="http://www.wikidata.org/entity/Q191808" TargetMode="External"/><Relationship Id="rId1305" Type="http://schemas.openxmlformats.org/officeDocument/2006/relationships/hyperlink" Target="http://www.wikidata.org/entity/Q115827506" TargetMode="External"/><Relationship Id="rId2636" Type="http://schemas.openxmlformats.org/officeDocument/2006/relationships/hyperlink" Target="http://www.wikidata.org/entity/Q2251335" TargetMode="External"/><Relationship Id="rId3968" Type="http://schemas.openxmlformats.org/officeDocument/2006/relationships/hyperlink" Target="http://www.wikidata.org/entity/Q125357784" TargetMode="External"/><Relationship Id="rId1306" Type="http://schemas.openxmlformats.org/officeDocument/2006/relationships/hyperlink" Target="http://www.wikidata.org/entity/Q1753370" TargetMode="External"/><Relationship Id="rId2637" Type="http://schemas.openxmlformats.org/officeDocument/2006/relationships/hyperlink" Target="http://www.wikidata.org/entity/Q115839965" TargetMode="External"/><Relationship Id="rId3967" Type="http://schemas.openxmlformats.org/officeDocument/2006/relationships/hyperlink" Target="http://www.wikidata.org/entity/Q474306" TargetMode="External"/><Relationship Id="rId1307" Type="http://schemas.openxmlformats.org/officeDocument/2006/relationships/hyperlink" Target="http://www.wikidata.org/entity/Q13575367" TargetMode="External"/><Relationship Id="rId2638" Type="http://schemas.openxmlformats.org/officeDocument/2006/relationships/hyperlink" Target="http://www.wikidata.org/entity/Q1753370" TargetMode="External"/><Relationship Id="rId1308" Type="http://schemas.openxmlformats.org/officeDocument/2006/relationships/hyperlink" Target="http://www.wikidata.org/entity/Q250867" TargetMode="External"/><Relationship Id="rId2639" Type="http://schemas.openxmlformats.org/officeDocument/2006/relationships/hyperlink" Target="http://www.wikidata.org/entity/Q115839975" TargetMode="External"/><Relationship Id="rId3969" Type="http://schemas.openxmlformats.org/officeDocument/2006/relationships/hyperlink" Target="http://www.wikidata.org/entity/Q37226" TargetMode="External"/><Relationship Id="rId1309" Type="http://schemas.openxmlformats.org/officeDocument/2006/relationships/hyperlink" Target="http://www.wikidata.org/entity/Q56174577" TargetMode="External"/><Relationship Id="rId719" Type="http://schemas.openxmlformats.org/officeDocument/2006/relationships/hyperlink" Target="http://www.wikidata.org/entity/Q2251335" TargetMode="External"/><Relationship Id="rId718" Type="http://schemas.openxmlformats.org/officeDocument/2006/relationships/hyperlink" Target="http://www.wikidata.org/entity/Q22002048" TargetMode="External"/><Relationship Id="rId717" Type="http://schemas.openxmlformats.org/officeDocument/2006/relationships/hyperlink" Target="http://www.wikidata.org/entity/Q3391743" TargetMode="External"/><Relationship Id="rId712" Type="http://schemas.openxmlformats.org/officeDocument/2006/relationships/hyperlink" Target="http://www.wikidata.org/entity/Q22002048" TargetMode="External"/><Relationship Id="rId711" Type="http://schemas.openxmlformats.org/officeDocument/2006/relationships/hyperlink" Target="http://www.wikidata.org/entity/Q329439" TargetMode="External"/><Relationship Id="rId710" Type="http://schemas.openxmlformats.org/officeDocument/2006/relationships/hyperlink" Target="http://www.wikidata.org/entity/Q22002048" TargetMode="External"/><Relationship Id="rId716" Type="http://schemas.openxmlformats.org/officeDocument/2006/relationships/hyperlink" Target="http://www.wikidata.org/entity/Q22002048" TargetMode="External"/><Relationship Id="rId715" Type="http://schemas.openxmlformats.org/officeDocument/2006/relationships/hyperlink" Target="http://www.wikidata.org/entity/Q1753370" TargetMode="External"/><Relationship Id="rId714" Type="http://schemas.openxmlformats.org/officeDocument/2006/relationships/hyperlink" Target="http://www.wikidata.org/entity/Q113681935" TargetMode="External"/><Relationship Id="rId713" Type="http://schemas.openxmlformats.org/officeDocument/2006/relationships/hyperlink" Target="http://www.wikidata.org/entity/Q1925963" TargetMode="External"/><Relationship Id="rId3960" Type="http://schemas.openxmlformats.org/officeDocument/2006/relationships/hyperlink" Target="http://www.wikidata.org/entity/Q2496044" TargetMode="External"/><Relationship Id="rId2630" Type="http://schemas.openxmlformats.org/officeDocument/2006/relationships/hyperlink" Target="http://www.wikidata.org/entity/Q1469535" TargetMode="External"/><Relationship Id="rId3962" Type="http://schemas.openxmlformats.org/officeDocument/2006/relationships/hyperlink" Target="http://www.wikidata.org/entity/Q2496044" TargetMode="External"/><Relationship Id="rId1300" Type="http://schemas.openxmlformats.org/officeDocument/2006/relationships/hyperlink" Target="http://www.wikidata.org/entity/Q2251335" TargetMode="External"/><Relationship Id="rId2631" Type="http://schemas.openxmlformats.org/officeDocument/2006/relationships/hyperlink" Target="http://www.wikidata.org/entity/Q115839975" TargetMode="External"/><Relationship Id="rId3961" Type="http://schemas.openxmlformats.org/officeDocument/2006/relationships/hyperlink" Target="http://www.wikidata.org/entity/Q36180" TargetMode="External"/><Relationship Id="rId3117" Type="http://schemas.openxmlformats.org/officeDocument/2006/relationships/hyperlink" Target="http://www.wikidata.org/entity/Q333634" TargetMode="External"/><Relationship Id="rId3116" Type="http://schemas.openxmlformats.org/officeDocument/2006/relationships/hyperlink" Target="http://www.wikidata.org/entity/Q122884757" TargetMode="External"/><Relationship Id="rId3119" Type="http://schemas.openxmlformats.org/officeDocument/2006/relationships/hyperlink" Target="http://www.wikidata.org/entity/Q876864" TargetMode="External"/><Relationship Id="rId3118" Type="http://schemas.openxmlformats.org/officeDocument/2006/relationships/hyperlink" Target="http://www.wikidata.org/entity/Q122884757" TargetMode="External"/><Relationship Id="rId3111" Type="http://schemas.openxmlformats.org/officeDocument/2006/relationships/hyperlink" Target="http://www.wikidata.org/entity/Q219477" TargetMode="External"/><Relationship Id="rId3110" Type="http://schemas.openxmlformats.org/officeDocument/2006/relationships/hyperlink" Target="http://www.wikidata.org/entity/Q120176244" TargetMode="External"/><Relationship Id="rId3113" Type="http://schemas.openxmlformats.org/officeDocument/2006/relationships/hyperlink" Target="http://www.wikidata.org/entity/Q250867" TargetMode="External"/><Relationship Id="rId3112" Type="http://schemas.openxmlformats.org/officeDocument/2006/relationships/hyperlink" Target="http://www.wikidata.org/entity/Q120176244" TargetMode="External"/><Relationship Id="rId3115" Type="http://schemas.openxmlformats.org/officeDocument/2006/relationships/hyperlink" Target="http://www.wikidata.org/entity/Q435940" TargetMode="External"/><Relationship Id="rId3114" Type="http://schemas.openxmlformats.org/officeDocument/2006/relationships/hyperlink" Target="http://www.wikidata.org/entity/Q125559455" TargetMode="External"/><Relationship Id="rId3106" Type="http://schemas.openxmlformats.org/officeDocument/2006/relationships/hyperlink" Target="http://www.wikidata.org/entity/Q125472922" TargetMode="External"/><Relationship Id="rId3105" Type="http://schemas.openxmlformats.org/officeDocument/2006/relationships/hyperlink" Target="http://www.wikidata.org/entity/Q39631" TargetMode="External"/><Relationship Id="rId3108" Type="http://schemas.openxmlformats.org/officeDocument/2006/relationships/hyperlink" Target="http://www.wikidata.org/entity/Q125472922" TargetMode="External"/><Relationship Id="rId3107" Type="http://schemas.openxmlformats.org/officeDocument/2006/relationships/hyperlink" Target="http://www.wikidata.org/entity/Q738142" TargetMode="External"/><Relationship Id="rId3109" Type="http://schemas.openxmlformats.org/officeDocument/2006/relationships/hyperlink" Target="http://www.wikidata.org/entity/Q131512" TargetMode="External"/><Relationship Id="rId3100" Type="http://schemas.openxmlformats.org/officeDocument/2006/relationships/hyperlink" Target="http://www.wikidata.org/entity/Q118289639" TargetMode="External"/><Relationship Id="rId3102" Type="http://schemas.openxmlformats.org/officeDocument/2006/relationships/hyperlink" Target="http://www.wikidata.org/entity/Q123741345" TargetMode="External"/><Relationship Id="rId3101" Type="http://schemas.openxmlformats.org/officeDocument/2006/relationships/hyperlink" Target="http://www.wikidata.org/entity/Q1540278" TargetMode="External"/><Relationship Id="rId3104" Type="http://schemas.openxmlformats.org/officeDocument/2006/relationships/hyperlink" Target="http://www.wikidata.org/entity/Q123722465" TargetMode="External"/><Relationship Id="rId3103" Type="http://schemas.openxmlformats.org/officeDocument/2006/relationships/hyperlink" Target="http://www.wikidata.org/entity/Q618532" TargetMode="External"/><Relationship Id="rId3139" Type="http://schemas.openxmlformats.org/officeDocument/2006/relationships/hyperlink" Target="http://www.wikidata.org/entity/Q1056391" TargetMode="External"/><Relationship Id="rId3138" Type="http://schemas.openxmlformats.org/officeDocument/2006/relationships/hyperlink" Target="http://www.wikidata.org/entity/Q123689724" TargetMode="External"/><Relationship Id="rId3131" Type="http://schemas.openxmlformats.org/officeDocument/2006/relationships/hyperlink" Target="http://www.wikidata.org/entity/Q955464" TargetMode="External"/><Relationship Id="rId3130" Type="http://schemas.openxmlformats.org/officeDocument/2006/relationships/hyperlink" Target="http://www.wikidata.org/entity/Q123689972" TargetMode="External"/><Relationship Id="rId3133" Type="http://schemas.openxmlformats.org/officeDocument/2006/relationships/hyperlink" Target="http://www.wikidata.org/entity/Q1162163" TargetMode="External"/><Relationship Id="rId3132" Type="http://schemas.openxmlformats.org/officeDocument/2006/relationships/hyperlink" Target="http://www.wikidata.org/entity/Q123689972" TargetMode="External"/><Relationship Id="rId3135" Type="http://schemas.openxmlformats.org/officeDocument/2006/relationships/hyperlink" Target="http://www.wikidata.org/entity/Q82955" TargetMode="External"/><Relationship Id="rId3134" Type="http://schemas.openxmlformats.org/officeDocument/2006/relationships/hyperlink" Target="http://www.wikidata.org/entity/Q120727152" TargetMode="External"/><Relationship Id="rId3137" Type="http://schemas.openxmlformats.org/officeDocument/2006/relationships/hyperlink" Target="http://www.wikidata.org/entity/Q219477" TargetMode="External"/><Relationship Id="rId3136" Type="http://schemas.openxmlformats.org/officeDocument/2006/relationships/hyperlink" Target="http://www.wikidata.org/entity/Q123689724" TargetMode="External"/><Relationship Id="rId3128" Type="http://schemas.openxmlformats.org/officeDocument/2006/relationships/hyperlink" Target="http://www.wikidata.org/entity/Q123689724" TargetMode="External"/><Relationship Id="rId3127" Type="http://schemas.openxmlformats.org/officeDocument/2006/relationships/hyperlink" Target="http://www.wikidata.org/entity/Q191808" TargetMode="External"/><Relationship Id="rId3129" Type="http://schemas.openxmlformats.org/officeDocument/2006/relationships/hyperlink" Target="http://www.wikidata.org/entity/Q955464" TargetMode="External"/><Relationship Id="rId3120" Type="http://schemas.openxmlformats.org/officeDocument/2006/relationships/hyperlink" Target="http://www.wikidata.org/entity/Q123689972" TargetMode="External"/><Relationship Id="rId3122" Type="http://schemas.openxmlformats.org/officeDocument/2006/relationships/hyperlink" Target="http://www.wikidata.org/entity/Q122884757" TargetMode="External"/><Relationship Id="rId3121" Type="http://schemas.openxmlformats.org/officeDocument/2006/relationships/hyperlink" Target="http://www.wikidata.org/entity/Q115705951" TargetMode="External"/><Relationship Id="rId3124" Type="http://schemas.openxmlformats.org/officeDocument/2006/relationships/hyperlink" Target="http://www.wikidata.org/entity/Q129069726" TargetMode="External"/><Relationship Id="rId3123" Type="http://schemas.openxmlformats.org/officeDocument/2006/relationships/hyperlink" Target="http://www.wikidata.org/entity/Q1650915" TargetMode="External"/><Relationship Id="rId3126" Type="http://schemas.openxmlformats.org/officeDocument/2006/relationships/hyperlink" Target="http://www.wikidata.org/entity/Q125361599" TargetMode="External"/><Relationship Id="rId3125" Type="http://schemas.openxmlformats.org/officeDocument/2006/relationships/hyperlink" Target="http://www.wikidata.org/entity/Q191808" TargetMode="External"/><Relationship Id="rId1378" Type="http://schemas.openxmlformats.org/officeDocument/2006/relationships/hyperlink" Target="http://www.wikidata.org/entity/Q45029767" TargetMode="External"/><Relationship Id="rId1379" Type="http://schemas.openxmlformats.org/officeDocument/2006/relationships/hyperlink" Target="http://www.wikidata.org/entity/Q11977377" TargetMode="External"/><Relationship Id="rId789" Type="http://schemas.openxmlformats.org/officeDocument/2006/relationships/hyperlink" Target="http://www.wikidata.org/entity/Q3171149" TargetMode="External"/><Relationship Id="rId788" Type="http://schemas.openxmlformats.org/officeDocument/2006/relationships/hyperlink" Target="http://www.wikidata.org/entity/Q998550" TargetMode="External"/><Relationship Id="rId787" Type="http://schemas.openxmlformats.org/officeDocument/2006/relationships/hyperlink" Target="http://www.wikidata.org/entity/Q2360914" TargetMode="External"/><Relationship Id="rId786" Type="http://schemas.openxmlformats.org/officeDocument/2006/relationships/hyperlink" Target="http://www.wikidata.org/entity/Q1930187" TargetMode="External"/><Relationship Id="rId781" Type="http://schemas.openxmlformats.org/officeDocument/2006/relationships/hyperlink" Target="http://www.wikidata.org/entity/Q2361397" TargetMode="External"/><Relationship Id="rId1370" Type="http://schemas.openxmlformats.org/officeDocument/2006/relationships/hyperlink" Target="http://www.wikidata.org/entity/Q62117109" TargetMode="External"/><Relationship Id="rId780" Type="http://schemas.openxmlformats.org/officeDocument/2006/relationships/hyperlink" Target="http://www.wikidata.org/entity/Q182436" TargetMode="External"/><Relationship Id="rId1371" Type="http://schemas.openxmlformats.org/officeDocument/2006/relationships/hyperlink" Target="http://www.wikidata.org/entity/Q36180" TargetMode="External"/><Relationship Id="rId1372" Type="http://schemas.openxmlformats.org/officeDocument/2006/relationships/hyperlink" Target="http://www.wikidata.org/entity/Q45029767" TargetMode="External"/><Relationship Id="rId1373" Type="http://schemas.openxmlformats.org/officeDocument/2006/relationships/hyperlink" Target="http://www.wikidata.org/entity/Q1657500" TargetMode="External"/><Relationship Id="rId785" Type="http://schemas.openxmlformats.org/officeDocument/2006/relationships/hyperlink" Target="http://www.wikidata.org/entity/Q2361397" TargetMode="External"/><Relationship Id="rId1374" Type="http://schemas.openxmlformats.org/officeDocument/2006/relationships/hyperlink" Target="http://www.wikidata.org/entity/Q28973666" TargetMode="External"/><Relationship Id="rId784" Type="http://schemas.openxmlformats.org/officeDocument/2006/relationships/hyperlink" Target="http://www.wikidata.org/entity/Q589298" TargetMode="External"/><Relationship Id="rId1375" Type="http://schemas.openxmlformats.org/officeDocument/2006/relationships/hyperlink" Target="http://www.wikidata.org/entity/Q1622272" TargetMode="External"/><Relationship Id="rId783" Type="http://schemas.openxmlformats.org/officeDocument/2006/relationships/hyperlink" Target="http://www.wikidata.org/entity/Q2361397" TargetMode="External"/><Relationship Id="rId1376" Type="http://schemas.openxmlformats.org/officeDocument/2006/relationships/hyperlink" Target="http://www.wikidata.org/entity/Q28973666" TargetMode="External"/><Relationship Id="rId782" Type="http://schemas.openxmlformats.org/officeDocument/2006/relationships/hyperlink" Target="http://www.wikidata.org/entity/Q333634" TargetMode="External"/><Relationship Id="rId1377" Type="http://schemas.openxmlformats.org/officeDocument/2006/relationships/hyperlink" Target="http://www.wikidata.org/entity/Q2251335" TargetMode="External"/><Relationship Id="rId1367" Type="http://schemas.openxmlformats.org/officeDocument/2006/relationships/hyperlink" Target="http://www.wikidata.org/entity/Q2251335" TargetMode="External"/><Relationship Id="rId2698" Type="http://schemas.openxmlformats.org/officeDocument/2006/relationships/hyperlink" Target="http://www.wikidata.org/entity/Q114371470" TargetMode="External"/><Relationship Id="rId1368" Type="http://schemas.openxmlformats.org/officeDocument/2006/relationships/hyperlink" Target="http://www.wikidata.org/entity/Q17428533" TargetMode="External"/><Relationship Id="rId2699" Type="http://schemas.openxmlformats.org/officeDocument/2006/relationships/hyperlink" Target="http://www.wikidata.org/entity/Q115808465" TargetMode="External"/><Relationship Id="rId1369" Type="http://schemas.openxmlformats.org/officeDocument/2006/relationships/hyperlink" Target="http://www.wikidata.org/entity/Q40348" TargetMode="External"/><Relationship Id="rId778" Type="http://schemas.openxmlformats.org/officeDocument/2006/relationships/hyperlink" Target="http://www.wikidata.org/entity/Q82955" TargetMode="External"/><Relationship Id="rId777" Type="http://schemas.openxmlformats.org/officeDocument/2006/relationships/hyperlink" Target="http://www.wikidata.org/entity/Q2361397" TargetMode="External"/><Relationship Id="rId776" Type="http://schemas.openxmlformats.org/officeDocument/2006/relationships/hyperlink" Target="http://www.wikidata.org/entity/Q2516866" TargetMode="External"/><Relationship Id="rId775" Type="http://schemas.openxmlformats.org/officeDocument/2006/relationships/hyperlink" Target="http://www.wikidata.org/entity/Q2360914" TargetMode="External"/><Relationship Id="rId779" Type="http://schemas.openxmlformats.org/officeDocument/2006/relationships/hyperlink" Target="http://www.wikidata.org/entity/Q2361397" TargetMode="External"/><Relationship Id="rId770" Type="http://schemas.openxmlformats.org/officeDocument/2006/relationships/hyperlink" Target="http://www.wikidata.org/entity/Q2360914" TargetMode="External"/><Relationship Id="rId2690" Type="http://schemas.openxmlformats.org/officeDocument/2006/relationships/hyperlink" Target="http://commons.wikimedia.org/wiki/Special:FilePath/Adolf%20Karel%20vader%20Petrus%20moeder%20Carolina%20Verriest%20in%201861.jpg" TargetMode="External"/><Relationship Id="rId1360" Type="http://schemas.openxmlformats.org/officeDocument/2006/relationships/hyperlink" Target="http://www.wikidata.org/entity/Q250867" TargetMode="External"/><Relationship Id="rId2691" Type="http://schemas.openxmlformats.org/officeDocument/2006/relationships/hyperlink" Target="http://www.wikidata.org/entity/Q115808465" TargetMode="External"/><Relationship Id="rId1361" Type="http://schemas.openxmlformats.org/officeDocument/2006/relationships/hyperlink" Target="http://www.wikidata.org/entity/Q45029767" TargetMode="External"/><Relationship Id="rId2692" Type="http://schemas.openxmlformats.org/officeDocument/2006/relationships/hyperlink" Target="http://www.wikidata.org/entity/Q955464" TargetMode="External"/><Relationship Id="rId1362" Type="http://schemas.openxmlformats.org/officeDocument/2006/relationships/hyperlink" Target="http://www.wikidata.org/entity/Q250867" TargetMode="External"/><Relationship Id="rId2693" Type="http://schemas.openxmlformats.org/officeDocument/2006/relationships/hyperlink" Target="http://www.wikidata.org/entity/Q115808465" TargetMode="External"/><Relationship Id="rId774" Type="http://schemas.openxmlformats.org/officeDocument/2006/relationships/hyperlink" Target="http://commons.wikimedia.org/wiki/Special:FilePath/Edgar%20Tinel%201911.jpg" TargetMode="External"/><Relationship Id="rId1363" Type="http://schemas.openxmlformats.org/officeDocument/2006/relationships/hyperlink" Target="http://www.wikidata.org/entity/Q4865289" TargetMode="External"/><Relationship Id="rId2694" Type="http://schemas.openxmlformats.org/officeDocument/2006/relationships/hyperlink" Target="http://www.wikidata.org/entity/Q219477" TargetMode="External"/><Relationship Id="rId773" Type="http://schemas.openxmlformats.org/officeDocument/2006/relationships/hyperlink" Target="http://www.wikidata.org/entity/Q1622272" TargetMode="External"/><Relationship Id="rId1364" Type="http://schemas.openxmlformats.org/officeDocument/2006/relationships/hyperlink" Target="http://www.wikidata.org/entity/Q1622272" TargetMode="External"/><Relationship Id="rId2695" Type="http://schemas.openxmlformats.org/officeDocument/2006/relationships/hyperlink" Target="http://www.wikidata.org/entity/Q115808465" TargetMode="External"/><Relationship Id="rId772" Type="http://schemas.openxmlformats.org/officeDocument/2006/relationships/hyperlink" Target="http://www.wikidata.org/entity/Q377071" TargetMode="External"/><Relationship Id="rId1365" Type="http://schemas.openxmlformats.org/officeDocument/2006/relationships/hyperlink" Target="http://commons.wikimedia.org/wiki/Special:FilePath/Bartholomew%20Woodlock%2C%20portrait.png" TargetMode="External"/><Relationship Id="rId2696" Type="http://schemas.openxmlformats.org/officeDocument/2006/relationships/hyperlink" Target="http://www.wikidata.org/entity/Q250867" TargetMode="External"/><Relationship Id="rId771" Type="http://schemas.openxmlformats.org/officeDocument/2006/relationships/hyperlink" Target="http://www.wikidata.org/entity/Q635734" TargetMode="External"/><Relationship Id="rId1366" Type="http://schemas.openxmlformats.org/officeDocument/2006/relationships/hyperlink" Target="http://www.wikidata.org/entity/Q45029767" TargetMode="External"/><Relationship Id="rId2697" Type="http://schemas.openxmlformats.org/officeDocument/2006/relationships/hyperlink" Target="http://www.wikidata.org/entity/Q115817390" TargetMode="External"/><Relationship Id="rId1390" Type="http://schemas.openxmlformats.org/officeDocument/2006/relationships/hyperlink" Target="http://www.wikidata.org/entity/Q28584401" TargetMode="External"/><Relationship Id="rId1391" Type="http://schemas.openxmlformats.org/officeDocument/2006/relationships/hyperlink" Target="http://www.wikidata.org/entity/Q42973" TargetMode="External"/><Relationship Id="rId1392" Type="http://schemas.openxmlformats.org/officeDocument/2006/relationships/hyperlink" Target="http://commons.wikimedia.org/wiki/Special:FilePath/Pierre%20Nicolas%20Croquison.jpg" TargetMode="External"/><Relationship Id="rId1393" Type="http://schemas.openxmlformats.org/officeDocument/2006/relationships/hyperlink" Target="http://www.wikidata.org/entity/Q23895006" TargetMode="External"/><Relationship Id="rId1394" Type="http://schemas.openxmlformats.org/officeDocument/2006/relationships/hyperlink" Target="http://www.wikidata.org/entity/Q955464" TargetMode="External"/><Relationship Id="rId1395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396" Type="http://schemas.openxmlformats.org/officeDocument/2006/relationships/hyperlink" Target="http://www.wikidata.org/entity/Q62080181" TargetMode="External"/><Relationship Id="rId1397" Type="http://schemas.openxmlformats.org/officeDocument/2006/relationships/hyperlink" Target="http://www.wikidata.org/entity/Q1044528" TargetMode="External"/><Relationship Id="rId1398" Type="http://schemas.openxmlformats.org/officeDocument/2006/relationships/hyperlink" Target="http://www.wikidata.org/entity/Q23895006" TargetMode="External"/><Relationship Id="rId1399" Type="http://schemas.openxmlformats.org/officeDocument/2006/relationships/hyperlink" Target="http://www.wikidata.org/entity/Q201788" TargetMode="External"/><Relationship Id="rId1389" Type="http://schemas.openxmlformats.org/officeDocument/2006/relationships/hyperlink" Target="http://www.wikidata.org/entity/Q250867" TargetMode="External"/><Relationship Id="rId799" Type="http://schemas.openxmlformats.org/officeDocument/2006/relationships/hyperlink" Target="http://www.wikidata.org/entity/Q182436" TargetMode="External"/><Relationship Id="rId798" Type="http://schemas.openxmlformats.org/officeDocument/2006/relationships/hyperlink" Target="http://www.wikidata.org/entity/Q2065109" TargetMode="External"/><Relationship Id="rId797" Type="http://schemas.openxmlformats.org/officeDocument/2006/relationships/hyperlink" Target="http://commons.wikimedia.org/wiki/Special:FilePath/HugoVerriest.jpg" TargetMode="External"/><Relationship Id="rId1380" Type="http://schemas.openxmlformats.org/officeDocument/2006/relationships/hyperlink" Target="http://www.wikidata.org/entity/Q56174577" TargetMode="External"/><Relationship Id="rId792" Type="http://schemas.openxmlformats.org/officeDocument/2006/relationships/hyperlink" Target="http://www.wikidata.org/entity/Q2065109" TargetMode="External"/><Relationship Id="rId1381" Type="http://schemas.openxmlformats.org/officeDocument/2006/relationships/hyperlink" Target="http://www.wikidata.org/entity/Q36180" TargetMode="External"/><Relationship Id="rId791" Type="http://schemas.openxmlformats.org/officeDocument/2006/relationships/hyperlink" Target="http://commons.wikimedia.org/wiki/Special:FilePath/Portret%20van%20Jean%20Casier%201880%20barcode%20910000105033.jpg" TargetMode="External"/><Relationship Id="rId1382" Type="http://schemas.openxmlformats.org/officeDocument/2006/relationships/hyperlink" Target="http://www.wikidata.org/entity/Q56174577" TargetMode="External"/><Relationship Id="rId790" Type="http://schemas.openxmlformats.org/officeDocument/2006/relationships/hyperlink" Target="http://www.wikidata.org/entity/Q6606110" TargetMode="External"/><Relationship Id="rId1383" Type="http://schemas.openxmlformats.org/officeDocument/2006/relationships/hyperlink" Target="http://www.wikidata.org/entity/Q42973" TargetMode="External"/><Relationship Id="rId1384" Type="http://schemas.openxmlformats.org/officeDocument/2006/relationships/hyperlink" Target="http://www.wikidata.org/entity/Q28973666" TargetMode="External"/><Relationship Id="rId796" Type="http://schemas.openxmlformats.org/officeDocument/2006/relationships/hyperlink" Target="http://www.wikidata.org/entity/Q955464" TargetMode="External"/><Relationship Id="rId1385" Type="http://schemas.openxmlformats.org/officeDocument/2006/relationships/hyperlink" Target="http://www.wikidata.org/entity/Q13418253" TargetMode="External"/><Relationship Id="rId795" Type="http://schemas.openxmlformats.org/officeDocument/2006/relationships/hyperlink" Target="http://www.wikidata.org/entity/Q981444" TargetMode="External"/><Relationship Id="rId1386" Type="http://schemas.openxmlformats.org/officeDocument/2006/relationships/hyperlink" Target="http://www.wikidata.org/entity/Q62080181" TargetMode="External"/><Relationship Id="rId794" Type="http://schemas.openxmlformats.org/officeDocument/2006/relationships/hyperlink" Target="http://commons.wikimedia.org/wiki/Special:FilePath/Ferdinand%20Vander%20Haeghen.jpg" TargetMode="External"/><Relationship Id="rId1387" Type="http://schemas.openxmlformats.org/officeDocument/2006/relationships/hyperlink" Target="http://www.wikidata.org/entity/Q201788" TargetMode="External"/><Relationship Id="rId793" Type="http://schemas.openxmlformats.org/officeDocument/2006/relationships/hyperlink" Target="http://www.wikidata.org/entity/Q82955" TargetMode="External"/><Relationship Id="rId1388" Type="http://schemas.openxmlformats.org/officeDocument/2006/relationships/hyperlink" Target="http://www.wikidata.org/entity/Q62080181" TargetMode="External"/><Relationship Id="rId3191" Type="http://schemas.openxmlformats.org/officeDocument/2006/relationships/hyperlink" Target="http://www.wikidata.org/entity/Q125394996" TargetMode="External"/><Relationship Id="rId3190" Type="http://schemas.openxmlformats.org/officeDocument/2006/relationships/hyperlink" Target="http://www.wikidata.org/entity/Q2251335" TargetMode="External"/><Relationship Id="rId3193" Type="http://schemas.openxmlformats.org/officeDocument/2006/relationships/hyperlink" Target="http://www.wikidata.org/entity/Q118998340" TargetMode="External"/><Relationship Id="rId3192" Type="http://schemas.openxmlformats.org/officeDocument/2006/relationships/hyperlink" Target="http://www.wikidata.org/entity/Q191808" TargetMode="External"/><Relationship Id="rId3195" Type="http://schemas.openxmlformats.org/officeDocument/2006/relationships/hyperlink" Target="http://www.wikidata.org/entity/Q119013806" TargetMode="External"/><Relationship Id="rId3194" Type="http://schemas.openxmlformats.org/officeDocument/2006/relationships/hyperlink" Target="http://www.wikidata.org/entity/Q1469535" TargetMode="External"/><Relationship Id="rId3197" Type="http://schemas.openxmlformats.org/officeDocument/2006/relationships/hyperlink" Target="http://www.wikidata.org/entity/Q116621725" TargetMode="External"/><Relationship Id="rId3196" Type="http://schemas.openxmlformats.org/officeDocument/2006/relationships/hyperlink" Target="http://www.wikidata.org/entity/Q175151" TargetMode="External"/><Relationship Id="rId3199" Type="http://schemas.openxmlformats.org/officeDocument/2006/relationships/hyperlink" Target="http://www.wikidata.org/entity/Q122801530" TargetMode="External"/><Relationship Id="rId3198" Type="http://schemas.openxmlformats.org/officeDocument/2006/relationships/hyperlink" Target="http://www.wikidata.org/entity/Q37226" TargetMode="External"/><Relationship Id="rId3180" Type="http://schemas.openxmlformats.org/officeDocument/2006/relationships/hyperlink" Target="http://www.wikidata.org/entity/Q1753370" TargetMode="External"/><Relationship Id="rId3182" Type="http://schemas.openxmlformats.org/officeDocument/2006/relationships/hyperlink" Target="http://www.wikidata.org/entity/Q250867" TargetMode="External"/><Relationship Id="rId3181" Type="http://schemas.openxmlformats.org/officeDocument/2006/relationships/hyperlink" Target="http://www.wikidata.org/entity/Q115980136" TargetMode="External"/><Relationship Id="rId3184" Type="http://schemas.openxmlformats.org/officeDocument/2006/relationships/hyperlink" Target="http://www.wikidata.org/entity/Q955464" TargetMode="External"/><Relationship Id="rId3183" Type="http://schemas.openxmlformats.org/officeDocument/2006/relationships/hyperlink" Target="http://www.wikidata.org/entity/Q115982485" TargetMode="External"/><Relationship Id="rId3186" Type="http://schemas.openxmlformats.org/officeDocument/2006/relationships/hyperlink" Target="http://www.wikidata.org/entity/Q539371" TargetMode="External"/><Relationship Id="rId3185" Type="http://schemas.openxmlformats.org/officeDocument/2006/relationships/hyperlink" Target="http://www.wikidata.org/entity/Q122884757" TargetMode="External"/><Relationship Id="rId3188" Type="http://schemas.openxmlformats.org/officeDocument/2006/relationships/hyperlink" Target="http://www.wikidata.org/entity/Q250867" TargetMode="External"/><Relationship Id="rId3187" Type="http://schemas.openxmlformats.org/officeDocument/2006/relationships/hyperlink" Target="http://www.wikidata.org/entity/Q115982485" TargetMode="External"/><Relationship Id="rId3189" Type="http://schemas.openxmlformats.org/officeDocument/2006/relationships/hyperlink" Target="http://www.wikidata.org/entity/Q115982485" TargetMode="External"/><Relationship Id="rId3151" Type="http://schemas.openxmlformats.org/officeDocument/2006/relationships/hyperlink" Target="http://www.wikidata.org/entity/Q123689972" TargetMode="External"/><Relationship Id="rId3150" Type="http://schemas.openxmlformats.org/officeDocument/2006/relationships/hyperlink" Target="http://commons.wikimedia.org/wiki/Special:FilePath/Foto%20Dymphna%20Gezelle%20%282%29.jpg" TargetMode="External"/><Relationship Id="rId3153" Type="http://schemas.openxmlformats.org/officeDocument/2006/relationships/hyperlink" Target="http://www.wikidata.org/entity/Q122872579" TargetMode="External"/><Relationship Id="rId3152" Type="http://schemas.openxmlformats.org/officeDocument/2006/relationships/hyperlink" Target="http://www.wikidata.org/entity/Q2251335" TargetMode="External"/><Relationship Id="rId3155" Type="http://schemas.openxmlformats.org/officeDocument/2006/relationships/hyperlink" Target="http://www.wikidata.org/entity/Q120973166" TargetMode="External"/><Relationship Id="rId3154" Type="http://schemas.openxmlformats.org/officeDocument/2006/relationships/hyperlink" Target="http://www.wikidata.org/entity/Q435940" TargetMode="External"/><Relationship Id="rId3157" Type="http://schemas.openxmlformats.org/officeDocument/2006/relationships/hyperlink" Target="http://www.wikidata.org/entity/Q120973922" TargetMode="External"/><Relationship Id="rId3156" Type="http://schemas.openxmlformats.org/officeDocument/2006/relationships/hyperlink" Target="http://www.wikidata.org/entity/Q82955" TargetMode="External"/><Relationship Id="rId3159" Type="http://schemas.openxmlformats.org/officeDocument/2006/relationships/hyperlink" Target="http://www.wikidata.org/entity/Q120973922" TargetMode="External"/><Relationship Id="rId3158" Type="http://schemas.openxmlformats.org/officeDocument/2006/relationships/hyperlink" Target="http://www.wikidata.org/entity/Q215536" TargetMode="External"/><Relationship Id="rId3149" Type="http://schemas.openxmlformats.org/officeDocument/2006/relationships/hyperlink" Target="http://www.wikidata.org/entity/Q191808" TargetMode="External"/><Relationship Id="rId3140" Type="http://schemas.openxmlformats.org/officeDocument/2006/relationships/hyperlink" Target="http://www.wikidata.org/entity/Q123689724" TargetMode="External"/><Relationship Id="rId3142" Type="http://schemas.openxmlformats.org/officeDocument/2006/relationships/hyperlink" Target="http://www.wikidata.org/entity/Q123689972" TargetMode="External"/><Relationship Id="rId3141" Type="http://schemas.openxmlformats.org/officeDocument/2006/relationships/hyperlink" Target="http://www.wikidata.org/entity/Q250867" TargetMode="External"/><Relationship Id="rId3144" Type="http://schemas.openxmlformats.org/officeDocument/2006/relationships/hyperlink" Target="http://www.wikidata.org/entity/Q120442396" TargetMode="External"/><Relationship Id="rId3143" Type="http://schemas.openxmlformats.org/officeDocument/2006/relationships/hyperlink" Target="http://www.wikidata.org/entity/Q250867" TargetMode="External"/><Relationship Id="rId3146" Type="http://schemas.openxmlformats.org/officeDocument/2006/relationships/hyperlink" Target="http://www.wikidata.org/entity/Q120191174" TargetMode="External"/><Relationship Id="rId3145" Type="http://schemas.openxmlformats.org/officeDocument/2006/relationships/hyperlink" Target="http://www.wikidata.org/entity/Q42603" TargetMode="External"/><Relationship Id="rId3148" Type="http://schemas.openxmlformats.org/officeDocument/2006/relationships/hyperlink" Target="http://www.wikidata.org/entity/Q117244211" TargetMode="External"/><Relationship Id="rId3147" Type="http://schemas.openxmlformats.org/officeDocument/2006/relationships/hyperlink" Target="http://www.wikidata.org/entity/Q219477" TargetMode="External"/><Relationship Id="rId3171" Type="http://schemas.openxmlformats.org/officeDocument/2006/relationships/hyperlink" Target="http://www.wikidata.org/entity/Q120176244" TargetMode="External"/><Relationship Id="rId3170" Type="http://schemas.openxmlformats.org/officeDocument/2006/relationships/hyperlink" Target="http://www.wikidata.org/entity/Q7313543" TargetMode="External"/><Relationship Id="rId3173" Type="http://schemas.openxmlformats.org/officeDocument/2006/relationships/hyperlink" Target="http://www.wikidata.org/entity/Q125559455" TargetMode="External"/><Relationship Id="rId3172" Type="http://schemas.openxmlformats.org/officeDocument/2006/relationships/hyperlink" Target="http://www.wikidata.org/entity/Q435940" TargetMode="External"/><Relationship Id="rId3175" Type="http://schemas.openxmlformats.org/officeDocument/2006/relationships/hyperlink" Target="http://www.wikidata.org/entity/Q117246862" TargetMode="External"/><Relationship Id="rId3174" Type="http://schemas.openxmlformats.org/officeDocument/2006/relationships/hyperlink" Target="http://www.wikidata.org/entity/Q42603" TargetMode="External"/><Relationship Id="rId3177" Type="http://schemas.openxmlformats.org/officeDocument/2006/relationships/hyperlink" Target="http://www.wikidata.org/entity/Q120199426" TargetMode="External"/><Relationship Id="rId3176" Type="http://schemas.openxmlformats.org/officeDocument/2006/relationships/hyperlink" Target="http://www.wikidata.org/entity/Q191808" TargetMode="External"/><Relationship Id="rId3179" Type="http://schemas.openxmlformats.org/officeDocument/2006/relationships/hyperlink" Target="http://www.wikidata.org/entity/Q123689724" TargetMode="External"/><Relationship Id="rId3178" Type="http://schemas.openxmlformats.org/officeDocument/2006/relationships/hyperlink" Target="http://www.wikidata.org/entity/Q2251335" TargetMode="External"/><Relationship Id="rId3160" Type="http://schemas.openxmlformats.org/officeDocument/2006/relationships/hyperlink" Target="http://www.wikidata.org/entity/Q4991371" TargetMode="External"/><Relationship Id="rId3162" Type="http://schemas.openxmlformats.org/officeDocument/2006/relationships/hyperlink" Target="http://www.wikidata.org/entity/Q161944" TargetMode="External"/><Relationship Id="rId3161" Type="http://schemas.openxmlformats.org/officeDocument/2006/relationships/hyperlink" Target="http://www.wikidata.org/entity/Q118998340" TargetMode="External"/><Relationship Id="rId3164" Type="http://schemas.openxmlformats.org/officeDocument/2006/relationships/hyperlink" Target="http://www.wikidata.org/entity/Q219477" TargetMode="External"/><Relationship Id="rId3163" Type="http://schemas.openxmlformats.org/officeDocument/2006/relationships/hyperlink" Target="http://www.wikidata.org/entity/Q118998340" TargetMode="External"/><Relationship Id="rId3166" Type="http://schemas.openxmlformats.org/officeDocument/2006/relationships/hyperlink" Target="http://www.wikidata.org/entity/Q1056310" TargetMode="External"/><Relationship Id="rId3165" Type="http://schemas.openxmlformats.org/officeDocument/2006/relationships/hyperlink" Target="http://www.wikidata.org/entity/Q118998340" TargetMode="External"/><Relationship Id="rId3168" Type="http://schemas.openxmlformats.org/officeDocument/2006/relationships/hyperlink" Target="http://www.wikidata.org/entity/Q189010" TargetMode="External"/><Relationship Id="rId3167" Type="http://schemas.openxmlformats.org/officeDocument/2006/relationships/hyperlink" Target="http://www.wikidata.org/entity/Q120973166" TargetMode="External"/><Relationship Id="rId3169" Type="http://schemas.openxmlformats.org/officeDocument/2006/relationships/hyperlink" Target="http://www.wikidata.org/entity/Q118766019" TargetMode="External"/><Relationship Id="rId2700" Type="http://schemas.openxmlformats.org/officeDocument/2006/relationships/hyperlink" Target="http://www.wikidata.org/entity/Q2251335" TargetMode="External"/><Relationship Id="rId2701" Type="http://schemas.openxmlformats.org/officeDocument/2006/relationships/hyperlink" Target="http://www.wikidata.org/entity/Q115817390" TargetMode="External"/><Relationship Id="rId2702" Type="http://schemas.openxmlformats.org/officeDocument/2006/relationships/hyperlink" Target="http://www.wikidata.org/entity/Q118732656" TargetMode="External"/><Relationship Id="rId2703" Type="http://schemas.openxmlformats.org/officeDocument/2006/relationships/hyperlink" Target="http://www.wikidata.org/entity/Q110039252" TargetMode="External"/><Relationship Id="rId2704" Type="http://schemas.openxmlformats.org/officeDocument/2006/relationships/hyperlink" Target="http://www.wikidata.org/entity/Q115705951" TargetMode="External"/><Relationship Id="rId2705" Type="http://schemas.openxmlformats.org/officeDocument/2006/relationships/hyperlink" Target="http://www.wikidata.org/entity/Q115815004" TargetMode="External"/><Relationship Id="rId2706" Type="http://schemas.openxmlformats.org/officeDocument/2006/relationships/hyperlink" Target="http://www.wikidata.org/entity/Q250867" TargetMode="External"/><Relationship Id="rId2707" Type="http://schemas.openxmlformats.org/officeDocument/2006/relationships/hyperlink" Target="http://www.wikidata.org/entity/Q115817390" TargetMode="External"/><Relationship Id="rId2708" Type="http://schemas.openxmlformats.org/officeDocument/2006/relationships/hyperlink" Target="http://www.wikidata.org/entity/Q955464" TargetMode="External"/><Relationship Id="rId2709" Type="http://schemas.openxmlformats.org/officeDocument/2006/relationships/hyperlink" Target="http://www.wikidata.org/entity/Q115818151" TargetMode="External"/><Relationship Id="rId2720" Type="http://schemas.openxmlformats.org/officeDocument/2006/relationships/hyperlink" Target="http://www.wikidata.org/entity/Q2141193" TargetMode="External"/><Relationship Id="rId2721" Type="http://schemas.openxmlformats.org/officeDocument/2006/relationships/hyperlink" Target="http://www.wikidata.org/entity/Q115820636" TargetMode="External"/><Relationship Id="rId2722" Type="http://schemas.openxmlformats.org/officeDocument/2006/relationships/hyperlink" Target="http://www.wikidata.org/entity/Q219477" TargetMode="External"/><Relationship Id="rId2723" Type="http://schemas.openxmlformats.org/officeDocument/2006/relationships/hyperlink" Target="http://www.wikidata.org/entity/Q115821474" TargetMode="External"/><Relationship Id="rId2724" Type="http://schemas.openxmlformats.org/officeDocument/2006/relationships/hyperlink" Target="http://www.wikidata.org/entity/Q955464" TargetMode="External"/><Relationship Id="rId2725" Type="http://schemas.openxmlformats.org/officeDocument/2006/relationships/hyperlink" Target="http://www.wikidata.org/entity/Q115821474" TargetMode="External"/><Relationship Id="rId2726" Type="http://schemas.openxmlformats.org/officeDocument/2006/relationships/hyperlink" Target="http://www.wikidata.org/entity/Q250867" TargetMode="External"/><Relationship Id="rId2727" Type="http://schemas.openxmlformats.org/officeDocument/2006/relationships/hyperlink" Target="http://www.wikidata.org/entity/Q115818151" TargetMode="External"/><Relationship Id="rId2728" Type="http://schemas.openxmlformats.org/officeDocument/2006/relationships/hyperlink" Target="http://www.wikidata.org/entity/Q2251335" TargetMode="External"/><Relationship Id="rId2729" Type="http://schemas.openxmlformats.org/officeDocument/2006/relationships/hyperlink" Target="http://www.wikidata.org/entity/Q115829623" TargetMode="External"/><Relationship Id="rId2710" Type="http://schemas.openxmlformats.org/officeDocument/2006/relationships/hyperlink" Target="http://www.wikidata.org/entity/Q955464" TargetMode="External"/><Relationship Id="rId2711" Type="http://schemas.openxmlformats.org/officeDocument/2006/relationships/hyperlink" Target="http://www.wikidata.org/entity/Q115817263" TargetMode="External"/><Relationship Id="rId2712" Type="http://schemas.openxmlformats.org/officeDocument/2006/relationships/hyperlink" Target="http://www.wikidata.org/entity/Q250867" TargetMode="External"/><Relationship Id="rId2713" Type="http://schemas.openxmlformats.org/officeDocument/2006/relationships/hyperlink" Target="http://www.wikidata.org/entity/Q115818151" TargetMode="External"/><Relationship Id="rId2714" Type="http://schemas.openxmlformats.org/officeDocument/2006/relationships/hyperlink" Target="http://www.wikidata.org/entity/Q1056391" TargetMode="External"/><Relationship Id="rId2715" Type="http://schemas.openxmlformats.org/officeDocument/2006/relationships/hyperlink" Target="http://www.wikidata.org/entity/Q115818151" TargetMode="External"/><Relationship Id="rId2716" Type="http://schemas.openxmlformats.org/officeDocument/2006/relationships/hyperlink" Target="http://www.wikidata.org/entity/Q250867" TargetMode="External"/><Relationship Id="rId2717" Type="http://schemas.openxmlformats.org/officeDocument/2006/relationships/hyperlink" Target="http://www.wikidata.org/entity/Q115815004" TargetMode="External"/><Relationship Id="rId2718" Type="http://schemas.openxmlformats.org/officeDocument/2006/relationships/hyperlink" Target="http://www.wikidata.org/entity/Q2251335" TargetMode="External"/><Relationship Id="rId2719" Type="http://schemas.openxmlformats.org/officeDocument/2006/relationships/hyperlink" Target="http://www.wikidata.org/entity/Q115817390" TargetMode="External"/><Relationship Id="rId1455" Type="http://schemas.openxmlformats.org/officeDocument/2006/relationships/hyperlink" Target="http://www.wikidata.org/entity/Q115834468" TargetMode="External"/><Relationship Id="rId2786" Type="http://schemas.openxmlformats.org/officeDocument/2006/relationships/hyperlink" Target="http://www.wikidata.org/entity/Q1056391" TargetMode="External"/><Relationship Id="rId1456" Type="http://schemas.openxmlformats.org/officeDocument/2006/relationships/hyperlink" Target="http://www.wikidata.org/entity/Q2251335" TargetMode="External"/><Relationship Id="rId2787" Type="http://schemas.openxmlformats.org/officeDocument/2006/relationships/hyperlink" Target="http://www.wikidata.org/entity/Q115837633" TargetMode="External"/><Relationship Id="rId1457" Type="http://schemas.openxmlformats.org/officeDocument/2006/relationships/hyperlink" Target="http://www.wikidata.org/entity/Q115837342" TargetMode="External"/><Relationship Id="rId2788" Type="http://schemas.openxmlformats.org/officeDocument/2006/relationships/hyperlink" Target="http://www.wikidata.org/entity/Q250867" TargetMode="External"/><Relationship Id="rId1458" Type="http://schemas.openxmlformats.org/officeDocument/2006/relationships/hyperlink" Target="http://www.wikidata.org/entity/Q2251335" TargetMode="External"/><Relationship Id="rId2789" Type="http://schemas.openxmlformats.org/officeDocument/2006/relationships/hyperlink" Target="http://www.wikidata.org/entity/Q115839353" TargetMode="External"/><Relationship Id="rId1459" Type="http://schemas.openxmlformats.org/officeDocument/2006/relationships/hyperlink" Target="http://www.wikidata.org/entity/Q121000890" TargetMode="External"/><Relationship Id="rId629" Type="http://schemas.openxmlformats.org/officeDocument/2006/relationships/hyperlink" Target="http://www.wikidata.org/entity/Q55232762" TargetMode="External"/><Relationship Id="rId624" Type="http://schemas.openxmlformats.org/officeDocument/2006/relationships/hyperlink" Target="http://www.wikidata.org/entity/Q955464" TargetMode="External"/><Relationship Id="rId623" Type="http://schemas.openxmlformats.org/officeDocument/2006/relationships/hyperlink" Target="http://www.wikidata.org/entity/Q115834468" TargetMode="External"/><Relationship Id="rId622" Type="http://schemas.openxmlformats.org/officeDocument/2006/relationships/hyperlink" Target="http://www.wikidata.org/entity/Q250867" TargetMode="External"/><Relationship Id="rId621" Type="http://schemas.openxmlformats.org/officeDocument/2006/relationships/hyperlink" Target="http://www.wikidata.org/entity/Q115831509" TargetMode="External"/><Relationship Id="rId628" Type="http://schemas.openxmlformats.org/officeDocument/2006/relationships/hyperlink" Target="http://www.wikidata.org/entity/Q250867" TargetMode="External"/><Relationship Id="rId627" Type="http://schemas.openxmlformats.org/officeDocument/2006/relationships/hyperlink" Target="http://www.wikidata.org/entity/Q115834468" TargetMode="External"/><Relationship Id="rId626" Type="http://schemas.openxmlformats.org/officeDocument/2006/relationships/hyperlink" Target="http://www.wikidata.org/entity/Q1753370" TargetMode="External"/><Relationship Id="rId625" Type="http://schemas.openxmlformats.org/officeDocument/2006/relationships/hyperlink" Target="http://www.wikidata.org/entity/Q115818649" TargetMode="External"/><Relationship Id="rId2780" Type="http://schemas.openxmlformats.org/officeDocument/2006/relationships/hyperlink" Target="http://www.wikidata.org/entity/Q250867" TargetMode="External"/><Relationship Id="rId1450" Type="http://schemas.openxmlformats.org/officeDocument/2006/relationships/hyperlink" Target="http://www.wikidata.org/entity/Q955464" TargetMode="External"/><Relationship Id="rId2781" Type="http://schemas.openxmlformats.org/officeDocument/2006/relationships/hyperlink" Target="http://www.wikidata.org/entity/Q115821474" TargetMode="External"/><Relationship Id="rId620" Type="http://schemas.openxmlformats.org/officeDocument/2006/relationships/hyperlink" Target="http://commons.wikimedia.org/wiki/Special:FilePath/Portret%20van%20Clementia%20Hiers%20%28Hendrik%20De%20Pondt%2C%201878%29.jpg" TargetMode="External"/><Relationship Id="rId1451" Type="http://schemas.openxmlformats.org/officeDocument/2006/relationships/hyperlink" Target="http://www.wikidata.org/entity/Q115837342" TargetMode="External"/><Relationship Id="rId2782" Type="http://schemas.openxmlformats.org/officeDocument/2006/relationships/hyperlink" Target="http://www.wikidata.org/entity/Q1753370" TargetMode="External"/><Relationship Id="rId1452" Type="http://schemas.openxmlformats.org/officeDocument/2006/relationships/hyperlink" Target="http://www.wikidata.org/entity/Q1056391" TargetMode="External"/><Relationship Id="rId2783" Type="http://schemas.openxmlformats.org/officeDocument/2006/relationships/hyperlink" Target="http://www.wikidata.org/entity/Q115837593" TargetMode="External"/><Relationship Id="rId1453" Type="http://schemas.openxmlformats.org/officeDocument/2006/relationships/hyperlink" Target="http://www.wikidata.org/entity/Q115837342" TargetMode="External"/><Relationship Id="rId2784" Type="http://schemas.openxmlformats.org/officeDocument/2006/relationships/hyperlink" Target="http://www.wikidata.org/entity/Q250867" TargetMode="External"/><Relationship Id="rId1454" Type="http://schemas.openxmlformats.org/officeDocument/2006/relationships/hyperlink" Target="http://www.wikidata.org/entity/Q250867" TargetMode="External"/><Relationship Id="rId2785" Type="http://schemas.openxmlformats.org/officeDocument/2006/relationships/hyperlink" Target="http://www.wikidata.org/entity/Q115837633" TargetMode="External"/><Relationship Id="rId1444" Type="http://schemas.openxmlformats.org/officeDocument/2006/relationships/hyperlink" Target="http://www.wikidata.org/entity/Q333634" TargetMode="External"/><Relationship Id="rId2775" Type="http://schemas.openxmlformats.org/officeDocument/2006/relationships/hyperlink" Target="http://www.wikidata.org/entity/Q115832532" TargetMode="External"/><Relationship Id="rId1445" Type="http://schemas.openxmlformats.org/officeDocument/2006/relationships/hyperlink" Target="http://www.wikidata.org/entity/Q115835531" TargetMode="External"/><Relationship Id="rId2776" Type="http://schemas.openxmlformats.org/officeDocument/2006/relationships/hyperlink" Target="http://www.wikidata.org/entity/Q2251335" TargetMode="External"/><Relationship Id="rId1446" Type="http://schemas.openxmlformats.org/officeDocument/2006/relationships/hyperlink" Target="http://www.wikidata.org/entity/Q250867" TargetMode="External"/><Relationship Id="rId2777" Type="http://schemas.openxmlformats.org/officeDocument/2006/relationships/hyperlink" Target="http://www.wikidata.org/entity/Q115837633" TargetMode="External"/><Relationship Id="rId1447" Type="http://schemas.openxmlformats.org/officeDocument/2006/relationships/hyperlink" Target="http://www.wikidata.org/entity/Q115836065" TargetMode="External"/><Relationship Id="rId2778" Type="http://schemas.openxmlformats.org/officeDocument/2006/relationships/hyperlink" Target="http://www.wikidata.org/entity/Q955464" TargetMode="External"/><Relationship Id="rId1448" Type="http://schemas.openxmlformats.org/officeDocument/2006/relationships/hyperlink" Target="http://www.wikidata.org/entity/Q219477" TargetMode="External"/><Relationship Id="rId2779" Type="http://schemas.openxmlformats.org/officeDocument/2006/relationships/hyperlink" Target="http://www.wikidata.org/entity/Q115836962" TargetMode="External"/><Relationship Id="rId1449" Type="http://schemas.openxmlformats.org/officeDocument/2006/relationships/hyperlink" Target="http://www.wikidata.org/entity/Q115837342" TargetMode="External"/><Relationship Id="rId619" Type="http://schemas.openxmlformats.org/officeDocument/2006/relationships/hyperlink" Target="http://www.wikidata.org/entity/Q482980" TargetMode="External"/><Relationship Id="rId618" Type="http://schemas.openxmlformats.org/officeDocument/2006/relationships/hyperlink" Target="http://www.wikidata.org/entity/Q115104760" TargetMode="External"/><Relationship Id="rId613" Type="http://schemas.openxmlformats.org/officeDocument/2006/relationships/hyperlink" Target="http://www.wikidata.org/entity/Q955464" TargetMode="External"/><Relationship Id="rId612" Type="http://schemas.openxmlformats.org/officeDocument/2006/relationships/hyperlink" Target="http://www.wikidata.org/entity/Q115831509" TargetMode="External"/><Relationship Id="rId611" Type="http://schemas.openxmlformats.org/officeDocument/2006/relationships/hyperlink" Target="http://www.wikidata.org/entity/Q105186" TargetMode="External"/><Relationship Id="rId610" Type="http://schemas.openxmlformats.org/officeDocument/2006/relationships/hyperlink" Target="http://www.wikidata.org/entity/Q113754119" TargetMode="External"/><Relationship Id="rId617" Type="http://schemas.openxmlformats.org/officeDocument/2006/relationships/hyperlink" Target="http://www.wikidata.org/entity/Q1657500" TargetMode="External"/><Relationship Id="rId616" Type="http://schemas.openxmlformats.org/officeDocument/2006/relationships/hyperlink" Target="http://www.wikidata.org/entity/Q110039159" TargetMode="External"/><Relationship Id="rId615" Type="http://schemas.openxmlformats.org/officeDocument/2006/relationships/hyperlink" Target="http://www.wikidata.org/entity/Q1162163" TargetMode="External"/><Relationship Id="rId614" Type="http://schemas.openxmlformats.org/officeDocument/2006/relationships/hyperlink" Target="http://www.wikidata.org/entity/Q115831509" TargetMode="External"/><Relationship Id="rId2770" Type="http://schemas.openxmlformats.org/officeDocument/2006/relationships/hyperlink" Target="http://www.wikidata.org/entity/Q250867" TargetMode="External"/><Relationship Id="rId1440" Type="http://schemas.openxmlformats.org/officeDocument/2006/relationships/hyperlink" Target="http://www.wikidata.org/entity/Q2251335" TargetMode="External"/><Relationship Id="rId2771" Type="http://schemas.openxmlformats.org/officeDocument/2006/relationships/hyperlink" Target="http://www.wikidata.org/entity/Q115836962" TargetMode="External"/><Relationship Id="rId1441" Type="http://schemas.openxmlformats.org/officeDocument/2006/relationships/hyperlink" Target="http://www.wikidata.org/entity/Q115838420" TargetMode="External"/><Relationship Id="rId2772" Type="http://schemas.openxmlformats.org/officeDocument/2006/relationships/hyperlink" Target="http://www.wikidata.org/entity/Q1072363" TargetMode="External"/><Relationship Id="rId1442" Type="http://schemas.openxmlformats.org/officeDocument/2006/relationships/hyperlink" Target="http://www.wikidata.org/entity/Q250867" TargetMode="External"/><Relationship Id="rId2773" Type="http://schemas.openxmlformats.org/officeDocument/2006/relationships/hyperlink" Target="http://www.wikidata.org/entity/Q115837593" TargetMode="External"/><Relationship Id="rId1443" Type="http://schemas.openxmlformats.org/officeDocument/2006/relationships/hyperlink" Target="http://www.wikidata.org/entity/Q115835531" TargetMode="External"/><Relationship Id="rId2774" Type="http://schemas.openxmlformats.org/officeDocument/2006/relationships/hyperlink" Target="http://www.wikidata.org/entity/Q955464" TargetMode="External"/><Relationship Id="rId1477" Type="http://schemas.openxmlformats.org/officeDocument/2006/relationships/hyperlink" Target="http://www.wikidata.org/entity/Q116621328" TargetMode="External"/><Relationship Id="rId1478" Type="http://schemas.openxmlformats.org/officeDocument/2006/relationships/hyperlink" Target="http://www.wikidata.org/entity/Q191808" TargetMode="External"/><Relationship Id="rId1479" Type="http://schemas.openxmlformats.org/officeDocument/2006/relationships/hyperlink" Target="http://www.wikidata.org/entity/Q116620790" TargetMode="External"/><Relationship Id="rId646" Type="http://schemas.openxmlformats.org/officeDocument/2006/relationships/hyperlink" Target="http://www.wikidata.org/entity/Q1622272" TargetMode="External"/><Relationship Id="rId645" Type="http://schemas.openxmlformats.org/officeDocument/2006/relationships/hyperlink" Target="http://www.wikidata.org/entity/Q114945031" TargetMode="External"/><Relationship Id="rId644" Type="http://schemas.openxmlformats.org/officeDocument/2006/relationships/hyperlink" Target="http://www.wikidata.org/entity/Q725440" TargetMode="External"/><Relationship Id="rId643" Type="http://schemas.openxmlformats.org/officeDocument/2006/relationships/hyperlink" Target="http://www.wikidata.org/entity/Q114945031" TargetMode="External"/><Relationship Id="rId649" Type="http://schemas.openxmlformats.org/officeDocument/2006/relationships/hyperlink" Target="http://www.wikidata.org/entity/Q86735347" TargetMode="External"/><Relationship Id="rId648" Type="http://schemas.openxmlformats.org/officeDocument/2006/relationships/hyperlink" Target="http://www.wikidata.org/entity/Q1044528" TargetMode="External"/><Relationship Id="rId647" Type="http://schemas.openxmlformats.org/officeDocument/2006/relationships/hyperlink" Target="http://www.wikidata.org/entity/Q114945031" TargetMode="External"/><Relationship Id="rId1470" Type="http://schemas.openxmlformats.org/officeDocument/2006/relationships/hyperlink" Target="http://www.wikidata.org/entity/Q2251335" TargetMode="External"/><Relationship Id="rId1471" Type="http://schemas.openxmlformats.org/officeDocument/2006/relationships/hyperlink" Target="http://www.wikidata.org/entity/Q115836065" TargetMode="External"/><Relationship Id="rId1472" Type="http://schemas.openxmlformats.org/officeDocument/2006/relationships/hyperlink" Target="http://www.wikidata.org/entity/Q1469535" TargetMode="External"/><Relationship Id="rId642" Type="http://schemas.openxmlformats.org/officeDocument/2006/relationships/hyperlink" Target="http://www.wikidata.org/entity/Q250867" TargetMode="External"/><Relationship Id="rId1473" Type="http://schemas.openxmlformats.org/officeDocument/2006/relationships/hyperlink" Target="http://www.wikidata.org/entity/Q115834468" TargetMode="External"/><Relationship Id="rId641" Type="http://schemas.openxmlformats.org/officeDocument/2006/relationships/hyperlink" Target="http://www.wikidata.org/entity/Q114945031" TargetMode="External"/><Relationship Id="rId1474" Type="http://schemas.openxmlformats.org/officeDocument/2006/relationships/hyperlink" Target="http://www.wikidata.org/entity/Q1753370" TargetMode="External"/><Relationship Id="rId640" Type="http://schemas.openxmlformats.org/officeDocument/2006/relationships/hyperlink" Target="http://www.wikidata.org/entity/Q1056391" TargetMode="External"/><Relationship Id="rId1475" Type="http://schemas.openxmlformats.org/officeDocument/2006/relationships/hyperlink" Target="http://www.wikidata.org/entity/Q115836535" TargetMode="External"/><Relationship Id="rId1476" Type="http://schemas.openxmlformats.org/officeDocument/2006/relationships/hyperlink" Target="http://www.wikidata.org/entity/Q435940" TargetMode="External"/><Relationship Id="rId1466" Type="http://schemas.openxmlformats.org/officeDocument/2006/relationships/hyperlink" Target="http://www.wikidata.org/entity/Q2516866" TargetMode="External"/><Relationship Id="rId2797" Type="http://schemas.openxmlformats.org/officeDocument/2006/relationships/hyperlink" Target="http://www.wikidata.org/entity/Q115839353" TargetMode="External"/><Relationship Id="rId1467" Type="http://schemas.openxmlformats.org/officeDocument/2006/relationships/hyperlink" Target="http://www.wikidata.org/entity/Q115838420" TargetMode="External"/><Relationship Id="rId2798" Type="http://schemas.openxmlformats.org/officeDocument/2006/relationships/hyperlink" Target="http://www.wikidata.org/entity/Q250867" TargetMode="External"/><Relationship Id="rId1468" Type="http://schemas.openxmlformats.org/officeDocument/2006/relationships/hyperlink" Target="http://www.wikidata.org/entity/Q1753370" TargetMode="External"/><Relationship Id="rId2799" Type="http://schemas.openxmlformats.org/officeDocument/2006/relationships/hyperlink" Target="http://www.wikidata.org/entity/Q115841074" TargetMode="External"/><Relationship Id="rId1469" Type="http://schemas.openxmlformats.org/officeDocument/2006/relationships/hyperlink" Target="http://www.wikidata.org/entity/Q115844105" TargetMode="External"/><Relationship Id="rId635" Type="http://schemas.openxmlformats.org/officeDocument/2006/relationships/hyperlink" Target="http://www.wikidata.org/entity/Q1753370" TargetMode="External"/><Relationship Id="rId634" Type="http://schemas.openxmlformats.org/officeDocument/2006/relationships/hyperlink" Target="http://www.wikidata.org/entity/Q115819139" TargetMode="External"/><Relationship Id="rId633" Type="http://schemas.openxmlformats.org/officeDocument/2006/relationships/hyperlink" Target="http://commons.wikimedia.org/wiki/Special:FilePath/Portret%20van%20Clementia%20Hiers%20%28Hendrik%20De%20Pondt%2C%201878%29.jpg" TargetMode="External"/><Relationship Id="rId632" Type="http://schemas.openxmlformats.org/officeDocument/2006/relationships/hyperlink" Target="http://www.wikidata.org/entity/Q147618" TargetMode="External"/><Relationship Id="rId639" Type="http://schemas.openxmlformats.org/officeDocument/2006/relationships/hyperlink" Target="http://www.wikidata.org/entity/Q114945031" TargetMode="External"/><Relationship Id="rId638" Type="http://schemas.openxmlformats.org/officeDocument/2006/relationships/hyperlink" Target="http://commons.wikimedia.org/wiki/Special:FilePath/De%20Potter%20Frans%20070512.png" TargetMode="External"/><Relationship Id="rId637" Type="http://schemas.openxmlformats.org/officeDocument/2006/relationships/hyperlink" Target="http://www.wikidata.org/entity/Q1930187" TargetMode="External"/><Relationship Id="rId636" Type="http://schemas.openxmlformats.org/officeDocument/2006/relationships/hyperlink" Target="http://www.wikidata.org/entity/Q15461013" TargetMode="External"/><Relationship Id="rId2790" Type="http://schemas.openxmlformats.org/officeDocument/2006/relationships/hyperlink" Target="http://www.wikidata.org/entity/Q955464" TargetMode="External"/><Relationship Id="rId1460" Type="http://schemas.openxmlformats.org/officeDocument/2006/relationships/hyperlink" Target="http://www.wikidata.org/entity/Q37226" TargetMode="External"/><Relationship Id="rId2791" Type="http://schemas.openxmlformats.org/officeDocument/2006/relationships/hyperlink" Target="http://www.wikidata.org/entity/Q115829623" TargetMode="External"/><Relationship Id="rId1461" Type="http://schemas.openxmlformats.org/officeDocument/2006/relationships/hyperlink" Target="http://www.wikidata.org/entity/Q115844105" TargetMode="External"/><Relationship Id="rId2792" Type="http://schemas.openxmlformats.org/officeDocument/2006/relationships/hyperlink" Target="http://www.wikidata.org/entity/Q1104153" TargetMode="External"/><Relationship Id="rId631" Type="http://schemas.openxmlformats.org/officeDocument/2006/relationships/hyperlink" Target="http://www.wikidata.org/entity/Q115104760" TargetMode="External"/><Relationship Id="rId1462" Type="http://schemas.openxmlformats.org/officeDocument/2006/relationships/hyperlink" Target="http://www.wikidata.org/entity/Q955464" TargetMode="External"/><Relationship Id="rId2793" Type="http://schemas.openxmlformats.org/officeDocument/2006/relationships/hyperlink" Target="http://www.wikidata.org/entity/Q115839353" TargetMode="External"/><Relationship Id="rId630" Type="http://schemas.openxmlformats.org/officeDocument/2006/relationships/hyperlink" Target="http://www.wikidata.org/entity/Q4594605" TargetMode="External"/><Relationship Id="rId1463" Type="http://schemas.openxmlformats.org/officeDocument/2006/relationships/hyperlink" Target="http://www.wikidata.org/entity/Q115844105" TargetMode="External"/><Relationship Id="rId2794" Type="http://schemas.openxmlformats.org/officeDocument/2006/relationships/hyperlink" Target="http://www.wikidata.org/entity/Q201788" TargetMode="External"/><Relationship Id="rId1464" Type="http://schemas.openxmlformats.org/officeDocument/2006/relationships/hyperlink" Target="http://www.wikidata.org/entity/Q250867" TargetMode="External"/><Relationship Id="rId2795" Type="http://schemas.openxmlformats.org/officeDocument/2006/relationships/hyperlink" Target="http://www.wikidata.org/entity/Q115839380" TargetMode="External"/><Relationship Id="rId1465" Type="http://schemas.openxmlformats.org/officeDocument/2006/relationships/hyperlink" Target="http://www.wikidata.org/entity/Q115844105" TargetMode="External"/><Relationship Id="rId2796" Type="http://schemas.openxmlformats.org/officeDocument/2006/relationships/hyperlink" Target="http://www.wikidata.org/entity/Q250867" TargetMode="External"/><Relationship Id="rId1411" Type="http://schemas.openxmlformats.org/officeDocument/2006/relationships/hyperlink" Target="http://www.wikidata.org/entity/Q1056391" TargetMode="External"/><Relationship Id="rId2742" Type="http://schemas.openxmlformats.org/officeDocument/2006/relationships/hyperlink" Target="http://www.wikidata.org/entity/Q114371470" TargetMode="External"/><Relationship Id="rId1412" Type="http://schemas.openxmlformats.org/officeDocument/2006/relationships/hyperlink" Target="http://www.wikidata.org/entity/Q119690392" TargetMode="External"/><Relationship Id="rId2743" Type="http://schemas.openxmlformats.org/officeDocument/2006/relationships/hyperlink" Target="http://www.wikidata.org/entity/Q115839353" TargetMode="External"/><Relationship Id="rId1413" Type="http://schemas.openxmlformats.org/officeDocument/2006/relationships/hyperlink" Target="http://www.wikidata.org/entity/Q250867" TargetMode="External"/><Relationship Id="rId2744" Type="http://schemas.openxmlformats.org/officeDocument/2006/relationships/hyperlink" Target="http://www.wikidata.org/entity/Q115705951" TargetMode="External"/><Relationship Id="rId1414" Type="http://schemas.openxmlformats.org/officeDocument/2006/relationships/hyperlink" Target="http://www.wikidata.org/entity/Q119796023" TargetMode="External"/><Relationship Id="rId2745" Type="http://schemas.openxmlformats.org/officeDocument/2006/relationships/hyperlink" Target="http://www.wikidata.org/entity/Q115837633" TargetMode="External"/><Relationship Id="rId1415" Type="http://schemas.openxmlformats.org/officeDocument/2006/relationships/hyperlink" Target="http://www.wikidata.org/entity/Q2516866" TargetMode="External"/><Relationship Id="rId2746" Type="http://schemas.openxmlformats.org/officeDocument/2006/relationships/hyperlink" Target="http://www.wikidata.org/entity/Q118395622" TargetMode="External"/><Relationship Id="rId1416" Type="http://schemas.openxmlformats.org/officeDocument/2006/relationships/hyperlink" Target="http://www.wikidata.org/entity/Q117244643" TargetMode="External"/><Relationship Id="rId2747" Type="http://schemas.openxmlformats.org/officeDocument/2006/relationships/hyperlink" Target="http://www.wikidata.org/entity/Q115829623" TargetMode="External"/><Relationship Id="rId1417" Type="http://schemas.openxmlformats.org/officeDocument/2006/relationships/hyperlink" Target="http://www.wikidata.org/entity/Q38126150" TargetMode="External"/><Relationship Id="rId2748" Type="http://schemas.openxmlformats.org/officeDocument/2006/relationships/hyperlink" Target="http://www.wikidata.org/entity/Q219477" TargetMode="External"/><Relationship Id="rId1418" Type="http://schemas.openxmlformats.org/officeDocument/2006/relationships/hyperlink" Target="http://www.wikidata.org/entity/Q120644522" TargetMode="External"/><Relationship Id="rId2749" Type="http://schemas.openxmlformats.org/officeDocument/2006/relationships/hyperlink" Target="http://www.wikidata.org/entity/Q115815004" TargetMode="External"/><Relationship Id="rId1419" Type="http://schemas.openxmlformats.org/officeDocument/2006/relationships/hyperlink" Target="http://www.wikidata.org/entity/Q1469535" TargetMode="External"/><Relationship Id="rId2740" Type="http://schemas.openxmlformats.org/officeDocument/2006/relationships/hyperlink" Target="http://www.wikidata.org/entity/Q2251335" TargetMode="External"/><Relationship Id="rId1410" Type="http://schemas.openxmlformats.org/officeDocument/2006/relationships/hyperlink" Target="http://www.wikidata.org/entity/Q119690392" TargetMode="External"/><Relationship Id="rId2741" Type="http://schemas.openxmlformats.org/officeDocument/2006/relationships/hyperlink" Target="http://www.wikidata.org/entity/Q115840228" TargetMode="External"/><Relationship Id="rId1400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731" Type="http://schemas.openxmlformats.org/officeDocument/2006/relationships/hyperlink" Target="http://www.wikidata.org/entity/Q115825488" TargetMode="External"/><Relationship Id="rId1401" Type="http://schemas.openxmlformats.org/officeDocument/2006/relationships/hyperlink" Target="http://www.wikidata.org/entity/Q62080181" TargetMode="External"/><Relationship Id="rId2732" Type="http://schemas.openxmlformats.org/officeDocument/2006/relationships/hyperlink" Target="http://www.wikidata.org/entity/Q955464" TargetMode="External"/><Relationship Id="rId1402" Type="http://schemas.openxmlformats.org/officeDocument/2006/relationships/hyperlink" Target="http://www.wikidata.org/entity/Q1104153" TargetMode="External"/><Relationship Id="rId2733" Type="http://schemas.openxmlformats.org/officeDocument/2006/relationships/hyperlink" Target="http://www.wikidata.org/entity/Q115825488" TargetMode="External"/><Relationship Id="rId1403" Type="http://schemas.openxmlformats.org/officeDocument/2006/relationships/hyperlink" Target="http://www.wikidata.org/entity/Q122780659" TargetMode="External"/><Relationship Id="rId2734" Type="http://schemas.openxmlformats.org/officeDocument/2006/relationships/hyperlink" Target="http://www.wikidata.org/entity/Q1056391" TargetMode="External"/><Relationship Id="rId1404" Type="http://schemas.openxmlformats.org/officeDocument/2006/relationships/hyperlink" Target="http://www.wikidata.org/entity/Q119796023" TargetMode="External"/><Relationship Id="rId2735" Type="http://schemas.openxmlformats.org/officeDocument/2006/relationships/hyperlink" Target="http://www.wikidata.org/entity/Q115821474" TargetMode="External"/><Relationship Id="rId1405" Type="http://schemas.openxmlformats.org/officeDocument/2006/relationships/hyperlink" Target="http://www.wikidata.org/entity/Q175151" TargetMode="External"/><Relationship Id="rId2736" Type="http://schemas.openxmlformats.org/officeDocument/2006/relationships/hyperlink" Target="http://www.wikidata.org/entity/Q2251335" TargetMode="External"/><Relationship Id="rId1406" Type="http://schemas.openxmlformats.org/officeDocument/2006/relationships/hyperlink" Target="http://www.wikidata.org/entity/Q119796023" TargetMode="External"/><Relationship Id="rId2737" Type="http://schemas.openxmlformats.org/officeDocument/2006/relationships/hyperlink" Target="http://www.wikidata.org/entity/Q110039252" TargetMode="External"/><Relationship Id="rId1407" Type="http://schemas.openxmlformats.org/officeDocument/2006/relationships/hyperlink" Target="http://www.wikidata.org/entity/Q182436" TargetMode="External"/><Relationship Id="rId2738" Type="http://schemas.openxmlformats.org/officeDocument/2006/relationships/hyperlink" Target="http://www.wikidata.org/entity/Q2251335" TargetMode="External"/><Relationship Id="rId1408" Type="http://schemas.openxmlformats.org/officeDocument/2006/relationships/hyperlink" Target="http://www.wikidata.org/entity/Q119690392" TargetMode="External"/><Relationship Id="rId2739" Type="http://schemas.openxmlformats.org/officeDocument/2006/relationships/hyperlink" Target="http://www.wikidata.org/entity/Q115825488" TargetMode="External"/><Relationship Id="rId1409" Type="http://schemas.openxmlformats.org/officeDocument/2006/relationships/hyperlink" Target="http://www.wikidata.org/entity/Q219477" TargetMode="External"/><Relationship Id="rId2730" Type="http://schemas.openxmlformats.org/officeDocument/2006/relationships/hyperlink" Target="http://www.wikidata.org/entity/Q115705951" TargetMode="External"/><Relationship Id="rId1433" Type="http://schemas.openxmlformats.org/officeDocument/2006/relationships/hyperlink" Target="http://www.wikidata.org/entity/Q115836535" TargetMode="External"/><Relationship Id="rId2764" Type="http://schemas.openxmlformats.org/officeDocument/2006/relationships/hyperlink" Target="http://www.wikidata.org/entity/Q462390" TargetMode="External"/><Relationship Id="rId1434" Type="http://schemas.openxmlformats.org/officeDocument/2006/relationships/hyperlink" Target="http://www.wikidata.org/entity/Q219477" TargetMode="External"/><Relationship Id="rId2765" Type="http://schemas.openxmlformats.org/officeDocument/2006/relationships/hyperlink" Target="http://www.wikidata.org/entity/Q115819047" TargetMode="External"/><Relationship Id="rId1435" Type="http://schemas.openxmlformats.org/officeDocument/2006/relationships/hyperlink" Target="http://www.wikidata.org/entity/Q115836535" TargetMode="External"/><Relationship Id="rId2766" Type="http://schemas.openxmlformats.org/officeDocument/2006/relationships/hyperlink" Target="http://www.wikidata.org/entity/Q1753370" TargetMode="External"/><Relationship Id="rId1436" Type="http://schemas.openxmlformats.org/officeDocument/2006/relationships/hyperlink" Target="http://www.wikidata.org/entity/Q250867" TargetMode="External"/><Relationship Id="rId2767" Type="http://schemas.openxmlformats.org/officeDocument/2006/relationships/hyperlink" Target="http://www.wikidata.org/entity/Q115835763" TargetMode="External"/><Relationship Id="rId1437" Type="http://schemas.openxmlformats.org/officeDocument/2006/relationships/hyperlink" Target="http://www.wikidata.org/entity/Q120629807" TargetMode="External"/><Relationship Id="rId2768" Type="http://schemas.openxmlformats.org/officeDocument/2006/relationships/hyperlink" Target="http://www.wikidata.org/entity/Q955464" TargetMode="External"/><Relationship Id="rId1438" Type="http://schemas.openxmlformats.org/officeDocument/2006/relationships/hyperlink" Target="http://www.wikidata.org/entity/Q36180" TargetMode="External"/><Relationship Id="rId2769" Type="http://schemas.openxmlformats.org/officeDocument/2006/relationships/hyperlink" Target="http://www.wikidata.org/entity/Q115835763" TargetMode="External"/><Relationship Id="rId1439" Type="http://schemas.openxmlformats.org/officeDocument/2006/relationships/hyperlink" Target="http://www.wikidata.org/entity/Q115836535" TargetMode="External"/><Relationship Id="rId609" Type="http://schemas.openxmlformats.org/officeDocument/2006/relationships/hyperlink" Target="http://commons.wikimedia.org/wiki/Special:FilePath/Portret%20van%20Clementia%20Hiers%20%28Hendrik%20De%20Pondt%2C%201878%29.jpg" TargetMode="External"/><Relationship Id="rId608" Type="http://schemas.openxmlformats.org/officeDocument/2006/relationships/hyperlink" Target="http://www.wikidata.org/entity/Q1776501" TargetMode="External"/><Relationship Id="rId607" Type="http://schemas.openxmlformats.org/officeDocument/2006/relationships/hyperlink" Target="http://www.wikidata.org/entity/Q115104760" TargetMode="External"/><Relationship Id="rId602" Type="http://schemas.openxmlformats.org/officeDocument/2006/relationships/hyperlink" Target="http://www.wikidata.org/entity/Q1958649" TargetMode="External"/><Relationship Id="rId601" Type="http://schemas.openxmlformats.org/officeDocument/2006/relationships/hyperlink" Target="http://www.wikidata.org/entity/Q115809464" TargetMode="External"/><Relationship Id="rId600" Type="http://schemas.openxmlformats.org/officeDocument/2006/relationships/hyperlink" Target="http://www.wikidata.org/entity/Q998550" TargetMode="External"/><Relationship Id="rId606" Type="http://schemas.openxmlformats.org/officeDocument/2006/relationships/hyperlink" Target="http://www.wikidata.org/entity/Q10429346" TargetMode="External"/><Relationship Id="rId605" Type="http://schemas.openxmlformats.org/officeDocument/2006/relationships/hyperlink" Target="http://www.wikidata.org/entity/Q86735347" TargetMode="External"/><Relationship Id="rId604" Type="http://schemas.openxmlformats.org/officeDocument/2006/relationships/hyperlink" Target="http://www.wikidata.org/entity/Q15253558" TargetMode="External"/><Relationship Id="rId603" Type="http://schemas.openxmlformats.org/officeDocument/2006/relationships/hyperlink" Target="http://www.wikidata.org/entity/Q51168899" TargetMode="External"/><Relationship Id="rId2760" Type="http://schemas.openxmlformats.org/officeDocument/2006/relationships/hyperlink" Target="http://www.wikidata.org/entity/Q2251335" TargetMode="External"/><Relationship Id="rId1430" Type="http://schemas.openxmlformats.org/officeDocument/2006/relationships/hyperlink" Target="http://www.wikidata.org/entity/Q114371470" TargetMode="External"/><Relationship Id="rId2761" Type="http://schemas.openxmlformats.org/officeDocument/2006/relationships/hyperlink" Target="http://www.wikidata.org/entity/Q115835763" TargetMode="External"/><Relationship Id="rId1431" Type="http://schemas.openxmlformats.org/officeDocument/2006/relationships/hyperlink" Target="http://www.wikidata.org/entity/Q115836535" TargetMode="External"/><Relationship Id="rId2762" Type="http://schemas.openxmlformats.org/officeDocument/2006/relationships/hyperlink" Target="http://www.wikidata.org/entity/Q121594" TargetMode="External"/><Relationship Id="rId1432" Type="http://schemas.openxmlformats.org/officeDocument/2006/relationships/hyperlink" Target="http://www.wikidata.org/entity/Q955464" TargetMode="External"/><Relationship Id="rId2763" Type="http://schemas.openxmlformats.org/officeDocument/2006/relationships/hyperlink" Target="http://www.wikidata.org/entity/Q115832532" TargetMode="External"/><Relationship Id="rId1422" Type="http://schemas.openxmlformats.org/officeDocument/2006/relationships/hyperlink" Target="http://www.wikidata.org/entity/Q118725738" TargetMode="External"/><Relationship Id="rId2753" Type="http://schemas.openxmlformats.org/officeDocument/2006/relationships/hyperlink" Target="http://www.wikidata.org/entity/Q115829623" TargetMode="External"/><Relationship Id="rId1423" Type="http://schemas.openxmlformats.org/officeDocument/2006/relationships/hyperlink" Target="http://www.wikidata.org/entity/Q81096" TargetMode="External"/><Relationship Id="rId2754" Type="http://schemas.openxmlformats.org/officeDocument/2006/relationships/hyperlink" Target="http://www.wikidata.org/entity/Q4958876" TargetMode="External"/><Relationship Id="rId1424" Type="http://schemas.openxmlformats.org/officeDocument/2006/relationships/hyperlink" Target="http://www.wikidata.org/entity/Q116660566" TargetMode="External"/><Relationship Id="rId2755" Type="http://schemas.openxmlformats.org/officeDocument/2006/relationships/hyperlink" Target="http://www.wikidata.org/entity/Q115817263" TargetMode="External"/><Relationship Id="rId1425" Type="http://schemas.openxmlformats.org/officeDocument/2006/relationships/hyperlink" Target="http://www.wikidata.org/entity/Q191808" TargetMode="External"/><Relationship Id="rId2756" Type="http://schemas.openxmlformats.org/officeDocument/2006/relationships/hyperlink" Target="http://www.wikidata.org/entity/Q1753370" TargetMode="External"/><Relationship Id="rId1426" Type="http://schemas.openxmlformats.org/officeDocument/2006/relationships/hyperlink" Target="http://commons.wikimedia.org/wiki/Special:FilePath/Foto%20van%20Florence%20Gezelle.jpg" TargetMode="External"/><Relationship Id="rId2757" Type="http://schemas.openxmlformats.org/officeDocument/2006/relationships/hyperlink" Target="http://www.wikidata.org/entity/Q115817390" TargetMode="External"/><Relationship Id="rId1427" Type="http://schemas.openxmlformats.org/officeDocument/2006/relationships/hyperlink" Target="http://www.wikidata.org/entity/Q118725738" TargetMode="External"/><Relationship Id="rId2758" Type="http://schemas.openxmlformats.org/officeDocument/2006/relationships/hyperlink" Target="http://www.wikidata.org/entity/Q1753370" TargetMode="External"/><Relationship Id="rId1428" Type="http://schemas.openxmlformats.org/officeDocument/2006/relationships/hyperlink" Target="http://www.wikidata.org/entity/Q2462658" TargetMode="External"/><Relationship Id="rId2759" Type="http://schemas.openxmlformats.org/officeDocument/2006/relationships/hyperlink" Target="http://www.wikidata.org/entity/Q115829623" TargetMode="External"/><Relationship Id="rId1429" Type="http://schemas.openxmlformats.org/officeDocument/2006/relationships/hyperlink" Target="http://www.wikidata.org/entity/Q115838420" TargetMode="External"/><Relationship Id="rId2750" Type="http://schemas.openxmlformats.org/officeDocument/2006/relationships/hyperlink" Target="http://www.wikidata.org/entity/Q1753370" TargetMode="External"/><Relationship Id="rId1420" Type="http://schemas.openxmlformats.org/officeDocument/2006/relationships/hyperlink" Target="http://www.wikidata.org/entity/Q120644522" TargetMode="External"/><Relationship Id="rId2751" Type="http://schemas.openxmlformats.org/officeDocument/2006/relationships/hyperlink" Target="http://www.wikidata.org/entity/Q115832532" TargetMode="External"/><Relationship Id="rId1421" Type="http://schemas.openxmlformats.org/officeDocument/2006/relationships/hyperlink" Target="http://www.wikidata.org/entity/Q1753370" TargetMode="External"/><Relationship Id="rId2752" Type="http://schemas.openxmlformats.org/officeDocument/2006/relationships/hyperlink" Target="http://www.wikidata.org/entity/Q1162163" TargetMode="External"/><Relationship Id="rId3238" Type="http://schemas.openxmlformats.org/officeDocument/2006/relationships/hyperlink" Target="http://commons.wikimedia.org/wiki/Special:FilePath/Pol%20de%20Mont%201896.jpg" TargetMode="External"/><Relationship Id="rId3237" Type="http://schemas.openxmlformats.org/officeDocument/2006/relationships/hyperlink" Target="http://www.wikidata.org/entity/Q36180" TargetMode="External"/><Relationship Id="rId3239" Type="http://schemas.openxmlformats.org/officeDocument/2006/relationships/hyperlink" Target="http://www.wikidata.org/entity/Q3515115" TargetMode="External"/><Relationship Id="rId3230" Type="http://schemas.openxmlformats.org/officeDocument/2006/relationships/hyperlink" Target="http://www.wikidata.org/entity/Q2677198" TargetMode="External"/><Relationship Id="rId3232" Type="http://schemas.openxmlformats.org/officeDocument/2006/relationships/hyperlink" Target="http://commons.wikimedia.org/wiki/Special:FilePath/Jules%20Lagae%20%281862-1931%29.jpg" TargetMode="External"/><Relationship Id="rId3231" Type="http://schemas.openxmlformats.org/officeDocument/2006/relationships/hyperlink" Target="http://www.wikidata.org/entity/Q1708232" TargetMode="External"/><Relationship Id="rId3234" Type="http://schemas.openxmlformats.org/officeDocument/2006/relationships/hyperlink" Target="http://www.wikidata.org/entity/Q212238" TargetMode="External"/><Relationship Id="rId3233" Type="http://schemas.openxmlformats.org/officeDocument/2006/relationships/hyperlink" Target="http://www.wikidata.org/entity/Q3557112" TargetMode="External"/><Relationship Id="rId3236" Type="http://schemas.openxmlformats.org/officeDocument/2006/relationships/hyperlink" Target="http://www.wikidata.org/entity/Q3515115" TargetMode="External"/><Relationship Id="rId3235" Type="http://schemas.openxmlformats.org/officeDocument/2006/relationships/hyperlink" Target="http://commons.wikimedia.org/wiki/Special:FilePath/Victor%20De%20la%20Montagne.png" TargetMode="External"/><Relationship Id="rId3227" Type="http://schemas.openxmlformats.org/officeDocument/2006/relationships/hyperlink" Target="http://www.wikidata.org/entity/Q975292" TargetMode="External"/><Relationship Id="rId3226" Type="http://schemas.openxmlformats.org/officeDocument/2006/relationships/hyperlink" Target="http://www.wikidata.org/entity/Q1993192" TargetMode="External"/><Relationship Id="rId3229" Type="http://schemas.openxmlformats.org/officeDocument/2006/relationships/hyperlink" Target="http://commons.wikimedia.org/wiki/Special:FilePath/Jan%20Van%20Beers.jpg" TargetMode="External"/><Relationship Id="rId3228" Type="http://schemas.openxmlformats.org/officeDocument/2006/relationships/hyperlink" Target="http://www.wikidata.org/entity/Q14467526" TargetMode="External"/><Relationship Id="rId699" Type="http://schemas.openxmlformats.org/officeDocument/2006/relationships/hyperlink" Target="http://www.wikidata.org/entity/Q36180" TargetMode="External"/><Relationship Id="rId698" Type="http://schemas.openxmlformats.org/officeDocument/2006/relationships/hyperlink" Target="http://www.wikidata.org/entity/Q55232762" TargetMode="External"/><Relationship Id="rId693" Type="http://schemas.openxmlformats.org/officeDocument/2006/relationships/hyperlink" Target="http://www.wikidata.org/entity/Q36180" TargetMode="External"/><Relationship Id="rId692" Type="http://schemas.openxmlformats.org/officeDocument/2006/relationships/hyperlink" Target="http://www.wikidata.org/entity/Q110039159" TargetMode="External"/><Relationship Id="rId691" Type="http://schemas.openxmlformats.org/officeDocument/2006/relationships/hyperlink" Target="http://www.wikidata.org/entity/Q42603" TargetMode="External"/><Relationship Id="rId3221" Type="http://schemas.openxmlformats.org/officeDocument/2006/relationships/hyperlink" Target="http://www.wikidata.org/entity/Q120651810" TargetMode="External"/><Relationship Id="rId690" Type="http://schemas.openxmlformats.org/officeDocument/2006/relationships/hyperlink" Target="http://www.wikidata.org/entity/Q115819139" TargetMode="External"/><Relationship Id="rId3220" Type="http://schemas.openxmlformats.org/officeDocument/2006/relationships/hyperlink" Target="http://www.wikidata.org/entity/Q1753370" TargetMode="External"/><Relationship Id="rId697" Type="http://schemas.openxmlformats.org/officeDocument/2006/relationships/hyperlink" Target="http://www.wikidata.org/entity/Q6673651" TargetMode="External"/><Relationship Id="rId3223" Type="http://schemas.openxmlformats.org/officeDocument/2006/relationships/hyperlink" Target="http://www.wikidata.org/entity/Q120651810" TargetMode="External"/><Relationship Id="rId696" Type="http://schemas.openxmlformats.org/officeDocument/2006/relationships/hyperlink" Target="http://www.wikidata.org/entity/Q113681935" TargetMode="External"/><Relationship Id="rId3222" Type="http://schemas.openxmlformats.org/officeDocument/2006/relationships/hyperlink" Target="http://www.wikidata.org/entity/Q1056391" TargetMode="External"/><Relationship Id="rId695" Type="http://schemas.openxmlformats.org/officeDocument/2006/relationships/hyperlink" Target="http://www.wikidata.org/entity/Q42603" TargetMode="External"/><Relationship Id="rId3225" Type="http://schemas.openxmlformats.org/officeDocument/2006/relationships/hyperlink" Target="http://www.wikidata.org/entity/Q115980136" TargetMode="External"/><Relationship Id="rId694" Type="http://schemas.openxmlformats.org/officeDocument/2006/relationships/hyperlink" Target="http://www.wikidata.org/entity/Q110039159" TargetMode="External"/><Relationship Id="rId3224" Type="http://schemas.openxmlformats.org/officeDocument/2006/relationships/hyperlink" Target="http://www.wikidata.org/entity/Q250867" TargetMode="External"/><Relationship Id="rId3259" Type="http://schemas.openxmlformats.org/officeDocument/2006/relationships/hyperlink" Target="http://commons.wikimedia.org/wiki/Special:FilePath/Frans%20Schollaert.jpg" TargetMode="External"/><Relationship Id="rId3250" Type="http://schemas.openxmlformats.org/officeDocument/2006/relationships/hyperlink" Target="http://commons.wikimedia.org/wiki/Special:FilePath/Wytterick%2023.JPG" TargetMode="External"/><Relationship Id="rId3252" Type="http://schemas.openxmlformats.org/officeDocument/2006/relationships/hyperlink" Target="http://www.wikidata.org/entity/Q49757" TargetMode="External"/><Relationship Id="rId3251" Type="http://schemas.openxmlformats.org/officeDocument/2006/relationships/hyperlink" Target="http://www.wikidata.org/entity/Q975292" TargetMode="External"/><Relationship Id="rId3254" Type="http://schemas.openxmlformats.org/officeDocument/2006/relationships/hyperlink" Target="http://www.wikidata.org/entity/Q2360599" TargetMode="External"/><Relationship Id="rId3253" Type="http://schemas.openxmlformats.org/officeDocument/2006/relationships/hyperlink" Target="http://commons.wikimedia.org/wiki/Special:FilePath/Jan%20Van%20Beers.jpg" TargetMode="External"/><Relationship Id="rId3256" Type="http://schemas.openxmlformats.org/officeDocument/2006/relationships/hyperlink" Target="http://commons.wikimedia.org/wiki/Special:FilePath/Wytterick%2023.JPG" TargetMode="External"/><Relationship Id="rId3255" Type="http://schemas.openxmlformats.org/officeDocument/2006/relationships/hyperlink" Target="http://www.wikidata.org/entity/Q37226" TargetMode="External"/><Relationship Id="rId3258" Type="http://schemas.openxmlformats.org/officeDocument/2006/relationships/hyperlink" Target="http://www.wikidata.org/entity/Q40348" TargetMode="External"/><Relationship Id="rId3257" Type="http://schemas.openxmlformats.org/officeDocument/2006/relationships/hyperlink" Target="http://www.wikidata.org/entity/Q15956" TargetMode="External"/><Relationship Id="rId3249" Type="http://schemas.openxmlformats.org/officeDocument/2006/relationships/hyperlink" Target="http://www.wikidata.org/entity/Q860918" TargetMode="External"/><Relationship Id="rId3248" Type="http://schemas.openxmlformats.org/officeDocument/2006/relationships/hyperlink" Target="http://www.wikidata.org/entity/Q2360599" TargetMode="External"/><Relationship Id="rId3241" Type="http://schemas.openxmlformats.org/officeDocument/2006/relationships/hyperlink" Target="http://commons.wikimedia.org/wiki/Special:FilePath/Pol%20de%20Mont%201896.jpg" TargetMode="External"/><Relationship Id="rId3240" Type="http://schemas.openxmlformats.org/officeDocument/2006/relationships/hyperlink" Target="http://www.wikidata.org/entity/Q49757" TargetMode="External"/><Relationship Id="rId3243" Type="http://schemas.openxmlformats.org/officeDocument/2006/relationships/hyperlink" Target="http://www.wikidata.org/entity/Q82955" TargetMode="External"/><Relationship Id="rId3242" Type="http://schemas.openxmlformats.org/officeDocument/2006/relationships/hyperlink" Target="http://www.wikidata.org/entity/Q764378" TargetMode="External"/><Relationship Id="rId3245" Type="http://schemas.openxmlformats.org/officeDocument/2006/relationships/hyperlink" Target="http://www.wikidata.org/entity/Q975292" TargetMode="External"/><Relationship Id="rId3244" Type="http://schemas.openxmlformats.org/officeDocument/2006/relationships/hyperlink" Target="http://commons.wikimedia.org/wiki/Special:FilePath/AugustVermeylen2.jpg" TargetMode="External"/><Relationship Id="rId3247" Type="http://schemas.openxmlformats.org/officeDocument/2006/relationships/hyperlink" Target="http://commons.wikimedia.org/wiki/Special:FilePath/Jan%20Van%20Beers.jpg" TargetMode="External"/><Relationship Id="rId3246" Type="http://schemas.openxmlformats.org/officeDocument/2006/relationships/hyperlink" Target="http://www.wikidata.org/entity/Q36180" TargetMode="External"/><Relationship Id="rId1499" Type="http://schemas.openxmlformats.org/officeDocument/2006/relationships/hyperlink" Target="http://www.wikidata.org/entity/Q115844105" TargetMode="External"/><Relationship Id="rId668" Type="http://schemas.openxmlformats.org/officeDocument/2006/relationships/hyperlink" Target="http://www.wikidata.org/entity/Q8178443" TargetMode="External"/><Relationship Id="rId667" Type="http://schemas.openxmlformats.org/officeDocument/2006/relationships/hyperlink" Target="http://www.wikidata.org/entity/Q26845752" TargetMode="External"/><Relationship Id="rId666" Type="http://schemas.openxmlformats.org/officeDocument/2006/relationships/hyperlink" Target="http://www.wikidata.org/entity/Q1753370" TargetMode="External"/><Relationship Id="rId665" Type="http://schemas.openxmlformats.org/officeDocument/2006/relationships/hyperlink" Target="http://www.wikidata.org/entity/Q115831509" TargetMode="External"/><Relationship Id="rId669" Type="http://schemas.openxmlformats.org/officeDocument/2006/relationships/hyperlink" Target="http://www.wikidata.org/entity/Q55233295" TargetMode="External"/><Relationship Id="rId1490" Type="http://schemas.openxmlformats.org/officeDocument/2006/relationships/hyperlink" Target="http://commons.wikimedia.org/wiki/Special:FilePath/Portretfoto%20Anna%20Demets.jpg" TargetMode="External"/><Relationship Id="rId660" Type="http://schemas.openxmlformats.org/officeDocument/2006/relationships/hyperlink" Target="http://www.wikidata.org/entity/Q26845752" TargetMode="External"/><Relationship Id="rId1491" Type="http://schemas.openxmlformats.org/officeDocument/2006/relationships/hyperlink" Target="http://www.wikidata.org/entity/Q120377148" TargetMode="External"/><Relationship Id="rId1492" Type="http://schemas.openxmlformats.org/officeDocument/2006/relationships/hyperlink" Target="http://www.wikidata.org/entity/Q219477" TargetMode="External"/><Relationship Id="rId1493" Type="http://schemas.openxmlformats.org/officeDocument/2006/relationships/hyperlink" Target="http://www.wikidata.org/entity/Q120377148" TargetMode="External"/><Relationship Id="rId1494" Type="http://schemas.openxmlformats.org/officeDocument/2006/relationships/hyperlink" Target="http://www.wikidata.org/entity/Q250867" TargetMode="External"/><Relationship Id="rId664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1495" Type="http://schemas.openxmlformats.org/officeDocument/2006/relationships/hyperlink" Target="http://www.wikidata.org/entity/Q121000890" TargetMode="External"/><Relationship Id="rId663" Type="http://schemas.openxmlformats.org/officeDocument/2006/relationships/hyperlink" Target="http://www.wikidata.org/entity/Q32391314" TargetMode="External"/><Relationship Id="rId1496" Type="http://schemas.openxmlformats.org/officeDocument/2006/relationships/hyperlink" Target="http://www.wikidata.org/entity/Q93521113" TargetMode="External"/><Relationship Id="rId662" Type="http://schemas.openxmlformats.org/officeDocument/2006/relationships/hyperlink" Target="http://www.wikidata.org/entity/Q55233295" TargetMode="External"/><Relationship Id="rId1497" Type="http://schemas.openxmlformats.org/officeDocument/2006/relationships/hyperlink" Target="http://www.wikidata.org/entity/Q117244395" TargetMode="External"/><Relationship Id="rId661" Type="http://schemas.openxmlformats.org/officeDocument/2006/relationships/hyperlink" Target="http://www.wikidata.org/entity/Q333634" TargetMode="External"/><Relationship Id="rId1498" Type="http://schemas.openxmlformats.org/officeDocument/2006/relationships/hyperlink" Target="http://www.wikidata.org/entity/Q120667787" TargetMode="External"/><Relationship Id="rId1488" Type="http://schemas.openxmlformats.org/officeDocument/2006/relationships/hyperlink" Target="http://www.wikidata.org/entity/Q116656531" TargetMode="External"/><Relationship Id="rId1489" Type="http://schemas.openxmlformats.org/officeDocument/2006/relationships/hyperlink" Target="http://www.wikidata.org/entity/Q7501153" TargetMode="External"/><Relationship Id="rId657" Type="http://schemas.openxmlformats.org/officeDocument/2006/relationships/hyperlink" Target="http://www.wikidata.org/entity/Q55233295" TargetMode="External"/><Relationship Id="rId656" Type="http://schemas.openxmlformats.org/officeDocument/2006/relationships/hyperlink" Target="http://www.wikidata.org/entity/Q1104153" TargetMode="External"/><Relationship Id="rId655" Type="http://schemas.openxmlformats.org/officeDocument/2006/relationships/hyperlink" Target="http://www.wikidata.org/entity/Q114945031" TargetMode="External"/><Relationship Id="rId654" Type="http://schemas.openxmlformats.org/officeDocument/2006/relationships/hyperlink" Target="http://www.wikidata.org/entity/Q36180" TargetMode="External"/><Relationship Id="rId659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658" Type="http://schemas.openxmlformats.org/officeDocument/2006/relationships/hyperlink" Target="http://www.wikidata.org/entity/Q11827483" TargetMode="External"/><Relationship Id="rId1480" Type="http://schemas.openxmlformats.org/officeDocument/2006/relationships/hyperlink" Target="http://www.wikidata.org/entity/Q3075052" TargetMode="External"/><Relationship Id="rId1481" Type="http://schemas.openxmlformats.org/officeDocument/2006/relationships/hyperlink" Target="http://commons.wikimedia.org/wiki/Special:FilePath/Portret%20Sophie%20Peeters.jpg" TargetMode="External"/><Relationship Id="rId1482" Type="http://schemas.openxmlformats.org/officeDocument/2006/relationships/hyperlink" Target="http://www.wikidata.org/entity/Q116621171" TargetMode="External"/><Relationship Id="rId1483" Type="http://schemas.openxmlformats.org/officeDocument/2006/relationships/hyperlink" Target="http://www.wikidata.org/entity/Q7313543" TargetMode="External"/><Relationship Id="rId653" Type="http://schemas.openxmlformats.org/officeDocument/2006/relationships/hyperlink" Target="http://www.wikidata.org/entity/Q37793252" TargetMode="External"/><Relationship Id="rId1484" Type="http://schemas.openxmlformats.org/officeDocument/2006/relationships/hyperlink" Target="http://www.wikidata.org/entity/Q115835531" TargetMode="External"/><Relationship Id="rId652" Type="http://schemas.openxmlformats.org/officeDocument/2006/relationships/hyperlink" Target="http://www.wikidata.org/entity/Q435940" TargetMode="External"/><Relationship Id="rId1485" Type="http://schemas.openxmlformats.org/officeDocument/2006/relationships/hyperlink" Target="http://www.wikidata.org/entity/Q435940" TargetMode="External"/><Relationship Id="rId651" Type="http://schemas.openxmlformats.org/officeDocument/2006/relationships/hyperlink" Target="http://www.wikidata.org/entity/Q115816445" TargetMode="External"/><Relationship Id="rId1486" Type="http://schemas.openxmlformats.org/officeDocument/2006/relationships/hyperlink" Target="http://www.wikidata.org/entity/Q120504176" TargetMode="External"/><Relationship Id="rId650" Type="http://schemas.openxmlformats.org/officeDocument/2006/relationships/hyperlink" Target="http://www.wikidata.org/entity/Q446966" TargetMode="External"/><Relationship Id="rId1487" Type="http://schemas.openxmlformats.org/officeDocument/2006/relationships/hyperlink" Target="http://www.wikidata.org/entity/Q115705951" TargetMode="External"/><Relationship Id="rId3216" Type="http://schemas.openxmlformats.org/officeDocument/2006/relationships/hyperlink" Target="http://www.wikidata.org/entity/Q40348" TargetMode="External"/><Relationship Id="rId3215" Type="http://schemas.openxmlformats.org/officeDocument/2006/relationships/hyperlink" Target="http://www.wikidata.org/entity/Q125472922" TargetMode="External"/><Relationship Id="rId3218" Type="http://schemas.openxmlformats.org/officeDocument/2006/relationships/hyperlink" Target="http://www.wikidata.org/entity/Q1776501" TargetMode="External"/><Relationship Id="rId3217" Type="http://schemas.openxmlformats.org/officeDocument/2006/relationships/hyperlink" Target="http://www.wikidata.org/entity/Q115980136" TargetMode="External"/><Relationship Id="rId3219" Type="http://schemas.openxmlformats.org/officeDocument/2006/relationships/hyperlink" Target="http://www.wikidata.org/entity/Q115980136" TargetMode="External"/><Relationship Id="rId689" Type="http://schemas.openxmlformats.org/officeDocument/2006/relationships/hyperlink" Target="http://www.wikidata.org/entity/Q2251335" TargetMode="External"/><Relationship Id="rId688" Type="http://schemas.openxmlformats.org/officeDocument/2006/relationships/hyperlink" Target="http://www.wikidata.org/entity/Q113681935" TargetMode="External"/><Relationship Id="rId687" Type="http://schemas.openxmlformats.org/officeDocument/2006/relationships/hyperlink" Target="http://www.wikidata.org/entity/Q45684" TargetMode="External"/><Relationship Id="rId682" Type="http://schemas.openxmlformats.org/officeDocument/2006/relationships/hyperlink" Target="http://www.wikidata.org/entity/Q51168899" TargetMode="External"/><Relationship Id="rId681" Type="http://schemas.openxmlformats.org/officeDocument/2006/relationships/hyperlink" Target="http://www.wikidata.org/entity/Q250867" TargetMode="External"/><Relationship Id="rId680" Type="http://schemas.openxmlformats.org/officeDocument/2006/relationships/hyperlink" Target="http://www.wikidata.org/entity/Q113681935" TargetMode="External"/><Relationship Id="rId3210" Type="http://schemas.openxmlformats.org/officeDocument/2006/relationships/hyperlink" Target="http://www.wikidata.org/entity/Q117229566" TargetMode="External"/><Relationship Id="rId686" Type="http://schemas.openxmlformats.org/officeDocument/2006/relationships/hyperlink" Target="http://www.wikidata.org/entity/Q115809464" TargetMode="External"/><Relationship Id="rId3212" Type="http://schemas.openxmlformats.org/officeDocument/2006/relationships/hyperlink" Target="http://www.wikidata.org/entity/Q118732552" TargetMode="External"/><Relationship Id="rId685" Type="http://schemas.openxmlformats.org/officeDocument/2006/relationships/hyperlink" Target="http://www.wikidata.org/entity/Q2251335" TargetMode="External"/><Relationship Id="rId3211" Type="http://schemas.openxmlformats.org/officeDocument/2006/relationships/hyperlink" Target="http://www.wikidata.org/entity/Q117246934" TargetMode="External"/><Relationship Id="rId684" Type="http://schemas.openxmlformats.org/officeDocument/2006/relationships/hyperlink" Target="http://www.wikidata.org/entity/Q15627098" TargetMode="External"/><Relationship Id="rId3214" Type="http://schemas.openxmlformats.org/officeDocument/2006/relationships/hyperlink" Target="http://www.wikidata.org/entity/Q1776501" TargetMode="External"/><Relationship Id="rId683" Type="http://schemas.openxmlformats.org/officeDocument/2006/relationships/hyperlink" Target="http://www.wikidata.org/entity/Q40348" TargetMode="External"/><Relationship Id="rId3213" Type="http://schemas.openxmlformats.org/officeDocument/2006/relationships/hyperlink" Target="http://www.wikidata.org/entity/Q122801530" TargetMode="External"/><Relationship Id="rId3205" Type="http://schemas.openxmlformats.org/officeDocument/2006/relationships/hyperlink" Target="http://www.wikidata.org/entity/Q116679969" TargetMode="External"/><Relationship Id="rId3204" Type="http://schemas.openxmlformats.org/officeDocument/2006/relationships/hyperlink" Target="http://www.wikidata.org/entity/Q147618" TargetMode="External"/><Relationship Id="rId3207" Type="http://schemas.openxmlformats.org/officeDocument/2006/relationships/hyperlink" Target="http://www.wikidata.org/entity/Q116510419" TargetMode="External"/><Relationship Id="rId3206" Type="http://schemas.openxmlformats.org/officeDocument/2006/relationships/hyperlink" Target="http://www.wikidata.org/entity/Q82955" TargetMode="External"/><Relationship Id="rId3209" Type="http://schemas.openxmlformats.org/officeDocument/2006/relationships/hyperlink" Target="http://www.wikidata.org/entity/Q116621244" TargetMode="External"/><Relationship Id="rId3208" Type="http://schemas.openxmlformats.org/officeDocument/2006/relationships/hyperlink" Target="http://www.wikidata.org/entity/Q116620833" TargetMode="External"/><Relationship Id="rId679" Type="http://schemas.openxmlformats.org/officeDocument/2006/relationships/hyperlink" Target="http://www.wikidata.org/entity/Q1234713" TargetMode="External"/><Relationship Id="rId678" Type="http://schemas.openxmlformats.org/officeDocument/2006/relationships/hyperlink" Target="http://www.wikidata.org/entity/Q15627098" TargetMode="External"/><Relationship Id="rId677" Type="http://schemas.openxmlformats.org/officeDocument/2006/relationships/hyperlink" Target="http://www.wikidata.org/entity/Q250867" TargetMode="External"/><Relationship Id="rId676" Type="http://schemas.openxmlformats.org/officeDocument/2006/relationships/hyperlink" Target="http://www.wikidata.org/entity/Q15627098" TargetMode="External"/><Relationship Id="rId671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670" Type="http://schemas.openxmlformats.org/officeDocument/2006/relationships/hyperlink" Target="http://www.wikidata.org/entity/Q1622272" TargetMode="External"/><Relationship Id="rId675" Type="http://schemas.openxmlformats.org/officeDocument/2006/relationships/hyperlink" Target="http://www.wikidata.org/entity/Q214917" TargetMode="External"/><Relationship Id="rId3201" Type="http://schemas.openxmlformats.org/officeDocument/2006/relationships/hyperlink" Target="http://www.wikidata.org/entity/Q125394996" TargetMode="External"/><Relationship Id="rId674" Type="http://schemas.openxmlformats.org/officeDocument/2006/relationships/hyperlink" Target="http://www.wikidata.org/entity/Q15627098" TargetMode="External"/><Relationship Id="rId3200" Type="http://schemas.openxmlformats.org/officeDocument/2006/relationships/hyperlink" Target="http://www.wikidata.org/entity/Q191808" TargetMode="External"/><Relationship Id="rId673" Type="http://schemas.openxmlformats.org/officeDocument/2006/relationships/hyperlink" Target="http://www.wikidata.org/entity/Q1753370" TargetMode="External"/><Relationship Id="rId3203" Type="http://schemas.openxmlformats.org/officeDocument/2006/relationships/hyperlink" Target="http://www.wikidata.org/entity/Q123413906" TargetMode="External"/><Relationship Id="rId672" Type="http://schemas.openxmlformats.org/officeDocument/2006/relationships/hyperlink" Target="http://www.wikidata.org/entity/Q114945031" TargetMode="External"/><Relationship Id="rId3202" Type="http://schemas.openxmlformats.org/officeDocument/2006/relationships/hyperlink" Target="http://www.wikidata.org/entity/Q1776501" TargetMode="External"/><Relationship Id="rId190" Type="http://schemas.openxmlformats.org/officeDocument/2006/relationships/hyperlink" Target="http://commons.wikimedia.org/wiki/Special:FilePath/Portret%20van%20Albert%20Verwey%20Rijksmuseum%20SK-C-1680.jpeg" TargetMode="External"/><Relationship Id="rId194" Type="http://schemas.openxmlformats.org/officeDocument/2006/relationships/hyperlink" Target="http://www.wikidata.org/entity/Q1334711" TargetMode="External"/><Relationship Id="rId193" Type="http://schemas.openxmlformats.org/officeDocument/2006/relationships/hyperlink" Target="http://commons.wikimedia.org/wiki/Special:FilePath/Brugge%20-%20Bisschop%20Faict%20%281864-1894%29%20-%20Brugge%20-%20Belgi%C3%AB.jpg" TargetMode="External"/><Relationship Id="rId192" Type="http://schemas.openxmlformats.org/officeDocument/2006/relationships/hyperlink" Target="http://www.wikidata.org/entity/Q1104153" TargetMode="External"/><Relationship Id="rId191" Type="http://schemas.openxmlformats.org/officeDocument/2006/relationships/hyperlink" Target="http://www.wikidata.org/entity/Q3166510" TargetMode="External"/><Relationship Id="rId187" Type="http://schemas.openxmlformats.org/officeDocument/2006/relationships/hyperlink" Target="http://commons.wikimedia.org/wiki/Special:FilePath/Portret%20van%20Albert%20Verwey%20Rijksmuseum%20SK-C-1680.jpeg" TargetMode="External"/><Relationship Id="rId186" Type="http://schemas.openxmlformats.org/officeDocument/2006/relationships/hyperlink" Target="http://www.wikidata.org/entity/Q36180" TargetMode="External"/><Relationship Id="rId185" Type="http://schemas.openxmlformats.org/officeDocument/2006/relationships/hyperlink" Target="http://www.wikidata.org/entity/Q586323" TargetMode="External"/><Relationship Id="rId184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89" Type="http://schemas.openxmlformats.org/officeDocument/2006/relationships/hyperlink" Target="http://www.wikidata.org/entity/Q49757" TargetMode="External"/><Relationship Id="rId188" Type="http://schemas.openxmlformats.org/officeDocument/2006/relationships/hyperlink" Target="http://www.wikidata.org/entity/Q586323" TargetMode="External"/><Relationship Id="rId183" Type="http://schemas.openxmlformats.org/officeDocument/2006/relationships/hyperlink" Target="http://www.wikidata.org/entity/Q1234713" TargetMode="External"/><Relationship Id="rId182" Type="http://schemas.openxmlformats.org/officeDocument/2006/relationships/hyperlink" Target="http://www.wikidata.org/entity/Q2191260" TargetMode="External"/><Relationship Id="rId181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80" Type="http://schemas.openxmlformats.org/officeDocument/2006/relationships/hyperlink" Target="http://www.wikidata.org/entity/Q1622272" TargetMode="External"/><Relationship Id="rId176" Type="http://schemas.openxmlformats.org/officeDocument/2006/relationships/hyperlink" Target="http://www.wikidata.org/entity/Q49757" TargetMode="External"/><Relationship Id="rId175" Type="http://schemas.openxmlformats.org/officeDocument/2006/relationships/hyperlink" Target="http://www.wikidata.org/entity/Q2298746" TargetMode="External"/><Relationship Id="rId174" Type="http://schemas.openxmlformats.org/officeDocument/2006/relationships/hyperlink" Target="http://www.wikidata.org/entity/Q36180" TargetMode="External"/><Relationship Id="rId173" Type="http://schemas.openxmlformats.org/officeDocument/2006/relationships/hyperlink" Target="http://www.wikidata.org/entity/Q2298746" TargetMode="External"/><Relationship Id="rId179" Type="http://schemas.openxmlformats.org/officeDocument/2006/relationships/hyperlink" Target="http://www.wikidata.org/entity/Q2191260" TargetMode="External"/><Relationship Id="rId178" Type="http://schemas.openxmlformats.org/officeDocument/2006/relationships/hyperlink" Target="http://www.wikidata.org/entity/Q42603" TargetMode="External"/><Relationship Id="rId177" Type="http://schemas.openxmlformats.org/officeDocument/2006/relationships/hyperlink" Target="http://www.wikidata.org/entity/Q2298746" TargetMode="External"/><Relationship Id="rId198" Type="http://schemas.openxmlformats.org/officeDocument/2006/relationships/hyperlink" Target="http://www.wikidata.org/entity/Q333634" TargetMode="External"/><Relationship Id="rId197" Type="http://schemas.openxmlformats.org/officeDocument/2006/relationships/hyperlink" Target="http://www.wikidata.org/entity/Q175669" TargetMode="External"/><Relationship Id="rId196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95" Type="http://schemas.openxmlformats.org/officeDocument/2006/relationships/hyperlink" Target="http://www.wikidata.org/entity/Q247797" TargetMode="External"/><Relationship Id="rId199" Type="http://schemas.openxmlformats.org/officeDocument/2006/relationships/hyperlink" Target="http://commons.wikimedia.org/wiki/Special:FilePath/Stijn%20Streuvels%20by%20Modest%20Huys.jpg" TargetMode="External"/><Relationship Id="rId150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49" Type="http://schemas.openxmlformats.org/officeDocument/2006/relationships/hyperlink" Target="http://www.wikidata.org/entity/Q36180" TargetMode="External"/><Relationship Id="rId148" Type="http://schemas.openxmlformats.org/officeDocument/2006/relationships/hyperlink" Target="http://www.wikidata.org/entity/Q2191260" TargetMode="External"/><Relationship Id="rId3270" Type="http://schemas.openxmlformats.org/officeDocument/2006/relationships/hyperlink" Target="http://www.wikidata.org/entity/Q1056391" TargetMode="External"/><Relationship Id="rId3272" Type="http://schemas.openxmlformats.org/officeDocument/2006/relationships/hyperlink" Target="http://www.wikidata.org/entity/Q250867" TargetMode="External"/><Relationship Id="rId3271" Type="http://schemas.openxmlformats.org/officeDocument/2006/relationships/hyperlink" Target="http://www.wikidata.org/entity/Q3450211" TargetMode="External"/><Relationship Id="rId143" Type="http://schemas.openxmlformats.org/officeDocument/2006/relationships/hyperlink" Target="http://www.wikidata.org/entity/Q6625963" TargetMode="External"/><Relationship Id="rId3274" Type="http://schemas.openxmlformats.org/officeDocument/2006/relationships/hyperlink" Target="http://www.wikidata.org/entity/Q42603" TargetMode="External"/><Relationship Id="rId142" Type="http://schemas.openxmlformats.org/officeDocument/2006/relationships/hyperlink" Target="http://www.wikidata.org/entity/Q672816" TargetMode="External"/><Relationship Id="rId3273" Type="http://schemas.openxmlformats.org/officeDocument/2006/relationships/hyperlink" Target="http://www.wikidata.org/entity/Q2099446" TargetMode="External"/><Relationship Id="rId141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3276" Type="http://schemas.openxmlformats.org/officeDocument/2006/relationships/hyperlink" Target="http://www.wikidata.org/entity/Q3450211" TargetMode="External"/><Relationship Id="rId140" Type="http://schemas.openxmlformats.org/officeDocument/2006/relationships/hyperlink" Target="http://www.wikidata.org/entity/Q82955" TargetMode="External"/><Relationship Id="rId3275" Type="http://schemas.openxmlformats.org/officeDocument/2006/relationships/hyperlink" Target="http://commons.wikimedia.org/wiki/Special:FilePath/Amaat%20Joos.jpg" TargetMode="External"/><Relationship Id="rId147" Type="http://schemas.openxmlformats.org/officeDocument/2006/relationships/hyperlink" Target="http://commons.wikimedia.org/wiki/Special:FilePath/Brugge%20-%20Bisschop%20Faict%20%281864-1894%29%20-%20Brugge%20-%20Belgi%C3%AB.jpg" TargetMode="External"/><Relationship Id="rId3278" Type="http://schemas.openxmlformats.org/officeDocument/2006/relationships/hyperlink" Target="http://www.wikidata.org/entity/Q3450211" TargetMode="External"/><Relationship Id="rId146" Type="http://schemas.openxmlformats.org/officeDocument/2006/relationships/hyperlink" Target="http://www.wikidata.org/entity/Q25393460" TargetMode="External"/><Relationship Id="rId3277" Type="http://schemas.openxmlformats.org/officeDocument/2006/relationships/hyperlink" Target="http://www.wikidata.org/entity/Q1622272" TargetMode="External"/><Relationship Id="rId145" Type="http://schemas.openxmlformats.org/officeDocument/2006/relationships/hyperlink" Target="http://www.wikidata.org/entity/Q3166510" TargetMode="External"/><Relationship Id="rId144" Type="http://schemas.openxmlformats.org/officeDocument/2006/relationships/hyperlink" Target="http://commons.wikimedia.org/wiki/Special:FilePath/Wiseman.jpg" TargetMode="External"/><Relationship Id="rId3279" Type="http://schemas.openxmlformats.org/officeDocument/2006/relationships/hyperlink" Target="http://www.wikidata.org/entity/Q80687" TargetMode="External"/><Relationship Id="rId139" Type="http://schemas.openxmlformats.org/officeDocument/2006/relationships/hyperlink" Target="http://www.wikidata.org/entity/Q2457997" TargetMode="External"/><Relationship Id="rId138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37" Type="http://schemas.openxmlformats.org/officeDocument/2006/relationships/hyperlink" Target="http://www.wikidata.org/entity/Q250867" TargetMode="External"/><Relationship Id="rId3261" Type="http://schemas.openxmlformats.org/officeDocument/2006/relationships/hyperlink" Target="http://www.wikidata.org/entity/Q3621491" TargetMode="External"/><Relationship Id="rId3260" Type="http://schemas.openxmlformats.org/officeDocument/2006/relationships/hyperlink" Target="http://www.wikidata.org/entity/Q2524668" TargetMode="External"/><Relationship Id="rId132" Type="http://schemas.openxmlformats.org/officeDocument/2006/relationships/hyperlink" Target="http://commons.wikimedia.org/wiki/Special:FilePath/EdwardVanEven.jpg" TargetMode="External"/><Relationship Id="rId3263" Type="http://schemas.openxmlformats.org/officeDocument/2006/relationships/hyperlink" Target="http://www.wikidata.org/entity/Q3450211" TargetMode="External"/><Relationship Id="rId131" Type="http://schemas.openxmlformats.org/officeDocument/2006/relationships/hyperlink" Target="http://www.wikidata.org/entity/Q182436" TargetMode="External"/><Relationship Id="rId3262" Type="http://schemas.openxmlformats.org/officeDocument/2006/relationships/hyperlink" Target="http://commons.wikimedia.org/wiki/Special:FilePath/Adolf%20Duclos001.jpg" TargetMode="External"/><Relationship Id="rId130" Type="http://schemas.openxmlformats.org/officeDocument/2006/relationships/hyperlink" Target="http://www.wikidata.org/entity/Q13575404" TargetMode="External"/><Relationship Id="rId3265" Type="http://schemas.openxmlformats.org/officeDocument/2006/relationships/hyperlink" Target="http://www.wikidata.org/entity/Q3450211" TargetMode="External"/><Relationship Id="rId3264" Type="http://schemas.openxmlformats.org/officeDocument/2006/relationships/hyperlink" Target="http://www.wikidata.org/entity/Q1072363" TargetMode="External"/><Relationship Id="rId136" Type="http://schemas.openxmlformats.org/officeDocument/2006/relationships/hyperlink" Target="http://www.wikidata.org/entity/Q2191260" TargetMode="External"/><Relationship Id="rId3267" Type="http://schemas.openxmlformats.org/officeDocument/2006/relationships/hyperlink" Target="http://www.wikidata.org/entity/Q3450211" TargetMode="External"/><Relationship Id="rId135" Type="http://schemas.openxmlformats.org/officeDocument/2006/relationships/hyperlink" Target="http://commons.wikimedia.org/wiki/Special:FilePath/EdwardVanEven.jpg" TargetMode="External"/><Relationship Id="rId3266" Type="http://schemas.openxmlformats.org/officeDocument/2006/relationships/hyperlink" Target="http://www.wikidata.org/entity/Q1162163" TargetMode="External"/><Relationship Id="rId134" Type="http://schemas.openxmlformats.org/officeDocument/2006/relationships/hyperlink" Target="http://www.wikidata.org/entity/Q201788" TargetMode="External"/><Relationship Id="rId3269" Type="http://schemas.openxmlformats.org/officeDocument/2006/relationships/hyperlink" Target="http://www.wikidata.org/entity/Q3450211" TargetMode="External"/><Relationship Id="rId133" Type="http://schemas.openxmlformats.org/officeDocument/2006/relationships/hyperlink" Target="http://www.wikidata.org/entity/Q13575404" TargetMode="External"/><Relationship Id="rId3268" Type="http://schemas.openxmlformats.org/officeDocument/2006/relationships/hyperlink" Target="http://www.wikidata.org/entity/Q201788" TargetMode="External"/><Relationship Id="rId172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71" Type="http://schemas.openxmlformats.org/officeDocument/2006/relationships/hyperlink" Target="http://www.wikidata.org/entity/Q212238" TargetMode="External"/><Relationship Id="rId170" Type="http://schemas.openxmlformats.org/officeDocument/2006/relationships/hyperlink" Target="http://www.wikidata.org/entity/Q1334711" TargetMode="External"/><Relationship Id="rId3290" Type="http://schemas.openxmlformats.org/officeDocument/2006/relationships/hyperlink" Target="http://www.wikidata.org/entity/Q158852" TargetMode="External"/><Relationship Id="rId3292" Type="http://schemas.openxmlformats.org/officeDocument/2006/relationships/hyperlink" Target="http://www.wikidata.org/entity/Q1076502" TargetMode="External"/><Relationship Id="rId3291" Type="http://schemas.openxmlformats.org/officeDocument/2006/relationships/hyperlink" Target="http://www.wikidata.org/entity/Q3531475" TargetMode="External"/><Relationship Id="rId3294" Type="http://schemas.openxmlformats.org/officeDocument/2006/relationships/hyperlink" Target="http://www.wikidata.org/entity/Q486748" TargetMode="External"/><Relationship Id="rId3293" Type="http://schemas.openxmlformats.org/officeDocument/2006/relationships/hyperlink" Target="http://www.wikidata.org/entity/Q3531475" TargetMode="External"/><Relationship Id="rId165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3296" Type="http://schemas.openxmlformats.org/officeDocument/2006/relationships/hyperlink" Target="http://www.wikidata.org/entity/Q5322166" TargetMode="External"/><Relationship Id="rId164" Type="http://schemas.openxmlformats.org/officeDocument/2006/relationships/hyperlink" Target="http://www.wikidata.org/entity/Q333634" TargetMode="External"/><Relationship Id="rId3295" Type="http://schemas.openxmlformats.org/officeDocument/2006/relationships/hyperlink" Target="http://www.wikidata.org/entity/Q2677198" TargetMode="External"/><Relationship Id="rId163" Type="http://schemas.openxmlformats.org/officeDocument/2006/relationships/hyperlink" Target="http://www.wikidata.org/entity/Q2457997" TargetMode="External"/><Relationship Id="rId3298" Type="http://schemas.openxmlformats.org/officeDocument/2006/relationships/hyperlink" Target="http://www.wikidata.org/entity/Q3531475" TargetMode="External"/><Relationship Id="rId162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3297" Type="http://schemas.openxmlformats.org/officeDocument/2006/relationships/hyperlink" Target="http://commons.wikimedia.org/wiki/Special:FilePath/Jules%20Lagae%20%281862-1931%29.jpg" TargetMode="External"/><Relationship Id="rId169" Type="http://schemas.openxmlformats.org/officeDocument/2006/relationships/hyperlink" Target="http://www.wikidata.org/entity/Q49757" TargetMode="External"/><Relationship Id="rId168" Type="http://schemas.openxmlformats.org/officeDocument/2006/relationships/hyperlink" Target="http://www.wikidata.org/entity/Q4902927" TargetMode="External"/><Relationship Id="rId3299" Type="http://schemas.openxmlformats.org/officeDocument/2006/relationships/hyperlink" Target="http://www.wikidata.org/entity/Q765778" TargetMode="External"/><Relationship Id="rId167" Type="http://schemas.openxmlformats.org/officeDocument/2006/relationships/hyperlink" Target="http://www.wikidata.org/entity/Q40348" TargetMode="External"/><Relationship Id="rId166" Type="http://schemas.openxmlformats.org/officeDocument/2006/relationships/hyperlink" Target="http://www.wikidata.org/entity/Q4902927" TargetMode="External"/><Relationship Id="rId161" Type="http://schemas.openxmlformats.org/officeDocument/2006/relationships/hyperlink" Target="http://www.wikidata.org/entity/Q2251335" TargetMode="External"/><Relationship Id="rId160" Type="http://schemas.openxmlformats.org/officeDocument/2006/relationships/hyperlink" Target="http://www.wikidata.org/entity/Q2457997" TargetMode="External"/><Relationship Id="rId159" Type="http://schemas.openxmlformats.org/officeDocument/2006/relationships/hyperlink" Target="http://commons.wikimedia.org/wiki/Special:FilePath/Charles%20Carton.jpg" TargetMode="External"/><Relationship Id="rId3281" Type="http://schemas.openxmlformats.org/officeDocument/2006/relationships/hyperlink" Target="http://www.wikidata.org/entity/Q4263842" TargetMode="External"/><Relationship Id="rId3280" Type="http://schemas.openxmlformats.org/officeDocument/2006/relationships/hyperlink" Target="http://www.wikidata.org/entity/Q764378" TargetMode="External"/><Relationship Id="rId3283" Type="http://schemas.openxmlformats.org/officeDocument/2006/relationships/hyperlink" Target="http://www.wikidata.org/entity/Q975292" TargetMode="External"/><Relationship Id="rId3282" Type="http://schemas.openxmlformats.org/officeDocument/2006/relationships/hyperlink" Target="http://commons.wikimedia.org/wiki/Special:FilePath/AugustVermeylen2.jpg" TargetMode="External"/><Relationship Id="rId154" Type="http://schemas.openxmlformats.org/officeDocument/2006/relationships/hyperlink" Target="http://www.wikidata.org/entity/Q1796639" TargetMode="External"/><Relationship Id="rId3285" Type="http://schemas.openxmlformats.org/officeDocument/2006/relationships/hyperlink" Target="http://commons.wikimedia.org/wiki/Special:FilePath/Jan%20Van%20Beers.jpg" TargetMode="External"/><Relationship Id="rId153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3284" Type="http://schemas.openxmlformats.org/officeDocument/2006/relationships/hyperlink" Target="http://www.wikidata.org/entity/Q6673651" TargetMode="External"/><Relationship Id="rId152" Type="http://schemas.openxmlformats.org/officeDocument/2006/relationships/hyperlink" Target="http://www.wikidata.org/entity/Q182436" TargetMode="External"/><Relationship Id="rId3287" Type="http://schemas.openxmlformats.org/officeDocument/2006/relationships/hyperlink" Target="http://www.wikidata.org/entity/Q738142" TargetMode="External"/><Relationship Id="rId151" Type="http://schemas.openxmlformats.org/officeDocument/2006/relationships/hyperlink" Target="http://www.wikidata.org/entity/Q2457997" TargetMode="External"/><Relationship Id="rId3286" Type="http://schemas.openxmlformats.org/officeDocument/2006/relationships/hyperlink" Target="http://www.wikidata.org/entity/Q5006521" TargetMode="External"/><Relationship Id="rId158" Type="http://schemas.openxmlformats.org/officeDocument/2006/relationships/hyperlink" Target="http://www.wikidata.org/entity/Q114371470" TargetMode="External"/><Relationship Id="rId3289" Type="http://schemas.openxmlformats.org/officeDocument/2006/relationships/hyperlink" Target="http://www.wikidata.org/entity/Q3531475" TargetMode="External"/><Relationship Id="rId157" Type="http://schemas.openxmlformats.org/officeDocument/2006/relationships/hyperlink" Target="http://www.wikidata.org/entity/Q1877721" TargetMode="External"/><Relationship Id="rId3288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156" Type="http://schemas.openxmlformats.org/officeDocument/2006/relationships/hyperlink" Target="http://commons.wikimedia.org/wiki/Special:FilePath/Raf%20Verhulst.jpg" TargetMode="External"/><Relationship Id="rId155" Type="http://schemas.openxmlformats.org/officeDocument/2006/relationships/hyperlink" Target="http://www.wikidata.org/entity/Q36180" TargetMode="External"/><Relationship Id="rId2820" Type="http://schemas.openxmlformats.org/officeDocument/2006/relationships/hyperlink" Target="http://www.wikidata.org/entity/Q2251335" TargetMode="External"/><Relationship Id="rId2821" Type="http://schemas.openxmlformats.org/officeDocument/2006/relationships/hyperlink" Target="http://www.wikidata.org/entity/Q115808465" TargetMode="External"/><Relationship Id="rId2822" Type="http://schemas.openxmlformats.org/officeDocument/2006/relationships/hyperlink" Target="http://www.wikidata.org/entity/Q23835475" TargetMode="External"/><Relationship Id="rId2823" Type="http://schemas.openxmlformats.org/officeDocument/2006/relationships/hyperlink" Target="http://www.wikidata.org/entity/Q115817263" TargetMode="External"/><Relationship Id="rId2824" Type="http://schemas.openxmlformats.org/officeDocument/2006/relationships/hyperlink" Target="http://www.wikidata.org/entity/Q435940" TargetMode="External"/><Relationship Id="rId2825" Type="http://schemas.openxmlformats.org/officeDocument/2006/relationships/hyperlink" Target="http://www.wikidata.org/entity/Q115820636" TargetMode="External"/><Relationship Id="rId2826" Type="http://schemas.openxmlformats.org/officeDocument/2006/relationships/hyperlink" Target="http://www.wikidata.org/entity/Q435940" TargetMode="External"/><Relationship Id="rId2827" Type="http://schemas.openxmlformats.org/officeDocument/2006/relationships/hyperlink" Target="http://www.wikidata.org/entity/Q115839353" TargetMode="External"/><Relationship Id="rId2828" Type="http://schemas.openxmlformats.org/officeDocument/2006/relationships/hyperlink" Target="http://www.wikidata.org/entity/Q864380" TargetMode="External"/><Relationship Id="rId2829" Type="http://schemas.openxmlformats.org/officeDocument/2006/relationships/hyperlink" Target="http://www.wikidata.org/entity/Q115832532" TargetMode="External"/><Relationship Id="rId2810" Type="http://schemas.openxmlformats.org/officeDocument/2006/relationships/hyperlink" Target="http://www.wikidata.org/entity/Q2251335" TargetMode="External"/><Relationship Id="rId2811" Type="http://schemas.openxmlformats.org/officeDocument/2006/relationships/hyperlink" Target="http://www.wikidata.org/entity/Q115837633" TargetMode="External"/><Relationship Id="rId2812" Type="http://schemas.openxmlformats.org/officeDocument/2006/relationships/hyperlink" Target="http://www.wikidata.org/entity/Q2251335" TargetMode="External"/><Relationship Id="rId2813" Type="http://schemas.openxmlformats.org/officeDocument/2006/relationships/hyperlink" Target="http://www.wikidata.org/entity/Q115839380" TargetMode="External"/><Relationship Id="rId2814" Type="http://schemas.openxmlformats.org/officeDocument/2006/relationships/hyperlink" Target="http://www.wikidata.org/entity/Q2251335" TargetMode="External"/><Relationship Id="rId2815" Type="http://schemas.openxmlformats.org/officeDocument/2006/relationships/hyperlink" Target="http://www.wikidata.org/entity/Q115839353" TargetMode="External"/><Relationship Id="rId2816" Type="http://schemas.openxmlformats.org/officeDocument/2006/relationships/hyperlink" Target="http://www.wikidata.org/entity/Q2251335" TargetMode="External"/><Relationship Id="rId2817" Type="http://schemas.openxmlformats.org/officeDocument/2006/relationships/hyperlink" Target="http://www.wikidata.org/entity/Q115815004" TargetMode="External"/><Relationship Id="rId2818" Type="http://schemas.openxmlformats.org/officeDocument/2006/relationships/hyperlink" Target="http://www.wikidata.org/entity/Q435940" TargetMode="External"/><Relationship Id="rId2819" Type="http://schemas.openxmlformats.org/officeDocument/2006/relationships/hyperlink" Target="http://www.wikidata.org/entity/Q115841074" TargetMode="External"/><Relationship Id="rId1510" Type="http://schemas.openxmlformats.org/officeDocument/2006/relationships/hyperlink" Target="http://www.wikidata.org/entity/Q114371470" TargetMode="External"/><Relationship Id="rId2841" Type="http://schemas.openxmlformats.org/officeDocument/2006/relationships/hyperlink" Target="http://www.wikidata.org/entity/Q115840920" TargetMode="External"/><Relationship Id="rId1511" Type="http://schemas.openxmlformats.org/officeDocument/2006/relationships/hyperlink" Target="http://www.wikidata.org/entity/Q115979029" TargetMode="External"/><Relationship Id="rId2842" Type="http://schemas.openxmlformats.org/officeDocument/2006/relationships/hyperlink" Target="http://www.wikidata.org/entity/Q1753370" TargetMode="External"/><Relationship Id="rId1512" Type="http://schemas.openxmlformats.org/officeDocument/2006/relationships/hyperlink" Target="http://www.wikidata.org/entity/Q115705951" TargetMode="External"/><Relationship Id="rId2843" Type="http://schemas.openxmlformats.org/officeDocument/2006/relationships/hyperlink" Target="http://www.wikidata.org/entity/Q115841074" TargetMode="External"/><Relationship Id="rId1513" Type="http://schemas.openxmlformats.org/officeDocument/2006/relationships/hyperlink" Target="http://www.wikidata.org/entity/Q115979140" TargetMode="External"/><Relationship Id="rId2844" Type="http://schemas.openxmlformats.org/officeDocument/2006/relationships/hyperlink" Target="http://www.wikidata.org/entity/Q1753370" TargetMode="External"/><Relationship Id="rId1514" Type="http://schemas.openxmlformats.org/officeDocument/2006/relationships/hyperlink" Target="http://www.wikidata.org/entity/Q115705951" TargetMode="External"/><Relationship Id="rId2845" Type="http://schemas.openxmlformats.org/officeDocument/2006/relationships/hyperlink" Target="http://www.wikidata.org/entity/Q115839353" TargetMode="External"/><Relationship Id="rId1515" Type="http://schemas.openxmlformats.org/officeDocument/2006/relationships/hyperlink" Target="http://www.wikidata.org/entity/Q116508558" TargetMode="External"/><Relationship Id="rId2846" Type="http://schemas.openxmlformats.org/officeDocument/2006/relationships/hyperlink" Target="http://www.wikidata.org/entity/Q1958649" TargetMode="External"/><Relationship Id="rId1516" Type="http://schemas.openxmlformats.org/officeDocument/2006/relationships/hyperlink" Target="http://www.wikidata.org/entity/Q2462658" TargetMode="External"/><Relationship Id="rId2847" Type="http://schemas.openxmlformats.org/officeDocument/2006/relationships/hyperlink" Target="http://www.wikidata.org/entity/Q115839380" TargetMode="External"/><Relationship Id="rId1517" Type="http://schemas.openxmlformats.org/officeDocument/2006/relationships/hyperlink" Target="http://www.wikidata.org/entity/Q115836535" TargetMode="External"/><Relationship Id="rId2848" Type="http://schemas.openxmlformats.org/officeDocument/2006/relationships/hyperlink" Target="http://www.wikidata.org/entity/Q756215" TargetMode="External"/><Relationship Id="rId1518" Type="http://schemas.openxmlformats.org/officeDocument/2006/relationships/hyperlink" Target="http://www.wikidata.org/entity/Q36180" TargetMode="External"/><Relationship Id="rId2849" Type="http://schemas.openxmlformats.org/officeDocument/2006/relationships/hyperlink" Target="http://www.wikidata.org/entity/Q115832532" TargetMode="External"/><Relationship Id="rId1519" Type="http://schemas.openxmlformats.org/officeDocument/2006/relationships/hyperlink" Target="http://www.wikidata.org/entity/Q119217815" TargetMode="External"/><Relationship Id="rId2840" Type="http://schemas.openxmlformats.org/officeDocument/2006/relationships/hyperlink" Target="http://www.wikidata.org/entity/Q1753370" TargetMode="External"/><Relationship Id="rId2830" Type="http://schemas.openxmlformats.org/officeDocument/2006/relationships/hyperlink" Target="http://www.wikidata.org/entity/Q1469535" TargetMode="External"/><Relationship Id="rId1500" Type="http://schemas.openxmlformats.org/officeDocument/2006/relationships/hyperlink" Target="http://www.wikidata.org/entity/Q756215" TargetMode="External"/><Relationship Id="rId2831" Type="http://schemas.openxmlformats.org/officeDocument/2006/relationships/hyperlink" Target="http://www.wikidata.org/entity/Q113675636" TargetMode="External"/><Relationship Id="rId1501" Type="http://schemas.openxmlformats.org/officeDocument/2006/relationships/hyperlink" Target="http://www.wikidata.org/entity/Q121053317" TargetMode="External"/><Relationship Id="rId2832" Type="http://schemas.openxmlformats.org/officeDocument/2006/relationships/hyperlink" Target="http://www.wikidata.org/entity/Q114371470" TargetMode="External"/><Relationship Id="rId1502" Type="http://schemas.openxmlformats.org/officeDocument/2006/relationships/hyperlink" Target="http://www.wikidata.org/entity/Q618532" TargetMode="External"/><Relationship Id="rId2833" Type="http://schemas.openxmlformats.org/officeDocument/2006/relationships/hyperlink" Target="http://www.wikidata.org/entity/Q115835763" TargetMode="External"/><Relationship Id="rId1503" Type="http://schemas.openxmlformats.org/officeDocument/2006/relationships/hyperlink" Target="http://www.wikidata.org/entity/Q118189985" TargetMode="External"/><Relationship Id="rId2834" Type="http://schemas.openxmlformats.org/officeDocument/2006/relationships/hyperlink" Target="http://www.wikidata.org/entity/Q1753370" TargetMode="External"/><Relationship Id="rId1504" Type="http://schemas.openxmlformats.org/officeDocument/2006/relationships/hyperlink" Target="http://www.wikidata.org/entity/Q7313543" TargetMode="External"/><Relationship Id="rId2835" Type="http://schemas.openxmlformats.org/officeDocument/2006/relationships/hyperlink" Target="http://www.wikidata.org/entity/Q115836962" TargetMode="External"/><Relationship Id="rId1505" Type="http://schemas.openxmlformats.org/officeDocument/2006/relationships/hyperlink" Target="http://www.wikidata.org/entity/Q120504176" TargetMode="External"/><Relationship Id="rId2836" Type="http://schemas.openxmlformats.org/officeDocument/2006/relationships/hyperlink" Target="http://www.wikidata.org/entity/Q1753370" TargetMode="External"/><Relationship Id="rId1506" Type="http://schemas.openxmlformats.org/officeDocument/2006/relationships/hyperlink" Target="http://www.wikidata.org/entity/Q250867" TargetMode="External"/><Relationship Id="rId2837" Type="http://schemas.openxmlformats.org/officeDocument/2006/relationships/hyperlink" Target="http://www.wikidata.org/entity/Q115839380" TargetMode="External"/><Relationship Id="rId1507" Type="http://schemas.openxmlformats.org/officeDocument/2006/relationships/hyperlink" Target="http://www.wikidata.org/entity/Q120504176" TargetMode="External"/><Relationship Id="rId2838" Type="http://schemas.openxmlformats.org/officeDocument/2006/relationships/hyperlink" Target="http://www.wikidata.org/entity/Q1753370" TargetMode="External"/><Relationship Id="rId1508" Type="http://schemas.openxmlformats.org/officeDocument/2006/relationships/hyperlink" Target="http://www.wikidata.org/entity/Q1622272" TargetMode="External"/><Relationship Id="rId2839" Type="http://schemas.openxmlformats.org/officeDocument/2006/relationships/hyperlink" Target="http://www.wikidata.org/entity/Q115840228" TargetMode="External"/><Relationship Id="rId1509" Type="http://schemas.openxmlformats.org/officeDocument/2006/relationships/hyperlink" Target="http://www.wikidata.org/entity/Q115979029" TargetMode="External"/><Relationship Id="rId2800" Type="http://schemas.openxmlformats.org/officeDocument/2006/relationships/hyperlink" Target="http://www.wikidata.org/entity/Q955464" TargetMode="External"/><Relationship Id="rId2801" Type="http://schemas.openxmlformats.org/officeDocument/2006/relationships/hyperlink" Target="http://www.wikidata.org/entity/Q115840228" TargetMode="External"/><Relationship Id="rId2802" Type="http://schemas.openxmlformats.org/officeDocument/2006/relationships/hyperlink" Target="http://www.wikidata.org/entity/Q250867" TargetMode="External"/><Relationship Id="rId2803" Type="http://schemas.openxmlformats.org/officeDocument/2006/relationships/hyperlink" Target="http://www.wikidata.org/entity/Q115840920" TargetMode="External"/><Relationship Id="rId2804" Type="http://schemas.openxmlformats.org/officeDocument/2006/relationships/hyperlink" Target="http://www.wikidata.org/entity/Q219477" TargetMode="External"/><Relationship Id="rId2805" Type="http://schemas.openxmlformats.org/officeDocument/2006/relationships/hyperlink" Target="http://www.wikidata.org/entity/Q115836962" TargetMode="External"/><Relationship Id="rId2806" Type="http://schemas.openxmlformats.org/officeDocument/2006/relationships/hyperlink" Target="http://www.wikidata.org/entity/Q2251335" TargetMode="External"/><Relationship Id="rId2807" Type="http://schemas.openxmlformats.org/officeDocument/2006/relationships/hyperlink" Target="http://www.wikidata.org/entity/Q115841074" TargetMode="External"/><Relationship Id="rId2808" Type="http://schemas.openxmlformats.org/officeDocument/2006/relationships/hyperlink" Target="http://www.wikidata.org/entity/Q250867" TargetMode="External"/><Relationship Id="rId2809" Type="http://schemas.openxmlformats.org/officeDocument/2006/relationships/hyperlink" Target="http://www.wikidata.org/entity/Q115837593" TargetMode="External"/><Relationship Id="rId1576" Type="http://schemas.openxmlformats.org/officeDocument/2006/relationships/hyperlink" Target="http://www.wikidata.org/entity/Q1776501" TargetMode="External"/><Relationship Id="rId1577" Type="http://schemas.openxmlformats.org/officeDocument/2006/relationships/hyperlink" Target="http://www.wikidata.org/entity/Q119007176" TargetMode="External"/><Relationship Id="rId1578" Type="http://schemas.openxmlformats.org/officeDocument/2006/relationships/hyperlink" Target="http://www.wikidata.org/entity/Q6138343" TargetMode="External"/><Relationship Id="rId1579" Type="http://schemas.openxmlformats.org/officeDocument/2006/relationships/hyperlink" Target="http://www.wikidata.org/entity/Q117244395" TargetMode="External"/><Relationship Id="rId987" Type="http://schemas.openxmlformats.org/officeDocument/2006/relationships/hyperlink" Target="http://www.wikidata.org/entity/Q113627806" TargetMode="External"/><Relationship Id="rId986" Type="http://schemas.openxmlformats.org/officeDocument/2006/relationships/hyperlink" Target="http://www.wikidata.org/entity/Q955464" TargetMode="External"/><Relationship Id="rId985" Type="http://schemas.openxmlformats.org/officeDocument/2006/relationships/hyperlink" Target="http://www.wikidata.org/entity/Q113627806" TargetMode="External"/><Relationship Id="rId984" Type="http://schemas.openxmlformats.org/officeDocument/2006/relationships/hyperlink" Target="http://commons.wikimedia.org/wiki/Special:FilePath/Josephus%20Alberdingk%20Thijm%20portret%20%281864-1889%29.png" TargetMode="External"/><Relationship Id="rId989" Type="http://schemas.openxmlformats.org/officeDocument/2006/relationships/hyperlink" Target="http://www.wikidata.org/entity/Q56036064" TargetMode="External"/><Relationship Id="rId988" Type="http://schemas.openxmlformats.org/officeDocument/2006/relationships/hyperlink" Target="http://www.wikidata.org/entity/Q1162163" TargetMode="External"/><Relationship Id="rId1570" Type="http://schemas.openxmlformats.org/officeDocument/2006/relationships/hyperlink" Target="http://www.wikidata.org/entity/Q2251335" TargetMode="External"/><Relationship Id="rId1571" Type="http://schemas.openxmlformats.org/officeDocument/2006/relationships/hyperlink" Target="http://www.wikidata.org/entity/Q115979952" TargetMode="External"/><Relationship Id="rId983" Type="http://schemas.openxmlformats.org/officeDocument/2006/relationships/hyperlink" Target="http://www.wikidata.org/entity/Q1792450" TargetMode="External"/><Relationship Id="rId1572" Type="http://schemas.openxmlformats.org/officeDocument/2006/relationships/hyperlink" Target="http://www.wikidata.org/entity/Q2251335" TargetMode="External"/><Relationship Id="rId982" Type="http://schemas.openxmlformats.org/officeDocument/2006/relationships/hyperlink" Target="http://www.wikidata.org/entity/Q1978794" TargetMode="External"/><Relationship Id="rId1573" Type="http://schemas.openxmlformats.org/officeDocument/2006/relationships/hyperlink" Target="http://www.wikidata.org/entity/Q115979994" TargetMode="External"/><Relationship Id="rId981" Type="http://schemas.openxmlformats.org/officeDocument/2006/relationships/hyperlink" Target="http://www.wikidata.org/entity/Q36180" TargetMode="External"/><Relationship Id="rId1574" Type="http://schemas.openxmlformats.org/officeDocument/2006/relationships/hyperlink" Target="http://www.wikidata.org/entity/Q2251335" TargetMode="External"/><Relationship Id="rId980" Type="http://schemas.openxmlformats.org/officeDocument/2006/relationships/hyperlink" Target="http://www.wikidata.org/entity/Q970036" TargetMode="External"/><Relationship Id="rId1575" Type="http://schemas.openxmlformats.org/officeDocument/2006/relationships/hyperlink" Target="http://www.wikidata.org/entity/Q120504176" TargetMode="External"/><Relationship Id="rId1565" Type="http://schemas.openxmlformats.org/officeDocument/2006/relationships/hyperlink" Target="http://www.wikidata.org/entity/Q115979029" TargetMode="External"/><Relationship Id="rId2896" Type="http://schemas.openxmlformats.org/officeDocument/2006/relationships/hyperlink" Target="http://www.wikidata.org/entity/Q82955" TargetMode="External"/><Relationship Id="rId1566" Type="http://schemas.openxmlformats.org/officeDocument/2006/relationships/hyperlink" Target="http://www.wikidata.org/entity/Q2251335" TargetMode="External"/><Relationship Id="rId2897" Type="http://schemas.openxmlformats.org/officeDocument/2006/relationships/hyperlink" Target="http://www.wikidata.org/entity/Q120555811" TargetMode="External"/><Relationship Id="rId1567" Type="http://schemas.openxmlformats.org/officeDocument/2006/relationships/hyperlink" Target="http://www.wikidata.org/entity/Q115979140" TargetMode="External"/><Relationship Id="rId2898" Type="http://schemas.openxmlformats.org/officeDocument/2006/relationships/hyperlink" Target="http://www.wikidata.org/entity/Q3704253" TargetMode="External"/><Relationship Id="rId1568" Type="http://schemas.openxmlformats.org/officeDocument/2006/relationships/hyperlink" Target="http://www.wikidata.org/entity/Q2251335" TargetMode="External"/><Relationship Id="rId2899" Type="http://schemas.openxmlformats.org/officeDocument/2006/relationships/hyperlink" Target="http://www.wikidata.org/entity/Q120913841" TargetMode="External"/><Relationship Id="rId1569" Type="http://schemas.openxmlformats.org/officeDocument/2006/relationships/hyperlink" Target="http://www.wikidata.org/entity/Q115979418" TargetMode="External"/><Relationship Id="rId976" Type="http://schemas.openxmlformats.org/officeDocument/2006/relationships/hyperlink" Target="http://commons.wikimedia.org/wiki/Special:FilePath/Theophiel%20Coopman%20%281852-1915%29.jpg" TargetMode="External"/><Relationship Id="rId975" Type="http://schemas.openxmlformats.org/officeDocument/2006/relationships/hyperlink" Target="http://www.wikidata.org/entity/Q212238" TargetMode="External"/><Relationship Id="rId974" Type="http://schemas.openxmlformats.org/officeDocument/2006/relationships/hyperlink" Target="http://www.wikidata.org/entity/Q719358" TargetMode="External"/><Relationship Id="rId973" Type="http://schemas.openxmlformats.org/officeDocument/2006/relationships/hyperlink" Target="http://commons.wikimedia.org/wiki/Special:FilePath/Jan%20Bols%2C%20borststuk%20door%20E.%20Fabronius.tif" TargetMode="External"/><Relationship Id="rId979" Type="http://schemas.openxmlformats.org/officeDocument/2006/relationships/hyperlink" Target="http://commons.wikimedia.org/wiki/Special:FilePath/JBBethune%20par%20Raoux.jpg" TargetMode="External"/><Relationship Id="rId978" Type="http://schemas.openxmlformats.org/officeDocument/2006/relationships/hyperlink" Target="http://www.wikidata.org/entity/Q42973" TargetMode="External"/><Relationship Id="rId977" Type="http://schemas.openxmlformats.org/officeDocument/2006/relationships/hyperlink" Target="http://www.wikidata.org/entity/Q354052" TargetMode="External"/><Relationship Id="rId2890" Type="http://schemas.openxmlformats.org/officeDocument/2006/relationships/hyperlink" Target="http://www.wikidata.org/entity/Q67205775" TargetMode="External"/><Relationship Id="rId1560" Type="http://schemas.openxmlformats.org/officeDocument/2006/relationships/hyperlink" Target="http://www.wikidata.org/entity/Q4958876" TargetMode="External"/><Relationship Id="rId2891" Type="http://schemas.openxmlformats.org/officeDocument/2006/relationships/hyperlink" Target="http://www.wikidata.org/entity/Q122794969" TargetMode="External"/><Relationship Id="rId972" Type="http://schemas.openxmlformats.org/officeDocument/2006/relationships/hyperlink" Target="http://www.wikidata.org/entity/Q42603" TargetMode="External"/><Relationship Id="rId1561" Type="http://schemas.openxmlformats.org/officeDocument/2006/relationships/hyperlink" Target="http://www.wikidata.org/entity/Q115979140" TargetMode="External"/><Relationship Id="rId2892" Type="http://schemas.openxmlformats.org/officeDocument/2006/relationships/hyperlink" Target="http://www.wikidata.org/entity/Q38126150" TargetMode="External"/><Relationship Id="rId971" Type="http://schemas.openxmlformats.org/officeDocument/2006/relationships/hyperlink" Target="http://www.wikidata.org/entity/Q1920135" TargetMode="External"/><Relationship Id="rId1562" Type="http://schemas.openxmlformats.org/officeDocument/2006/relationships/hyperlink" Target="http://www.wikidata.org/entity/Q4958876" TargetMode="External"/><Relationship Id="rId2893" Type="http://schemas.openxmlformats.org/officeDocument/2006/relationships/hyperlink" Target="http://www.wikidata.org/entity/Q120718341" TargetMode="External"/><Relationship Id="rId970" Type="http://schemas.openxmlformats.org/officeDocument/2006/relationships/hyperlink" Target="http://commons.wikimedia.org/wiki/Special:FilePath/Josephus%20Alberdingk%20Thijm%20portret%20%281864-1889%29.png" TargetMode="External"/><Relationship Id="rId1563" Type="http://schemas.openxmlformats.org/officeDocument/2006/relationships/hyperlink" Target="http://www.wikidata.org/entity/Q117244643" TargetMode="External"/><Relationship Id="rId2894" Type="http://schemas.openxmlformats.org/officeDocument/2006/relationships/hyperlink" Target="http://www.wikidata.org/entity/Q42603" TargetMode="External"/><Relationship Id="rId1564" Type="http://schemas.openxmlformats.org/officeDocument/2006/relationships/hyperlink" Target="http://www.wikidata.org/entity/Q7316604" TargetMode="External"/><Relationship Id="rId2895" Type="http://schemas.openxmlformats.org/officeDocument/2006/relationships/hyperlink" Target="http://www.wikidata.org/entity/Q120555811" TargetMode="External"/><Relationship Id="rId1598" Type="http://schemas.openxmlformats.org/officeDocument/2006/relationships/hyperlink" Target="http://www.wikidata.org/entity/Q115979994" TargetMode="External"/><Relationship Id="rId1599" Type="http://schemas.openxmlformats.org/officeDocument/2006/relationships/hyperlink" Target="http://www.wikidata.org/entity/Q1753370" TargetMode="External"/><Relationship Id="rId1590" Type="http://schemas.openxmlformats.org/officeDocument/2006/relationships/hyperlink" Target="http://www.wikidata.org/entity/Q2005653" TargetMode="External"/><Relationship Id="rId1591" Type="http://schemas.openxmlformats.org/officeDocument/2006/relationships/hyperlink" Target="http://www.wikidata.org/entity/Q119224999" TargetMode="External"/><Relationship Id="rId1592" Type="http://schemas.openxmlformats.org/officeDocument/2006/relationships/hyperlink" Target="http://www.wikidata.org/entity/Q119625085" TargetMode="External"/><Relationship Id="rId1593" Type="http://schemas.openxmlformats.org/officeDocument/2006/relationships/hyperlink" Target="http://www.wikidata.org/entity/Q115979418" TargetMode="External"/><Relationship Id="rId1594" Type="http://schemas.openxmlformats.org/officeDocument/2006/relationships/hyperlink" Target="http://www.wikidata.org/entity/Q1753370" TargetMode="External"/><Relationship Id="rId1595" Type="http://schemas.openxmlformats.org/officeDocument/2006/relationships/hyperlink" Target="http://www.wikidata.org/entity/Q115979952" TargetMode="External"/><Relationship Id="rId1596" Type="http://schemas.openxmlformats.org/officeDocument/2006/relationships/hyperlink" Target="http://www.wikidata.org/entity/Q1753370" TargetMode="External"/><Relationship Id="rId1597" Type="http://schemas.openxmlformats.org/officeDocument/2006/relationships/hyperlink" Target="http://www.wikidata.org/entity/Q120514200" TargetMode="External"/><Relationship Id="rId1587" Type="http://schemas.openxmlformats.org/officeDocument/2006/relationships/hyperlink" Target="http://www.wikidata.org/entity/Q120644522" TargetMode="External"/><Relationship Id="rId1588" Type="http://schemas.openxmlformats.org/officeDocument/2006/relationships/hyperlink" Target="http://www.wikidata.org/entity/Q955464" TargetMode="External"/><Relationship Id="rId1589" Type="http://schemas.openxmlformats.org/officeDocument/2006/relationships/hyperlink" Target="http://www.wikidata.org/entity/Q120629807" TargetMode="External"/><Relationship Id="rId998" Type="http://schemas.openxmlformats.org/officeDocument/2006/relationships/hyperlink" Target="http://www.wikidata.org/entity/Q113627806" TargetMode="External"/><Relationship Id="rId997" Type="http://schemas.openxmlformats.org/officeDocument/2006/relationships/hyperlink" Target="http://commons.wikimedia.org/wiki/Special:FilePath/Alexandre%20Bonvarlet%20by%20Michel%20Berthaud.jpg" TargetMode="External"/><Relationship Id="rId996" Type="http://schemas.openxmlformats.org/officeDocument/2006/relationships/hyperlink" Target="http://www.wikidata.org/entity/Q201788" TargetMode="External"/><Relationship Id="rId995" Type="http://schemas.openxmlformats.org/officeDocument/2006/relationships/hyperlink" Target="http://www.wikidata.org/entity/Q56036018" TargetMode="External"/><Relationship Id="rId999" Type="http://schemas.openxmlformats.org/officeDocument/2006/relationships/hyperlink" Target="http://www.wikidata.org/entity/Q250867" TargetMode="External"/><Relationship Id="rId990" Type="http://schemas.openxmlformats.org/officeDocument/2006/relationships/hyperlink" Target="http://www.wikidata.org/entity/Q193391" TargetMode="External"/><Relationship Id="rId1580" Type="http://schemas.openxmlformats.org/officeDocument/2006/relationships/hyperlink" Target="http://www.wikidata.org/entity/Q2114844" TargetMode="External"/><Relationship Id="rId1581" Type="http://schemas.openxmlformats.org/officeDocument/2006/relationships/hyperlink" Target="http://www.wikidata.org/entity/Q118998471" TargetMode="External"/><Relationship Id="rId1582" Type="http://schemas.openxmlformats.org/officeDocument/2006/relationships/hyperlink" Target="http://www.wikidata.org/entity/Q641208" TargetMode="External"/><Relationship Id="rId994" Type="http://schemas.openxmlformats.org/officeDocument/2006/relationships/hyperlink" Target="http://www.wikidata.org/entity/Q219477" TargetMode="External"/><Relationship Id="rId1583" Type="http://schemas.openxmlformats.org/officeDocument/2006/relationships/hyperlink" Target="http://www.wikidata.org/entity/Q119217815" TargetMode="External"/><Relationship Id="rId993" Type="http://schemas.openxmlformats.org/officeDocument/2006/relationships/hyperlink" Target="http://www.wikidata.org/entity/Q113627806" TargetMode="External"/><Relationship Id="rId1584" Type="http://schemas.openxmlformats.org/officeDocument/2006/relationships/hyperlink" Target="http://www.wikidata.org/entity/Q1753370" TargetMode="External"/><Relationship Id="rId992" Type="http://schemas.openxmlformats.org/officeDocument/2006/relationships/hyperlink" Target="http://www.wikidata.org/entity/Q333634" TargetMode="External"/><Relationship Id="rId1585" Type="http://schemas.openxmlformats.org/officeDocument/2006/relationships/hyperlink" Target="http://www.wikidata.org/entity/Q115979418" TargetMode="External"/><Relationship Id="rId991" Type="http://schemas.openxmlformats.org/officeDocument/2006/relationships/hyperlink" Target="http://www.wikidata.org/entity/Q56036064" TargetMode="External"/><Relationship Id="rId1586" Type="http://schemas.openxmlformats.org/officeDocument/2006/relationships/hyperlink" Target="http://www.wikidata.org/entity/Q1657500" TargetMode="External"/><Relationship Id="rId1532" Type="http://schemas.openxmlformats.org/officeDocument/2006/relationships/hyperlink" Target="http://www.wikidata.org/entity/Q115979418" TargetMode="External"/><Relationship Id="rId2863" Type="http://schemas.openxmlformats.org/officeDocument/2006/relationships/hyperlink" Target="http://www.wikidata.org/entity/Q115820636" TargetMode="External"/><Relationship Id="rId1533" Type="http://schemas.openxmlformats.org/officeDocument/2006/relationships/hyperlink" Target="http://www.wikidata.org/entity/Q955464" TargetMode="External"/><Relationship Id="rId2864" Type="http://schemas.openxmlformats.org/officeDocument/2006/relationships/hyperlink" Target="http://www.wikidata.org/entity/Q42603" TargetMode="External"/><Relationship Id="rId1534" Type="http://schemas.openxmlformats.org/officeDocument/2006/relationships/hyperlink" Target="http://www.wikidata.org/entity/Q115979418" TargetMode="External"/><Relationship Id="rId2865" Type="http://schemas.openxmlformats.org/officeDocument/2006/relationships/hyperlink" Target="http://www.wikidata.org/entity/Q115832532" TargetMode="External"/><Relationship Id="rId1535" Type="http://schemas.openxmlformats.org/officeDocument/2006/relationships/hyperlink" Target="http://www.wikidata.org/entity/Q1072363" TargetMode="External"/><Relationship Id="rId2866" Type="http://schemas.openxmlformats.org/officeDocument/2006/relationships/hyperlink" Target="http://www.wikidata.org/entity/Q830337" TargetMode="External"/><Relationship Id="rId1536" Type="http://schemas.openxmlformats.org/officeDocument/2006/relationships/hyperlink" Target="http://www.wikidata.org/entity/Q116660566" TargetMode="External"/><Relationship Id="rId2867" Type="http://schemas.openxmlformats.org/officeDocument/2006/relationships/hyperlink" Target="http://www.wikidata.org/entity/Q115837593" TargetMode="External"/><Relationship Id="rId1537" Type="http://schemas.openxmlformats.org/officeDocument/2006/relationships/hyperlink" Target="http://www.wikidata.org/entity/Q37226" TargetMode="External"/><Relationship Id="rId2868" Type="http://schemas.openxmlformats.org/officeDocument/2006/relationships/hyperlink" Target="http://www.wikidata.org/entity/Q25378518" TargetMode="External"/><Relationship Id="rId1538" Type="http://schemas.openxmlformats.org/officeDocument/2006/relationships/hyperlink" Target="http://commons.wikimedia.org/wiki/Special:FilePath/Foto%20van%20Florence%20Gezelle.jpg" TargetMode="External"/><Relationship Id="rId2869" Type="http://schemas.openxmlformats.org/officeDocument/2006/relationships/hyperlink" Target="http://www.wikidata.org/entity/Q115825488" TargetMode="External"/><Relationship Id="rId1539" Type="http://schemas.openxmlformats.org/officeDocument/2006/relationships/hyperlink" Target="http://www.wikidata.org/entity/Q115979952" TargetMode="External"/><Relationship Id="rId949" Type="http://schemas.openxmlformats.org/officeDocument/2006/relationships/hyperlink" Target="http://www.wikidata.org/entity/Q36180" TargetMode="External"/><Relationship Id="rId948" Type="http://schemas.openxmlformats.org/officeDocument/2006/relationships/hyperlink" Target="http://www.wikidata.org/entity/Q2361397" TargetMode="External"/><Relationship Id="rId943" Type="http://schemas.openxmlformats.org/officeDocument/2006/relationships/hyperlink" Target="http://www.wikidata.org/entity/Q2182589" TargetMode="External"/><Relationship Id="rId942" Type="http://schemas.openxmlformats.org/officeDocument/2006/relationships/hyperlink" Target="http://commons.wikimedia.org/wiki/Special:FilePath/Josephus%20Alberdingk%20Thijm%20portret%20%281864-1889%29.png" TargetMode="External"/><Relationship Id="rId941" Type="http://schemas.openxmlformats.org/officeDocument/2006/relationships/hyperlink" Target="http://www.wikidata.org/entity/Q4263842" TargetMode="External"/><Relationship Id="rId940" Type="http://schemas.openxmlformats.org/officeDocument/2006/relationships/hyperlink" Target="http://www.wikidata.org/entity/Q1978794" TargetMode="External"/><Relationship Id="rId947" Type="http://schemas.openxmlformats.org/officeDocument/2006/relationships/hyperlink" Target="http://commons.wikimedia.org/wiki/Special:FilePath/Max%20Rooses.jpg" TargetMode="External"/><Relationship Id="rId946" Type="http://schemas.openxmlformats.org/officeDocument/2006/relationships/hyperlink" Target="http://www.wikidata.org/entity/Q1792450" TargetMode="External"/><Relationship Id="rId945" Type="http://schemas.openxmlformats.org/officeDocument/2006/relationships/hyperlink" Target="http://www.wikidata.org/entity/Q2413334" TargetMode="External"/><Relationship Id="rId944" Type="http://schemas.openxmlformats.org/officeDocument/2006/relationships/hyperlink" Target="http://www.wikidata.org/entity/Q1753370" TargetMode="External"/><Relationship Id="rId2860" Type="http://schemas.openxmlformats.org/officeDocument/2006/relationships/hyperlink" Target="http://www.wikidata.org/entity/Q2251335" TargetMode="External"/><Relationship Id="rId1530" Type="http://schemas.openxmlformats.org/officeDocument/2006/relationships/hyperlink" Target="http://www.wikidata.org/entity/Q115979140" TargetMode="External"/><Relationship Id="rId2861" Type="http://schemas.openxmlformats.org/officeDocument/2006/relationships/hyperlink" Target="http://www.wikidata.org/entity/Q115817390" TargetMode="External"/><Relationship Id="rId1531" Type="http://schemas.openxmlformats.org/officeDocument/2006/relationships/hyperlink" Target="http://www.wikidata.org/entity/Q955464" TargetMode="External"/><Relationship Id="rId2862" Type="http://schemas.openxmlformats.org/officeDocument/2006/relationships/hyperlink" Target="http://www.wikidata.org/entity/Q42603" TargetMode="External"/><Relationship Id="rId1521" Type="http://schemas.openxmlformats.org/officeDocument/2006/relationships/hyperlink" Target="http://www.wikidata.org/entity/Q119217815" TargetMode="External"/><Relationship Id="rId2852" Type="http://schemas.openxmlformats.org/officeDocument/2006/relationships/hyperlink" Target="http://www.wikidata.org/entity/Q955464" TargetMode="External"/><Relationship Id="rId1522" Type="http://schemas.openxmlformats.org/officeDocument/2006/relationships/hyperlink" Target="http://www.wikidata.org/entity/Q250867" TargetMode="External"/><Relationship Id="rId2853" Type="http://schemas.openxmlformats.org/officeDocument/2006/relationships/hyperlink" Target="http://www.wikidata.org/entity/Q113675636" TargetMode="External"/><Relationship Id="rId1523" Type="http://schemas.openxmlformats.org/officeDocument/2006/relationships/hyperlink" Target="http://www.wikidata.org/entity/Q116620790" TargetMode="External"/><Relationship Id="rId2854" Type="http://schemas.openxmlformats.org/officeDocument/2006/relationships/hyperlink" Target="http://www.wikidata.org/entity/Q1162163" TargetMode="External"/><Relationship Id="rId1524" Type="http://schemas.openxmlformats.org/officeDocument/2006/relationships/hyperlink" Target="http://www.wikidata.org/entity/Q36180" TargetMode="External"/><Relationship Id="rId2855" Type="http://schemas.openxmlformats.org/officeDocument/2006/relationships/hyperlink" Target="http://www.wikidata.org/entity/Q113675636" TargetMode="External"/><Relationship Id="rId1525" Type="http://schemas.openxmlformats.org/officeDocument/2006/relationships/hyperlink" Target="http://commons.wikimedia.org/wiki/Special:FilePath/Portret%20Sophie%20Peeters.jpg" TargetMode="External"/><Relationship Id="rId2856" Type="http://schemas.openxmlformats.org/officeDocument/2006/relationships/hyperlink" Target="http://www.wikidata.org/entity/Q250867" TargetMode="External"/><Relationship Id="rId1526" Type="http://schemas.openxmlformats.org/officeDocument/2006/relationships/hyperlink" Target="http://www.wikidata.org/entity/Q115979029" TargetMode="External"/><Relationship Id="rId2857" Type="http://schemas.openxmlformats.org/officeDocument/2006/relationships/hyperlink" Target="http://www.wikidata.org/entity/Q115834833" TargetMode="External"/><Relationship Id="rId1527" Type="http://schemas.openxmlformats.org/officeDocument/2006/relationships/hyperlink" Target="http://www.wikidata.org/entity/Q955464" TargetMode="External"/><Relationship Id="rId2858" Type="http://schemas.openxmlformats.org/officeDocument/2006/relationships/hyperlink" Target="http://www.wikidata.org/entity/Q435940" TargetMode="External"/><Relationship Id="rId1528" Type="http://schemas.openxmlformats.org/officeDocument/2006/relationships/hyperlink" Target="http://www.wikidata.org/entity/Q119007176" TargetMode="External"/><Relationship Id="rId2859" Type="http://schemas.openxmlformats.org/officeDocument/2006/relationships/hyperlink" Target="http://www.wikidata.org/entity/Q113675636" TargetMode="External"/><Relationship Id="rId1529" Type="http://schemas.openxmlformats.org/officeDocument/2006/relationships/hyperlink" Target="http://www.wikidata.org/entity/Q1281618" TargetMode="External"/><Relationship Id="rId939" Type="http://schemas.openxmlformats.org/officeDocument/2006/relationships/hyperlink" Target="http://www.wikidata.org/entity/Q2251335" TargetMode="External"/><Relationship Id="rId938" Type="http://schemas.openxmlformats.org/officeDocument/2006/relationships/hyperlink" Target="http://www.wikidata.org/entity/Q3032807" TargetMode="External"/><Relationship Id="rId937" Type="http://schemas.openxmlformats.org/officeDocument/2006/relationships/hyperlink" Target="http://commons.wikimedia.org/wiki/Special:FilePath/Langendonck.jpg" TargetMode="External"/><Relationship Id="rId932" Type="http://schemas.openxmlformats.org/officeDocument/2006/relationships/hyperlink" Target="http://www.wikidata.org/entity/Q354052" TargetMode="External"/><Relationship Id="rId931" Type="http://schemas.openxmlformats.org/officeDocument/2006/relationships/hyperlink" Target="http://www.wikidata.org/entity/Q250867" TargetMode="External"/><Relationship Id="rId930" Type="http://schemas.openxmlformats.org/officeDocument/2006/relationships/hyperlink" Target="http://www.wikidata.org/entity/Q3032807" TargetMode="External"/><Relationship Id="rId936" Type="http://schemas.openxmlformats.org/officeDocument/2006/relationships/hyperlink" Target="http://www.wikidata.org/entity/Q212238" TargetMode="External"/><Relationship Id="rId935" Type="http://schemas.openxmlformats.org/officeDocument/2006/relationships/hyperlink" Target="http://www.wikidata.org/entity/Q2754460" TargetMode="External"/><Relationship Id="rId934" Type="http://schemas.openxmlformats.org/officeDocument/2006/relationships/hyperlink" Target="http://commons.wikimedia.org/wiki/Special:FilePath/JBBethune%20par%20Raoux.jpg" TargetMode="External"/><Relationship Id="rId933" Type="http://schemas.openxmlformats.org/officeDocument/2006/relationships/hyperlink" Target="http://www.wikidata.org/entity/Q5322166" TargetMode="External"/><Relationship Id="rId2850" Type="http://schemas.openxmlformats.org/officeDocument/2006/relationships/hyperlink" Target="http://www.wikidata.org/entity/Q435940" TargetMode="External"/><Relationship Id="rId1520" Type="http://schemas.openxmlformats.org/officeDocument/2006/relationships/hyperlink" Target="http://www.wikidata.org/entity/Q955464" TargetMode="External"/><Relationship Id="rId2851" Type="http://schemas.openxmlformats.org/officeDocument/2006/relationships/hyperlink" Target="http://www.wikidata.org/entity/Q113675636" TargetMode="External"/><Relationship Id="rId1554" Type="http://schemas.openxmlformats.org/officeDocument/2006/relationships/hyperlink" Target="http://www.wikidata.org/entity/Q250867" TargetMode="External"/><Relationship Id="rId2885" Type="http://schemas.openxmlformats.org/officeDocument/2006/relationships/hyperlink" Target="http://www.wikidata.org/entity/Q123052123" TargetMode="External"/><Relationship Id="rId1555" Type="http://schemas.openxmlformats.org/officeDocument/2006/relationships/hyperlink" Target="http://www.wikidata.org/entity/Q115979994" TargetMode="External"/><Relationship Id="rId2886" Type="http://schemas.openxmlformats.org/officeDocument/2006/relationships/hyperlink" Target="http://www.wikidata.org/entity/Q123606015" TargetMode="External"/><Relationship Id="rId1556" Type="http://schemas.openxmlformats.org/officeDocument/2006/relationships/hyperlink" Target="http://www.wikidata.org/entity/Q250867" TargetMode="External"/><Relationship Id="rId2887" Type="http://schemas.openxmlformats.org/officeDocument/2006/relationships/hyperlink" Target="http://www.wikidata.org/entity/Q125282135" TargetMode="External"/><Relationship Id="rId1557" Type="http://schemas.openxmlformats.org/officeDocument/2006/relationships/hyperlink" Target="http://www.wikidata.org/entity/Q115835531" TargetMode="External"/><Relationship Id="rId2888" Type="http://schemas.openxmlformats.org/officeDocument/2006/relationships/hyperlink" Target="http://www.wikidata.org/entity/Q125341815" TargetMode="External"/><Relationship Id="rId1558" Type="http://schemas.openxmlformats.org/officeDocument/2006/relationships/hyperlink" Target="http://www.wikidata.org/entity/Q36180" TargetMode="External"/><Relationship Id="rId2889" Type="http://schemas.openxmlformats.org/officeDocument/2006/relationships/hyperlink" Target="http://www.wikidata.org/entity/Q125334130" TargetMode="External"/><Relationship Id="rId1559" Type="http://schemas.openxmlformats.org/officeDocument/2006/relationships/hyperlink" Target="http://www.wikidata.org/entity/Q115979029" TargetMode="External"/><Relationship Id="rId965" Type="http://schemas.openxmlformats.org/officeDocument/2006/relationships/hyperlink" Target="http://www.wikidata.org/entity/Q354052" TargetMode="External"/><Relationship Id="rId964" Type="http://schemas.openxmlformats.org/officeDocument/2006/relationships/hyperlink" Target="http://www.wikidata.org/entity/Q40348" TargetMode="External"/><Relationship Id="rId963" Type="http://schemas.openxmlformats.org/officeDocument/2006/relationships/hyperlink" Target="http://www.wikidata.org/entity/Q2672741" TargetMode="External"/><Relationship Id="rId962" Type="http://schemas.openxmlformats.org/officeDocument/2006/relationships/hyperlink" Target="http://commons.wikimedia.org/wiki/Special:FilePath/Josephus%20Alberdingk%20Thijm%20portret%20%281864-1889%29.png" TargetMode="External"/><Relationship Id="rId969" Type="http://schemas.openxmlformats.org/officeDocument/2006/relationships/hyperlink" Target="http://www.wikidata.org/entity/Q1622272" TargetMode="External"/><Relationship Id="rId968" Type="http://schemas.openxmlformats.org/officeDocument/2006/relationships/hyperlink" Target="http://www.wikidata.org/entity/Q1978794" TargetMode="External"/><Relationship Id="rId967" Type="http://schemas.openxmlformats.org/officeDocument/2006/relationships/hyperlink" Target="http://commons.wikimedia.org/wiki/Special:FilePath/JBBethune%20par%20Raoux.jpg" TargetMode="External"/><Relationship Id="rId966" Type="http://schemas.openxmlformats.org/officeDocument/2006/relationships/hyperlink" Target="http://www.wikidata.org/entity/Q1294787" TargetMode="External"/><Relationship Id="rId2880" Type="http://schemas.openxmlformats.org/officeDocument/2006/relationships/hyperlink" Target="http://www.wikidata.org/entity/Q42603" TargetMode="External"/><Relationship Id="rId961" Type="http://schemas.openxmlformats.org/officeDocument/2006/relationships/hyperlink" Target="http://www.wikidata.org/entity/Q49757" TargetMode="External"/><Relationship Id="rId1550" Type="http://schemas.openxmlformats.org/officeDocument/2006/relationships/hyperlink" Target="http://www.wikidata.org/entity/Q250867" TargetMode="External"/><Relationship Id="rId2881" Type="http://schemas.openxmlformats.org/officeDocument/2006/relationships/hyperlink" Target="http://www.wikidata.org/entity/Q115840228" TargetMode="External"/><Relationship Id="rId960" Type="http://schemas.openxmlformats.org/officeDocument/2006/relationships/hyperlink" Target="http://www.wikidata.org/entity/Q1978794" TargetMode="External"/><Relationship Id="rId1551" Type="http://schemas.openxmlformats.org/officeDocument/2006/relationships/hyperlink" Target="http://www.wikidata.org/entity/Q115979418" TargetMode="External"/><Relationship Id="rId2882" Type="http://schemas.openxmlformats.org/officeDocument/2006/relationships/hyperlink" Target="http://www.wikidata.org/entity/Q45684" TargetMode="External"/><Relationship Id="rId1552" Type="http://schemas.openxmlformats.org/officeDocument/2006/relationships/hyperlink" Target="http://www.wikidata.org/entity/Q250867" TargetMode="External"/><Relationship Id="rId2883" Type="http://schemas.openxmlformats.org/officeDocument/2006/relationships/hyperlink" Target="http://www.wikidata.org/entity/Q122831483" TargetMode="External"/><Relationship Id="rId1553" Type="http://schemas.openxmlformats.org/officeDocument/2006/relationships/hyperlink" Target="http://www.wikidata.org/entity/Q115979952" TargetMode="External"/><Relationship Id="rId2884" Type="http://schemas.openxmlformats.org/officeDocument/2006/relationships/hyperlink" Target="http://www.wikidata.org/entity/Q122903342" TargetMode="External"/><Relationship Id="rId1543" Type="http://schemas.openxmlformats.org/officeDocument/2006/relationships/hyperlink" Target="http://www.wikidata.org/entity/Q115979952" TargetMode="External"/><Relationship Id="rId2874" Type="http://schemas.openxmlformats.org/officeDocument/2006/relationships/hyperlink" Target="http://www.wikidata.org/entity/Q45684" TargetMode="External"/><Relationship Id="rId1544" Type="http://schemas.openxmlformats.org/officeDocument/2006/relationships/hyperlink" Target="http://www.wikidata.org/entity/Q1072363" TargetMode="External"/><Relationship Id="rId2875" Type="http://schemas.openxmlformats.org/officeDocument/2006/relationships/hyperlink" Target="http://www.wikidata.org/entity/Q115980136" TargetMode="External"/><Relationship Id="rId1545" Type="http://schemas.openxmlformats.org/officeDocument/2006/relationships/hyperlink" Target="http://www.wikidata.org/entity/Q115979029" TargetMode="External"/><Relationship Id="rId2876" Type="http://schemas.openxmlformats.org/officeDocument/2006/relationships/hyperlink" Target="http://www.wikidata.org/entity/Q219477" TargetMode="External"/><Relationship Id="rId1546" Type="http://schemas.openxmlformats.org/officeDocument/2006/relationships/hyperlink" Target="http://www.wikidata.org/entity/Q250867" TargetMode="External"/><Relationship Id="rId2877" Type="http://schemas.openxmlformats.org/officeDocument/2006/relationships/hyperlink" Target="http://www.wikidata.org/entity/Q115839353" TargetMode="External"/><Relationship Id="rId1547" Type="http://schemas.openxmlformats.org/officeDocument/2006/relationships/hyperlink" Target="http://www.wikidata.org/entity/Q115979140" TargetMode="External"/><Relationship Id="rId2878" Type="http://schemas.openxmlformats.org/officeDocument/2006/relationships/hyperlink" Target="http://www.wikidata.org/entity/Q36180" TargetMode="External"/><Relationship Id="rId1548" Type="http://schemas.openxmlformats.org/officeDocument/2006/relationships/hyperlink" Target="http://www.wikidata.org/entity/Q1056391" TargetMode="External"/><Relationship Id="rId2879" Type="http://schemas.openxmlformats.org/officeDocument/2006/relationships/hyperlink" Target="http://www.wikidata.org/entity/Q115840920" TargetMode="External"/><Relationship Id="rId1549" Type="http://schemas.openxmlformats.org/officeDocument/2006/relationships/hyperlink" Target="http://www.wikidata.org/entity/Q115979140" TargetMode="External"/><Relationship Id="rId959" Type="http://schemas.openxmlformats.org/officeDocument/2006/relationships/hyperlink" Target="http://commons.wikimedia.org/wiki/Special:FilePath/Josephus%20Alberdingk%20Thijm%20portret%20%281864-1889%29.png" TargetMode="External"/><Relationship Id="rId954" Type="http://schemas.openxmlformats.org/officeDocument/2006/relationships/hyperlink" Target="http://commons.wikimedia.org/wiki/Special:FilePath/Ferdinand%20Vander%20Haeghen.jpg" TargetMode="External"/><Relationship Id="rId953" Type="http://schemas.openxmlformats.org/officeDocument/2006/relationships/hyperlink" Target="http://www.wikidata.org/entity/Q10429346" TargetMode="External"/><Relationship Id="rId952" Type="http://schemas.openxmlformats.org/officeDocument/2006/relationships/hyperlink" Target="http://www.wikidata.org/entity/Q2065109" TargetMode="External"/><Relationship Id="rId951" Type="http://schemas.openxmlformats.org/officeDocument/2006/relationships/hyperlink" Target="http://www.wikidata.org/entity/Q49757" TargetMode="External"/><Relationship Id="rId958" Type="http://schemas.openxmlformats.org/officeDocument/2006/relationships/hyperlink" Target="http://www.wikidata.org/entity/Q36180" TargetMode="External"/><Relationship Id="rId957" Type="http://schemas.openxmlformats.org/officeDocument/2006/relationships/hyperlink" Target="http://www.wikidata.org/entity/Q1978794" TargetMode="External"/><Relationship Id="rId956" Type="http://schemas.openxmlformats.org/officeDocument/2006/relationships/hyperlink" Target="http://www.wikidata.org/entity/Q11977377" TargetMode="External"/><Relationship Id="rId955" Type="http://schemas.openxmlformats.org/officeDocument/2006/relationships/hyperlink" Target="http://www.wikidata.org/entity/Q3032807" TargetMode="External"/><Relationship Id="rId950" Type="http://schemas.openxmlformats.org/officeDocument/2006/relationships/hyperlink" Target="http://www.wikidata.org/entity/Q2361397" TargetMode="External"/><Relationship Id="rId2870" Type="http://schemas.openxmlformats.org/officeDocument/2006/relationships/hyperlink" Target="http://www.wikidata.org/entity/Q42603" TargetMode="External"/><Relationship Id="rId1540" Type="http://schemas.openxmlformats.org/officeDocument/2006/relationships/hyperlink" Target="http://www.wikidata.org/entity/Q955464" TargetMode="External"/><Relationship Id="rId2871" Type="http://schemas.openxmlformats.org/officeDocument/2006/relationships/hyperlink" Target="http://www.wikidata.org/entity/Q115829623" TargetMode="External"/><Relationship Id="rId1541" Type="http://schemas.openxmlformats.org/officeDocument/2006/relationships/hyperlink" Target="http://www.wikidata.org/entity/Q115979994" TargetMode="External"/><Relationship Id="rId2872" Type="http://schemas.openxmlformats.org/officeDocument/2006/relationships/hyperlink" Target="http://www.wikidata.org/entity/Q42603" TargetMode="External"/><Relationship Id="rId1542" Type="http://schemas.openxmlformats.org/officeDocument/2006/relationships/hyperlink" Target="http://www.wikidata.org/entity/Q955464" TargetMode="External"/><Relationship Id="rId2873" Type="http://schemas.openxmlformats.org/officeDocument/2006/relationships/hyperlink" Target="http://www.wikidata.org/entity/Q115825488" TargetMode="External"/><Relationship Id="rId2027" Type="http://schemas.openxmlformats.org/officeDocument/2006/relationships/hyperlink" Target="http://www.wikidata.org/entity/Q2770967" TargetMode="External"/><Relationship Id="rId3359" Type="http://schemas.openxmlformats.org/officeDocument/2006/relationships/hyperlink" Target="http://www.wikidata.org/entity/Q2050293" TargetMode="External"/><Relationship Id="rId2028" Type="http://schemas.openxmlformats.org/officeDocument/2006/relationships/hyperlink" Target="http://www.wikidata.org/entity/Q1993192" TargetMode="External"/><Relationship Id="rId3358" Type="http://schemas.openxmlformats.org/officeDocument/2006/relationships/hyperlink" Target="http://www.wikidata.org/entity/Q955464" TargetMode="External"/><Relationship Id="rId2029" Type="http://schemas.openxmlformats.org/officeDocument/2006/relationships/hyperlink" Target="http://www.wikidata.org/entity/Q2266893" TargetMode="External"/><Relationship Id="rId107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06" Type="http://schemas.openxmlformats.org/officeDocument/2006/relationships/hyperlink" Target="http://www.wikidata.org/entity/Q1104153" TargetMode="External"/><Relationship Id="rId105" Type="http://schemas.openxmlformats.org/officeDocument/2006/relationships/hyperlink" Target="http://www.wikidata.org/entity/Q2191260" TargetMode="External"/><Relationship Id="rId104" Type="http://schemas.openxmlformats.org/officeDocument/2006/relationships/hyperlink" Target="http://commons.wikimedia.org/wiki/Special:FilePath/PieterWillems.png" TargetMode="External"/><Relationship Id="rId109" Type="http://schemas.openxmlformats.org/officeDocument/2006/relationships/hyperlink" Target="http://www.wikidata.org/entity/Q1657500" TargetMode="External"/><Relationship Id="rId108" Type="http://schemas.openxmlformats.org/officeDocument/2006/relationships/hyperlink" Target="http://www.wikidata.org/entity/Q3163681" TargetMode="External"/><Relationship Id="rId3351" Type="http://schemas.openxmlformats.org/officeDocument/2006/relationships/hyperlink" Target="http://www.wikidata.org/entity/Q764378" TargetMode="External"/><Relationship Id="rId2020" Type="http://schemas.openxmlformats.org/officeDocument/2006/relationships/hyperlink" Target="http://commons.wikimedia.org/wiki/Special:FilePath/WillemDeVreese.jpg" TargetMode="External"/><Relationship Id="rId3350" Type="http://schemas.openxmlformats.org/officeDocument/2006/relationships/hyperlink" Target="http://commons.wikimedia.org/wiki/Special:FilePath/Alfons%20de%20Cock%2C%20PA05233.jpg" TargetMode="External"/><Relationship Id="rId2021" Type="http://schemas.openxmlformats.org/officeDocument/2006/relationships/hyperlink" Target="http://www.wikidata.org/entity/Q1896762" TargetMode="External"/><Relationship Id="rId3353" Type="http://schemas.openxmlformats.org/officeDocument/2006/relationships/hyperlink" Target="http://commons.wikimedia.org/wiki/Special:FilePath/AugustVermeylen2.jpg" TargetMode="External"/><Relationship Id="rId2022" Type="http://schemas.openxmlformats.org/officeDocument/2006/relationships/hyperlink" Target="http://www.wikidata.org/entity/Q36180" TargetMode="External"/><Relationship Id="rId3352" Type="http://schemas.openxmlformats.org/officeDocument/2006/relationships/hyperlink" Target="http://www.wikidata.org/entity/Q1607826" TargetMode="External"/><Relationship Id="rId103" Type="http://schemas.openxmlformats.org/officeDocument/2006/relationships/hyperlink" Target="http://www.wikidata.org/entity/Q16880249" TargetMode="External"/><Relationship Id="rId2023" Type="http://schemas.openxmlformats.org/officeDocument/2006/relationships/hyperlink" Target="http://www.wikidata.org/entity/Q1896762" TargetMode="External"/><Relationship Id="rId3355" Type="http://schemas.openxmlformats.org/officeDocument/2006/relationships/hyperlink" Target="http://www.wikidata.org/entity/Q1622272" TargetMode="External"/><Relationship Id="rId102" Type="http://schemas.openxmlformats.org/officeDocument/2006/relationships/hyperlink" Target="http://www.wikidata.org/entity/Q6242432" TargetMode="External"/><Relationship Id="rId2024" Type="http://schemas.openxmlformats.org/officeDocument/2006/relationships/hyperlink" Target="http://www.wikidata.org/entity/Q37226" TargetMode="External"/><Relationship Id="rId3354" Type="http://schemas.openxmlformats.org/officeDocument/2006/relationships/hyperlink" Target="http://www.wikidata.org/entity/Q764378" TargetMode="External"/><Relationship Id="rId101" Type="http://schemas.openxmlformats.org/officeDocument/2006/relationships/hyperlink" Target="http://www.wikidata.org/entity/Q4958876" TargetMode="External"/><Relationship Id="rId2025" Type="http://schemas.openxmlformats.org/officeDocument/2006/relationships/hyperlink" Target="http://www.wikidata.org/entity/Q2266893" TargetMode="External"/><Relationship Id="rId3357" Type="http://schemas.openxmlformats.org/officeDocument/2006/relationships/hyperlink" Target="http://www.wikidata.org/entity/Q2050293" TargetMode="External"/><Relationship Id="rId100" Type="http://schemas.openxmlformats.org/officeDocument/2006/relationships/hyperlink" Target="http://www.wikidata.org/entity/Q3163681" TargetMode="External"/><Relationship Id="rId2026" Type="http://schemas.openxmlformats.org/officeDocument/2006/relationships/hyperlink" Target="http://www.wikidata.org/entity/Q212238" TargetMode="External"/><Relationship Id="rId3356" Type="http://schemas.openxmlformats.org/officeDocument/2006/relationships/hyperlink" Target="http://commons.wikimedia.org/wiki/Special:FilePath/AugustVermeylen2.jpg" TargetMode="External"/><Relationship Id="rId2016" Type="http://schemas.openxmlformats.org/officeDocument/2006/relationships/hyperlink" Target="http://www.wikidata.org/entity/Q43129301" TargetMode="External"/><Relationship Id="rId3348" Type="http://schemas.openxmlformats.org/officeDocument/2006/relationships/hyperlink" Target="http://www.wikidata.org/entity/Q2100582" TargetMode="External"/><Relationship Id="rId2017" Type="http://schemas.openxmlformats.org/officeDocument/2006/relationships/hyperlink" Target="http://www.wikidata.org/entity/Q483501" TargetMode="External"/><Relationship Id="rId3347" Type="http://schemas.openxmlformats.org/officeDocument/2006/relationships/hyperlink" Target="http://commons.wikimedia.org/wiki/Special:FilePath/Gustaaf%20Louise%20Oda%20Hugo%20Verriest%20in%201861.jpg" TargetMode="External"/><Relationship Id="rId2018" Type="http://schemas.openxmlformats.org/officeDocument/2006/relationships/hyperlink" Target="http://www.wikidata.org/entity/Q29019503" TargetMode="External"/><Relationship Id="rId2019" Type="http://schemas.openxmlformats.org/officeDocument/2006/relationships/hyperlink" Target="http://www.wikidata.org/entity/Q13418253" TargetMode="External"/><Relationship Id="rId3349" Type="http://schemas.openxmlformats.org/officeDocument/2006/relationships/hyperlink" Target="http://www.wikidata.org/entity/Q1056391" TargetMode="External"/><Relationship Id="rId3340" Type="http://schemas.openxmlformats.org/officeDocument/2006/relationships/hyperlink" Target="http://www.wikidata.org/entity/Q2163210" TargetMode="External"/><Relationship Id="rId2010" Type="http://schemas.openxmlformats.org/officeDocument/2006/relationships/hyperlink" Target="http://www.wikidata.org/entity/Q5580544" TargetMode="External"/><Relationship Id="rId3342" Type="http://schemas.openxmlformats.org/officeDocument/2006/relationships/hyperlink" Target="http://www.wikidata.org/entity/Q2190493" TargetMode="External"/><Relationship Id="rId2011" Type="http://schemas.openxmlformats.org/officeDocument/2006/relationships/hyperlink" Target="http://www.wikidata.org/entity/Q36180" TargetMode="External"/><Relationship Id="rId3341" Type="http://schemas.openxmlformats.org/officeDocument/2006/relationships/hyperlink" Target="http://www.wikidata.org/entity/Q3621491" TargetMode="External"/><Relationship Id="rId2012" Type="http://schemas.openxmlformats.org/officeDocument/2006/relationships/hyperlink" Target="http://commons.wikimedia.org/wiki/Special:FilePath/Adrianus%20Bogaers.jpg" TargetMode="External"/><Relationship Id="rId3344" Type="http://schemas.openxmlformats.org/officeDocument/2006/relationships/hyperlink" Target="http://commons.wikimedia.org/wiki/Special:FilePath/Gustaaf%20Louise%20Oda%20Hugo%20Verriest%20in%201861.jpg" TargetMode="External"/><Relationship Id="rId2013" Type="http://schemas.openxmlformats.org/officeDocument/2006/relationships/hyperlink" Target="http://www.wikidata.org/entity/Q5580544" TargetMode="External"/><Relationship Id="rId3343" Type="http://schemas.openxmlformats.org/officeDocument/2006/relationships/hyperlink" Target="http://www.wikidata.org/entity/Q39631" TargetMode="External"/><Relationship Id="rId2014" Type="http://schemas.openxmlformats.org/officeDocument/2006/relationships/hyperlink" Target="http://www.wikidata.org/entity/Q49757" TargetMode="External"/><Relationship Id="rId3346" Type="http://schemas.openxmlformats.org/officeDocument/2006/relationships/hyperlink" Target="http://www.wikidata.org/entity/Q36180" TargetMode="External"/><Relationship Id="rId2015" Type="http://schemas.openxmlformats.org/officeDocument/2006/relationships/hyperlink" Target="http://commons.wikimedia.org/wiki/Special:FilePath/Adrianus%20Bogaers.jpg" TargetMode="External"/><Relationship Id="rId3345" Type="http://schemas.openxmlformats.org/officeDocument/2006/relationships/hyperlink" Target="http://www.wikidata.org/entity/Q2190493" TargetMode="External"/><Relationship Id="rId2049" Type="http://schemas.openxmlformats.org/officeDocument/2006/relationships/hyperlink" Target="http://www.wikidata.org/entity/Q11029222" TargetMode="External"/><Relationship Id="rId129" Type="http://schemas.openxmlformats.org/officeDocument/2006/relationships/hyperlink" Target="http://commons.wikimedia.org/wiki/Special:FilePath/Portret%20van%20Albert%20Verwey%20Rijksmuseum%20SK-C-1680.jpeg" TargetMode="External"/><Relationship Id="rId128" Type="http://schemas.openxmlformats.org/officeDocument/2006/relationships/hyperlink" Target="http://www.wikidata.org/entity/Q4263842" TargetMode="External"/><Relationship Id="rId127" Type="http://schemas.openxmlformats.org/officeDocument/2006/relationships/hyperlink" Target="http://www.wikidata.org/entity/Q586323" TargetMode="External"/><Relationship Id="rId126" Type="http://schemas.openxmlformats.org/officeDocument/2006/relationships/hyperlink" Target="http://www.wikidata.org/entity/Q1753370" TargetMode="External"/><Relationship Id="rId3371" Type="http://schemas.openxmlformats.org/officeDocument/2006/relationships/hyperlink" Target="http://www.wikidata.org/entity/Q2050293" TargetMode="External"/><Relationship Id="rId2040" Type="http://schemas.openxmlformats.org/officeDocument/2006/relationships/hyperlink" Target="http://www.wikidata.org/entity/Q82955" TargetMode="External"/><Relationship Id="rId3370" Type="http://schemas.openxmlformats.org/officeDocument/2006/relationships/hyperlink" Target="http://commons.wikimedia.org/wiki/Special:FilePath/Alfons%20de%20Cock%2C%20PA05233.jpg" TargetMode="External"/><Relationship Id="rId121" Type="http://schemas.openxmlformats.org/officeDocument/2006/relationships/hyperlink" Target="http://commons.wikimedia.org/wiki/Special:FilePath/Portret%20van%20Albert%20Verwey%20Rijksmuseum%20SK-C-1680.jpeg" TargetMode="External"/><Relationship Id="rId2041" Type="http://schemas.openxmlformats.org/officeDocument/2006/relationships/hyperlink" Target="http://www.wikidata.org/entity/Q43140929" TargetMode="External"/><Relationship Id="rId3373" Type="http://schemas.openxmlformats.org/officeDocument/2006/relationships/hyperlink" Target="http://www.wikidata.org/entity/Q764378" TargetMode="External"/><Relationship Id="rId120" Type="http://schemas.openxmlformats.org/officeDocument/2006/relationships/hyperlink" Target="http://www.wikidata.org/entity/Q333634" TargetMode="External"/><Relationship Id="rId2042" Type="http://schemas.openxmlformats.org/officeDocument/2006/relationships/hyperlink" Target="http://www.wikidata.org/entity/Q876864" TargetMode="External"/><Relationship Id="rId3372" Type="http://schemas.openxmlformats.org/officeDocument/2006/relationships/hyperlink" Target="http://www.wikidata.org/entity/Q2251335" TargetMode="External"/><Relationship Id="rId2043" Type="http://schemas.openxmlformats.org/officeDocument/2006/relationships/hyperlink" Target="http://www.wikidata.org/entity/Q2539969" TargetMode="External"/><Relationship Id="rId3375" Type="http://schemas.openxmlformats.org/officeDocument/2006/relationships/hyperlink" Target="http://commons.wikimedia.org/wiki/Special:FilePath/AugustVermeylen2.jpg" TargetMode="External"/><Relationship Id="rId2044" Type="http://schemas.openxmlformats.org/officeDocument/2006/relationships/hyperlink" Target="http://www.wikidata.org/entity/Q82955" TargetMode="External"/><Relationship Id="rId3374" Type="http://schemas.openxmlformats.org/officeDocument/2006/relationships/hyperlink" Target="http://www.wikidata.org/entity/Q1792450" TargetMode="External"/><Relationship Id="rId125" Type="http://schemas.openxmlformats.org/officeDocument/2006/relationships/hyperlink" Target="http://www.wikidata.org/entity/Q3163681" TargetMode="External"/><Relationship Id="rId2045" Type="http://schemas.openxmlformats.org/officeDocument/2006/relationships/hyperlink" Target="http://commons.wikimedia.org/wiki/Special:FilePath/Alfons%20Siffer%201850-1941.jpg" TargetMode="External"/><Relationship Id="rId3377" Type="http://schemas.openxmlformats.org/officeDocument/2006/relationships/hyperlink" Target="http://www.wikidata.org/entity/Q1622272" TargetMode="External"/><Relationship Id="rId124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2046" Type="http://schemas.openxmlformats.org/officeDocument/2006/relationships/hyperlink" Target="http://www.wikidata.org/entity/Q721772" TargetMode="External"/><Relationship Id="rId3376" Type="http://schemas.openxmlformats.org/officeDocument/2006/relationships/hyperlink" Target="http://www.wikidata.org/entity/Q2190493" TargetMode="External"/><Relationship Id="rId123" Type="http://schemas.openxmlformats.org/officeDocument/2006/relationships/hyperlink" Target="http://www.wikidata.org/entity/Q1753370" TargetMode="External"/><Relationship Id="rId2047" Type="http://schemas.openxmlformats.org/officeDocument/2006/relationships/hyperlink" Target="http://www.wikidata.org/entity/Q40348" TargetMode="External"/><Relationship Id="rId3379" Type="http://schemas.openxmlformats.org/officeDocument/2006/relationships/hyperlink" Target="http://www.wikidata.org/entity/Q3557112" TargetMode="External"/><Relationship Id="rId122" Type="http://schemas.openxmlformats.org/officeDocument/2006/relationships/hyperlink" Target="http://www.wikidata.org/entity/Q2191260" TargetMode="External"/><Relationship Id="rId2048" Type="http://schemas.openxmlformats.org/officeDocument/2006/relationships/hyperlink" Target="http://commons.wikimedia.org/wiki/Special:FilePath/Jules%20van%20den%20Peereboom.jpg" TargetMode="External"/><Relationship Id="rId3378" Type="http://schemas.openxmlformats.org/officeDocument/2006/relationships/hyperlink" Target="http://commons.wikimedia.org/wiki/Special:FilePath/Gustaaf%20Louise%20Oda%20Hugo%20Verriest%20in%201861.jpg" TargetMode="External"/><Relationship Id="rId2038" Type="http://schemas.openxmlformats.org/officeDocument/2006/relationships/hyperlink" Target="http://www.wikidata.org/entity/Q2675537" TargetMode="External"/><Relationship Id="rId2039" Type="http://schemas.openxmlformats.org/officeDocument/2006/relationships/hyperlink" Target="http://www.wikidata.org/entity/Q43140929" TargetMode="External"/><Relationship Id="rId3369" Type="http://schemas.openxmlformats.org/officeDocument/2006/relationships/hyperlink" Target="http://www.wikidata.org/entity/Q36180" TargetMode="External"/><Relationship Id="rId118" Type="http://schemas.openxmlformats.org/officeDocument/2006/relationships/hyperlink" Target="http://commons.wikimedia.org/wiki/Special:FilePath/Stijn%20Streuvels%20by%20Modest%20Huys%20%28cropped%29.jpg" TargetMode="External"/><Relationship Id="rId117" Type="http://schemas.openxmlformats.org/officeDocument/2006/relationships/hyperlink" Target="http://www.wikidata.org/entity/Q160131" TargetMode="External"/><Relationship Id="rId116" Type="http://schemas.openxmlformats.org/officeDocument/2006/relationships/hyperlink" Target="http://www.wikidata.org/entity/Q175669" TargetMode="External"/><Relationship Id="rId115" Type="http://schemas.openxmlformats.org/officeDocument/2006/relationships/hyperlink" Target="http://commons.wikimedia.org/wiki/Special:FilePath/Stijn%20Streuvels%20by%20Modest%20Huys.jpg" TargetMode="External"/><Relationship Id="rId3360" Type="http://schemas.openxmlformats.org/officeDocument/2006/relationships/hyperlink" Target="http://www.wikidata.org/entity/Q82955" TargetMode="External"/><Relationship Id="rId119" Type="http://schemas.openxmlformats.org/officeDocument/2006/relationships/hyperlink" Target="http://www.wikidata.org/entity/Q586323" TargetMode="External"/><Relationship Id="rId110" Type="http://schemas.openxmlformats.org/officeDocument/2006/relationships/hyperlink" Target="http://www.wikidata.org/entity/Q2191260" TargetMode="External"/><Relationship Id="rId2030" Type="http://schemas.openxmlformats.org/officeDocument/2006/relationships/hyperlink" Target="http://www.wikidata.org/entity/Q589298" TargetMode="External"/><Relationship Id="rId3362" Type="http://schemas.openxmlformats.org/officeDocument/2006/relationships/hyperlink" Target="http://www.wikidata.org/entity/Q214917" TargetMode="External"/><Relationship Id="rId2031" Type="http://schemas.openxmlformats.org/officeDocument/2006/relationships/hyperlink" Target="http://www.wikidata.org/entity/Q322106" TargetMode="External"/><Relationship Id="rId3361" Type="http://schemas.openxmlformats.org/officeDocument/2006/relationships/hyperlink" Target="http://www.wikidata.org/entity/Q2050293" TargetMode="External"/><Relationship Id="rId2032" Type="http://schemas.openxmlformats.org/officeDocument/2006/relationships/hyperlink" Target="http://www.wikidata.org/entity/Q13418253" TargetMode="External"/><Relationship Id="rId3364" Type="http://schemas.openxmlformats.org/officeDocument/2006/relationships/hyperlink" Target="http://www.wikidata.org/entity/Q250867" TargetMode="External"/><Relationship Id="rId2033" Type="http://schemas.openxmlformats.org/officeDocument/2006/relationships/hyperlink" Target="http://commons.wikimedia.org/wiki/Special:FilePath/Portrait%20of%20Walter%20William%20Skeat.jpg" TargetMode="External"/><Relationship Id="rId3363" Type="http://schemas.openxmlformats.org/officeDocument/2006/relationships/hyperlink" Target="http://www.wikidata.org/entity/Q2050293" TargetMode="External"/><Relationship Id="rId114" Type="http://schemas.openxmlformats.org/officeDocument/2006/relationships/hyperlink" Target="http://www.wikidata.org/entity/Q160131" TargetMode="External"/><Relationship Id="rId2034" Type="http://schemas.openxmlformats.org/officeDocument/2006/relationships/hyperlink" Target="http://www.wikidata.org/entity/Q29019503" TargetMode="External"/><Relationship Id="rId3366" Type="http://schemas.openxmlformats.org/officeDocument/2006/relationships/hyperlink" Target="http://www.wikidata.org/entity/Q6673651" TargetMode="External"/><Relationship Id="rId113" Type="http://schemas.openxmlformats.org/officeDocument/2006/relationships/hyperlink" Target="http://www.wikidata.org/entity/Q175669" TargetMode="External"/><Relationship Id="rId2035" Type="http://schemas.openxmlformats.org/officeDocument/2006/relationships/hyperlink" Target="http://www.wikidata.org/entity/Q182436" TargetMode="External"/><Relationship Id="rId3365" Type="http://schemas.openxmlformats.org/officeDocument/2006/relationships/hyperlink" Target="http://www.wikidata.org/entity/Q764378" TargetMode="External"/><Relationship Id="rId112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2036" Type="http://schemas.openxmlformats.org/officeDocument/2006/relationships/hyperlink" Target="http://commons.wikimedia.org/wiki/Special:FilePath/WillemDeVreese.jpg" TargetMode="External"/><Relationship Id="rId3368" Type="http://schemas.openxmlformats.org/officeDocument/2006/relationships/hyperlink" Target="http://www.wikidata.org/entity/Q2100582" TargetMode="External"/><Relationship Id="rId111" Type="http://schemas.openxmlformats.org/officeDocument/2006/relationships/hyperlink" Target="http://www.wikidata.org/entity/Q611644" TargetMode="External"/><Relationship Id="rId2037" Type="http://schemas.openxmlformats.org/officeDocument/2006/relationships/hyperlink" Target="http://www.wikidata.org/entity/Q2266893" TargetMode="External"/><Relationship Id="rId3367" Type="http://schemas.openxmlformats.org/officeDocument/2006/relationships/hyperlink" Target="http://commons.wikimedia.org/wiki/Special:FilePath/AugustVermeylen2.jpg" TargetMode="External"/><Relationship Id="rId3315" Type="http://schemas.openxmlformats.org/officeDocument/2006/relationships/hyperlink" Target="http://commons.wikimedia.org/wiki/Special:FilePath/Adolf%20Duclos001.jpg" TargetMode="External"/><Relationship Id="rId3314" Type="http://schemas.openxmlformats.org/officeDocument/2006/relationships/hyperlink" Target="http://www.wikidata.org/entity/Q201788" TargetMode="External"/><Relationship Id="rId3317" Type="http://schemas.openxmlformats.org/officeDocument/2006/relationships/hyperlink" Target="http://www.wikidata.org/entity/Q2251335" TargetMode="External"/><Relationship Id="rId3316" Type="http://schemas.openxmlformats.org/officeDocument/2006/relationships/hyperlink" Target="http://www.wikidata.org/entity/Q2524668" TargetMode="External"/><Relationship Id="rId3319" Type="http://schemas.openxmlformats.org/officeDocument/2006/relationships/hyperlink" Target="http://www.wikidata.org/entity/Q2360599" TargetMode="External"/><Relationship Id="rId3318" Type="http://schemas.openxmlformats.org/officeDocument/2006/relationships/hyperlink" Target="http://commons.wikimedia.org/wiki/Special:FilePath/Adolf%20Duclos001.jpg" TargetMode="External"/><Relationship Id="rId3311" Type="http://schemas.openxmlformats.org/officeDocument/2006/relationships/hyperlink" Target="http://www.wikidata.org/entity/Q1281618" TargetMode="External"/><Relationship Id="rId3310" Type="http://schemas.openxmlformats.org/officeDocument/2006/relationships/hyperlink" Target="http://www.wikidata.org/entity/Q2677198" TargetMode="External"/><Relationship Id="rId3313" Type="http://schemas.openxmlformats.org/officeDocument/2006/relationships/hyperlink" Target="http://www.wikidata.org/entity/Q2524668" TargetMode="External"/><Relationship Id="rId3312" Type="http://schemas.openxmlformats.org/officeDocument/2006/relationships/hyperlink" Target="http://commons.wikimedia.org/wiki/Special:FilePath/Jules%20Lagae%20%281862-1931%29.jpg" TargetMode="External"/><Relationship Id="rId3304" Type="http://schemas.openxmlformats.org/officeDocument/2006/relationships/hyperlink" Target="http://commons.wikimedia.org/wiki/Special:FilePath/Adolf%20Duclos001.jpg" TargetMode="External"/><Relationship Id="rId3303" Type="http://schemas.openxmlformats.org/officeDocument/2006/relationships/hyperlink" Target="http://www.wikidata.org/entity/Q955464" TargetMode="External"/><Relationship Id="rId3306" Type="http://schemas.openxmlformats.org/officeDocument/2006/relationships/hyperlink" Target="http://www.wikidata.org/entity/Q36180" TargetMode="External"/><Relationship Id="rId3305" Type="http://schemas.openxmlformats.org/officeDocument/2006/relationships/hyperlink" Target="http://www.wikidata.org/entity/Q764378" TargetMode="External"/><Relationship Id="rId3308" Type="http://schemas.openxmlformats.org/officeDocument/2006/relationships/hyperlink" Target="http://www.wikidata.org/entity/Q2050293" TargetMode="External"/><Relationship Id="rId3307" Type="http://schemas.openxmlformats.org/officeDocument/2006/relationships/hyperlink" Target="http://commons.wikimedia.org/wiki/Special:FilePath/AugustVermeylen2.jpg" TargetMode="External"/><Relationship Id="rId3309" Type="http://schemas.openxmlformats.org/officeDocument/2006/relationships/hyperlink" Target="http://www.wikidata.org/entity/Q114371470" TargetMode="External"/><Relationship Id="rId3300" Type="http://schemas.openxmlformats.org/officeDocument/2006/relationships/hyperlink" Target="http://www.wikidata.org/entity/Q3531475" TargetMode="External"/><Relationship Id="rId3302" Type="http://schemas.openxmlformats.org/officeDocument/2006/relationships/hyperlink" Target="http://www.wikidata.org/entity/Q2524668" TargetMode="External"/><Relationship Id="rId3301" Type="http://schemas.openxmlformats.org/officeDocument/2006/relationships/hyperlink" Target="http://www.wikidata.org/entity/Q2251335" TargetMode="External"/><Relationship Id="rId2005" Type="http://schemas.openxmlformats.org/officeDocument/2006/relationships/hyperlink" Target="http://www.wikidata.org/entity/Q40348" TargetMode="External"/><Relationship Id="rId3337" Type="http://schemas.openxmlformats.org/officeDocument/2006/relationships/hyperlink" Target="http://www.wikidata.org/entity/Q2100582" TargetMode="External"/><Relationship Id="rId2006" Type="http://schemas.openxmlformats.org/officeDocument/2006/relationships/hyperlink" Target="http://commons.wikimedia.org/wiki/Special:FilePath/Adrianus%20Bogaers.jpg" TargetMode="External"/><Relationship Id="rId3336" Type="http://schemas.openxmlformats.org/officeDocument/2006/relationships/hyperlink" Target="http://commons.wikimedia.org/wiki/Special:FilePath/Victor%20De%20la%20Montagne.png" TargetMode="External"/><Relationship Id="rId2007" Type="http://schemas.openxmlformats.org/officeDocument/2006/relationships/hyperlink" Target="http://www.wikidata.org/entity/Q5580544" TargetMode="External"/><Relationship Id="rId3339" Type="http://schemas.openxmlformats.org/officeDocument/2006/relationships/hyperlink" Target="http://commons.wikimedia.org/wiki/Special:FilePath/Alfons%20de%20Cock%2C%20PA05233.jpg" TargetMode="External"/><Relationship Id="rId2008" Type="http://schemas.openxmlformats.org/officeDocument/2006/relationships/hyperlink" Target="http://www.wikidata.org/entity/Q16533" TargetMode="External"/><Relationship Id="rId3338" Type="http://schemas.openxmlformats.org/officeDocument/2006/relationships/hyperlink" Target="http://www.wikidata.org/entity/Q4773904" TargetMode="External"/><Relationship Id="rId2009" Type="http://schemas.openxmlformats.org/officeDocument/2006/relationships/hyperlink" Target="http://commons.wikimedia.org/wiki/Special:FilePath/Adrianus%20Bogaers.jpg" TargetMode="External"/><Relationship Id="rId3331" Type="http://schemas.openxmlformats.org/officeDocument/2006/relationships/hyperlink" Target="http://commons.wikimedia.org/wiki/Special:FilePath/Frederic%20Mistral%20portrait%20photo.jpg" TargetMode="External"/><Relationship Id="rId2000" Type="http://schemas.openxmlformats.org/officeDocument/2006/relationships/hyperlink" Target="http://www.wikidata.org/entity/Q2215154" TargetMode="External"/><Relationship Id="rId3330" Type="http://schemas.openxmlformats.org/officeDocument/2006/relationships/hyperlink" Target="http://www.wikidata.org/entity/Q49757" TargetMode="External"/><Relationship Id="rId2001" Type="http://schemas.openxmlformats.org/officeDocument/2006/relationships/hyperlink" Target="http://www.wikidata.org/entity/Q1753370" TargetMode="External"/><Relationship Id="rId3333" Type="http://schemas.openxmlformats.org/officeDocument/2006/relationships/hyperlink" Target="http://www.wikidata.org/entity/Q674426" TargetMode="External"/><Relationship Id="rId2002" Type="http://schemas.openxmlformats.org/officeDocument/2006/relationships/hyperlink" Target="http://www.wikidata.org/entity/Q7190386" TargetMode="External"/><Relationship Id="rId3332" Type="http://schemas.openxmlformats.org/officeDocument/2006/relationships/hyperlink" Target="http://www.wikidata.org/entity/Q2163210" TargetMode="External"/><Relationship Id="rId2003" Type="http://schemas.openxmlformats.org/officeDocument/2006/relationships/hyperlink" Target="http://www.wikidata.org/entity/Q435940" TargetMode="External"/><Relationship Id="rId3335" Type="http://schemas.openxmlformats.org/officeDocument/2006/relationships/hyperlink" Target="http://www.wikidata.org/entity/Q214917" TargetMode="External"/><Relationship Id="rId2004" Type="http://schemas.openxmlformats.org/officeDocument/2006/relationships/hyperlink" Target="http://www.wikidata.org/entity/Q5580544" TargetMode="External"/><Relationship Id="rId3334" Type="http://schemas.openxmlformats.org/officeDocument/2006/relationships/hyperlink" Target="http://www.wikidata.org/entity/Q3557112" TargetMode="External"/><Relationship Id="rId3326" Type="http://schemas.openxmlformats.org/officeDocument/2006/relationships/hyperlink" Target="http://www.wikidata.org/entity/Q42596" TargetMode="External"/><Relationship Id="rId3325" Type="http://schemas.openxmlformats.org/officeDocument/2006/relationships/hyperlink" Target="http://www.wikidata.org/entity/Q201788" TargetMode="External"/><Relationship Id="rId3328" Type="http://schemas.openxmlformats.org/officeDocument/2006/relationships/hyperlink" Target="http://commons.wikimedia.org/wiki/Special:FilePath/Frederic%20Mistral%20portrait%20photo.jpg" TargetMode="External"/><Relationship Id="rId3327" Type="http://schemas.openxmlformats.org/officeDocument/2006/relationships/hyperlink" Target="http://www.wikidata.org/entity/Q36180" TargetMode="External"/><Relationship Id="rId3329" Type="http://schemas.openxmlformats.org/officeDocument/2006/relationships/hyperlink" Target="http://www.wikidata.org/entity/Q42596" TargetMode="External"/><Relationship Id="rId3320" Type="http://schemas.openxmlformats.org/officeDocument/2006/relationships/hyperlink" Target="http://www.wikidata.org/entity/Q2516866" TargetMode="External"/><Relationship Id="rId3322" Type="http://schemas.openxmlformats.org/officeDocument/2006/relationships/hyperlink" Target="http://www.wikidata.org/entity/Q2163210" TargetMode="External"/><Relationship Id="rId3321" Type="http://schemas.openxmlformats.org/officeDocument/2006/relationships/hyperlink" Target="http://commons.wikimedia.org/wiki/Special:FilePath/Wytterick%2023.JPG" TargetMode="External"/><Relationship Id="rId3324" Type="http://schemas.openxmlformats.org/officeDocument/2006/relationships/hyperlink" Target="http://www.wikidata.org/entity/Q2163210" TargetMode="External"/><Relationship Id="rId3323" Type="http://schemas.openxmlformats.org/officeDocument/2006/relationships/hyperlink" Target="http://www.wikidata.org/entity/Q82955" TargetMode="External"/><Relationship Id="rId2090" Type="http://schemas.openxmlformats.org/officeDocument/2006/relationships/hyperlink" Target="http://www.wikidata.org/entity/Q2516866" TargetMode="External"/><Relationship Id="rId2091" Type="http://schemas.openxmlformats.org/officeDocument/2006/relationships/hyperlink" Target="http://www.wikidata.org/entity/Q322106" TargetMode="External"/><Relationship Id="rId2092" Type="http://schemas.openxmlformats.org/officeDocument/2006/relationships/hyperlink" Target="http://www.wikidata.org/entity/Q36180" TargetMode="External"/><Relationship Id="rId2093" Type="http://schemas.openxmlformats.org/officeDocument/2006/relationships/hyperlink" Target="http://commons.wikimedia.org/wiki/Special:FilePath/Portrait%20of%20Walter%20William%20Skeat.jpg" TargetMode="External"/><Relationship Id="rId2094" Type="http://schemas.openxmlformats.org/officeDocument/2006/relationships/hyperlink" Target="http://www.wikidata.org/entity/Q13576607" TargetMode="External"/><Relationship Id="rId2095" Type="http://schemas.openxmlformats.org/officeDocument/2006/relationships/hyperlink" Target="http://www.wikidata.org/entity/Q82955" TargetMode="External"/><Relationship Id="rId2096" Type="http://schemas.openxmlformats.org/officeDocument/2006/relationships/hyperlink" Target="http://www.wikidata.org/entity/Q13576607" TargetMode="External"/><Relationship Id="rId2097" Type="http://schemas.openxmlformats.org/officeDocument/2006/relationships/hyperlink" Target="http://www.wikidata.org/entity/Q589298" TargetMode="External"/><Relationship Id="rId2098" Type="http://schemas.openxmlformats.org/officeDocument/2006/relationships/hyperlink" Target="http://www.wikidata.org/entity/Q2332586" TargetMode="External"/><Relationship Id="rId2099" Type="http://schemas.openxmlformats.org/officeDocument/2006/relationships/hyperlink" Target="http://www.wikidata.org/entity/Q82955" TargetMode="External"/><Relationship Id="rId3391" Type="http://schemas.openxmlformats.org/officeDocument/2006/relationships/hyperlink" Target="http://www.wikidata.org/entity/Q42973" TargetMode="External"/><Relationship Id="rId2060" Type="http://schemas.openxmlformats.org/officeDocument/2006/relationships/hyperlink" Target="http://commons.wikimedia.org/wiki/Special:FilePath/WillemDeVreese.jpg" TargetMode="External"/><Relationship Id="rId3390" Type="http://schemas.openxmlformats.org/officeDocument/2006/relationships/hyperlink" Target="http://www.wikidata.org/entity/Q5006521" TargetMode="External"/><Relationship Id="rId2061" Type="http://schemas.openxmlformats.org/officeDocument/2006/relationships/hyperlink" Target="http://www.wikidata.org/entity/Q3080591" TargetMode="External"/><Relationship Id="rId3393" Type="http://schemas.openxmlformats.org/officeDocument/2006/relationships/hyperlink" Target="http://www.wikidata.org/entity/Q2524668" TargetMode="External"/><Relationship Id="rId2062" Type="http://schemas.openxmlformats.org/officeDocument/2006/relationships/hyperlink" Target="http://www.wikidata.org/entity/Q82955" TargetMode="External"/><Relationship Id="rId3392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2063" Type="http://schemas.openxmlformats.org/officeDocument/2006/relationships/hyperlink" Target="http://www.wikidata.org/entity/Q322106" TargetMode="External"/><Relationship Id="rId3395" Type="http://schemas.openxmlformats.org/officeDocument/2006/relationships/hyperlink" Target="http://commons.wikimedia.org/wiki/Special:FilePath/Adolf%20Duclos001.jpg" TargetMode="External"/><Relationship Id="rId2064" Type="http://schemas.openxmlformats.org/officeDocument/2006/relationships/hyperlink" Target="http://www.wikidata.org/entity/Q16312408" TargetMode="External"/><Relationship Id="rId3394" Type="http://schemas.openxmlformats.org/officeDocument/2006/relationships/hyperlink" Target="http://www.wikidata.org/entity/Q36180" TargetMode="External"/><Relationship Id="rId2065" Type="http://schemas.openxmlformats.org/officeDocument/2006/relationships/hyperlink" Target="http://commons.wikimedia.org/wiki/Special:FilePath/Portrait%20of%20Walter%20William%20Skeat.jpg" TargetMode="External"/><Relationship Id="rId3397" Type="http://schemas.openxmlformats.org/officeDocument/2006/relationships/hyperlink" Target="http://www.wikidata.org/entity/Q2251335" TargetMode="External"/><Relationship Id="rId2066" Type="http://schemas.openxmlformats.org/officeDocument/2006/relationships/hyperlink" Target="http://www.wikidata.org/entity/Q2154331" TargetMode="External"/><Relationship Id="rId3396" Type="http://schemas.openxmlformats.org/officeDocument/2006/relationships/hyperlink" Target="http://www.wikidata.org/entity/Q2099446" TargetMode="External"/><Relationship Id="rId2067" Type="http://schemas.openxmlformats.org/officeDocument/2006/relationships/hyperlink" Target="http://www.wikidata.org/entity/Q36180" TargetMode="External"/><Relationship Id="rId3399" Type="http://schemas.openxmlformats.org/officeDocument/2006/relationships/hyperlink" Target="http://www.wikidata.org/entity/Q2050293" TargetMode="External"/><Relationship Id="rId2068" Type="http://schemas.openxmlformats.org/officeDocument/2006/relationships/hyperlink" Target="http://www.wikidata.org/entity/Q2154331" TargetMode="External"/><Relationship Id="rId3398" Type="http://schemas.openxmlformats.org/officeDocument/2006/relationships/hyperlink" Target="http://commons.wikimedia.org/wiki/Special:FilePath/Amaat%20Joos.jpg" TargetMode="External"/><Relationship Id="rId2069" Type="http://schemas.openxmlformats.org/officeDocument/2006/relationships/hyperlink" Target="http://www.wikidata.org/entity/Q49757" TargetMode="External"/><Relationship Id="rId3380" Type="http://schemas.openxmlformats.org/officeDocument/2006/relationships/hyperlink" Target="http://www.wikidata.org/entity/Q49757" TargetMode="External"/><Relationship Id="rId2050" Type="http://schemas.openxmlformats.org/officeDocument/2006/relationships/hyperlink" Target="http://www.wikidata.org/entity/Q1281618" TargetMode="External"/><Relationship Id="rId3382" Type="http://schemas.openxmlformats.org/officeDocument/2006/relationships/hyperlink" Target="http://www.wikidata.org/entity/Q2099446" TargetMode="External"/><Relationship Id="rId2051" Type="http://schemas.openxmlformats.org/officeDocument/2006/relationships/hyperlink" Target="http://commons.wikimedia.org/wiki/Special:FilePath/Hendrik%20Pickery%20gedenkteken%20R03.jpg" TargetMode="External"/><Relationship Id="rId3381" Type="http://schemas.openxmlformats.org/officeDocument/2006/relationships/hyperlink" Target="http://commons.wikimedia.org/wiki/Special:FilePath/Victor%20De%20la%20Montagne.png" TargetMode="External"/><Relationship Id="rId2052" Type="http://schemas.openxmlformats.org/officeDocument/2006/relationships/hyperlink" Target="http://www.wikidata.org/entity/Q55420570" TargetMode="External"/><Relationship Id="rId3384" Type="http://schemas.openxmlformats.org/officeDocument/2006/relationships/hyperlink" Target="http://commons.wikimedia.org/wiki/Special:FilePath/Amaat%20Joos.jpg" TargetMode="External"/><Relationship Id="rId2053" Type="http://schemas.openxmlformats.org/officeDocument/2006/relationships/hyperlink" Target="http://www.wikidata.org/entity/Q955464" TargetMode="External"/><Relationship Id="rId3383" Type="http://schemas.openxmlformats.org/officeDocument/2006/relationships/hyperlink" Target="http://www.wikidata.org/entity/Q82955" TargetMode="External"/><Relationship Id="rId2054" Type="http://schemas.openxmlformats.org/officeDocument/2006/relationships/hyperlink" Target="http://www.wikidata.org/entity/Q55420570" TargetMode="External"/><Relationship Id="rId3386" Type="http://schemas.openxmlformats.org/officeDocument/2006/relationships/hyperlink" Target="http://www.wikidata.org/entity/Q250867" TargetMode="External"/><Relationship Id="rId2055" Type="http://schemas.openxmlformats.org/officeDocument/2006/relationships/hyperlink" Target="http://www.wikidata.org/entity/Q250867" TargetMode="External"/><Relationship Id="rId3385" Type="http://schemas.openxmlformats.org/officeDocument/2006/relationships/hyperlink" Target="http://www.wikidata.org/entity/Q2524668" TargetMode="External"/><Relationship Id="rId2056" Type="http://schemas.openxmlformats.org/officeDocument/2006/relationships/hyperlink" Target="http://www.wikidata.org/entity/Q7190386" TargetMode="External"/><Relationship Id="rId3388" Type="http://schemas.openxmlformats.org/officeDocument/2006/relationships/hyperlink" Target="http://www.wikidata.org/entity/Q2658862" TargetMode="External"/><Relationship Id="rId2057" Type="http://schemas.openxmlformats.org/officeDocument/2006/relationships/hyperlink" Target="http://www.wikidata.org/entity/Q42603" TargetMode="External"/><Relationship Id="rId3387" Type="http://schemas.openxmlformats.org/officeDocument/2006/relationships/hyperlink" Target="http://commons.wikimedia.org/wiki/Special:FilePath/Adolf%20Duclos001.jpg" TargetMode="External"/><Relationship Id="rId2058" Type="http://schemas.openxmlformats.org/officeDocument/2006/relationships/hyperlink" Target="http://www.wikidata.org/entity/Q29019503" TargetMode="External"/><Relationship Id="rId2059" Type="http://schemas.openxmlformats.org/officeDocument/2006/relationships/hyperlink" Target="http://www.wikidata.org/entity/Q876864" TargetMode="External"/><Relationship Id="rId3389" Type="http://schemas.openxmlformats.org/officeDocument/2006/relationships/hyperlink" Target="http://www.wikidata.org/entity/Q114371470" TargetMode="External"/><Relationship Id="rId2080" Type="http://schemas.openxmlformats.org/officeDocument/2006/relationships/hyperlink" Target="http://www.wikidata.org/entity/Q14467526" TargetMode="External"/><Relationship Id="rId2081" Type="http://schemas.openxmlformats.org/officeDocument/2006/relationships/hyperlink" Target="http://commons.wikimedia.org/wiki/Special:FilePath/Portrait%20of%20Walter%20William%20Skeat.jpg" TargetMode="External"/><Relationship Id="rId2082" Type="http://schemas.openxmlformats.org/officeDocument/2006/relationships/hyperlink" Target="http://www.wikidata.org/entity/Q2539969" TargetMode="External"/><Relationship Id="rId2083" Type="http://schemas.openxmlformats.org/officeDocument/2006/relationships/hyperlink" Target="http://www.wikidata.org/entity/Q998550" TargetMode="External"/><Relationship Id="rId2084" Type="http://schemas.openxmlformats.org/officeDocument/2006/relationships/hyperlink" Target="http://commons.wikimedia.org/wiki/Special:FilePath/Alfons%20Siffer%201850-1941.jpg" TargetMode="External"/><Relationship Id="rId2085" Type="http://schemas.openxmlformats.org/officeDocument/2006/relationships/hyperlink" Target="http://www.wikidata.org/entity/Q13429634" TargetMode="External"/><Relationship Id="rId2086" Type="http://schemas.openxmlformats.org/officeDocument/2006/relationships/hyperlink" Target="http://www.wikidata.org/entity/Q82955" TargetMode="External"/><Relationship Id="rId2087" Type="http://schemas.openxmlformats.org/officeDocument/2006/relationships/hyperlink" Target="http://www.wikidata.org/entity/Q13429634" TargetMode="External"/><Relationship Id="rId2088" Type="http://schemas.openxmlformats.org/officeDocument/2006/relationships/hyperlink" Target="http://www.wikidata.org/entity/Q635734" TargetMode="External"/><Relationship Id="rId2089" Type="http://schemas.openxmlformats.org/officeDocument/2006/relationships/hyperlink" Target="http://www.wikidata.org/entity/Q13429634" TargetMode="External"/><Relationship Id="rId2070" Type="http://schemas.openxmlformats.org/officeDocument/2006/relationships/hyperlink" Target="http://www.wikidata.org/entity/Q13576607" TargetMode="External"/><Relationship Id="rId2071" Type="http://schemas.openxmlformats.org/officeDocument/2006/relationships/hyperlink" Target="http://www.wikidata.org/entity/Q115706151" TargetMode="External"/><Relationship Id="rId2072" Type="http://schemas.openxmlformats.org/officeDocument/2006/relationships/hyperlink" Target="http://www.wikidata.org/entity/Q2490990" TargetMode="External"/><Relationship Id="rId2073" Type="http://schemas.openxmlformats.org/officeDocument/2006/relationships/hyperlink" Target="http://www.wikidata.org/entity/Q82955" TargetMode="External"/><Relationship Id="rId2074" Type="http://schemas.openxmlformats.org/officeDocument/2006/relationships/hyperlink" Target="http://commons.wikimedia.org/wiki/Special:FilePath/Kortrijk%20Astridpark-11.JPG" TargetMode="External"/><Relationship Id="rId2075" Type="http://schemas.openxmlformats.org/officeDocument/2006/relationships/hyperlink" Target="http://www.wikidata.org/entity/Q2215154" TargetMode="External"/><Relationship Id="rId2076" Type="http://schemas.openxmlformats.org/officeDocument/2006/relationships/hyperlink" Target="http://www.wikidata.org/entity/Q36180" TargetMode="External"/><Relationship Id="rId2077" Type="http://schemas.openxmlformats.org/officeDocument/2006/relationships/hyperlink" Target="http://www.wikidata.org/entity/Q2215154" TargetMode="External"/><Relationship Id="rId2078" Type="http://schemas.openxmlformats.org/officeDocument/2006/relationships/hyperlink" Target="http://www.wikidata.org/entity/Q49757" TargetMode="External"/><Relationship Id="rId2079" Type="http://schemas.openxmlformats.org/officeDocument/2006/relationships/hyperlink" Target="http://www.wikidata.org/entity/Q322106" TargetMode="External"/><Relationship Id="rId2940" Type="http://schemas.openxmlformats.org/officeDocument/2006/relationships/hyperlink" Target="http://www.wikidata.org/entity/Q2251335" TargetMode="External"/><Relationship Id="rId1610" Type="http://schemas.openxmlformats.org/officeDocument/2006/relationships/hyperlink" Target="http://www.wikidata.org/entity/Q118142378" TargetMode="External"/><Relationship Id="rId2941" Type="http://schemas.openxmlformats.org/officeDocument/2006/relationships/hyperlink" Target="http://www.wikidata.org/entity/Q116621407" TargetMode="External"/><Relationship Id="rId1611" Type="http://schemas.openxmlformats.org/officeDocument/2006/relationships/hyperlink" Target="http://www.wikidata.org/entity/Q1753370" TargetMode="External"/><Relationship Id="rId2942" Type="http://schemas.openxmlformats.org/officeDocument/2006/relationships/hyperlink" Target="http://www.wikidata.org/entity/Q175151" TargetMode="External"/><Relationship Id="rId1612" Type="http://schemas.openxmlformats.org/officeDocument/2006/relationships/hyperlink" Target="http://www.wikidata.org/entity/Q119701807" TargetMode="External"/><Relationship Id="rId2943" Type="http://schemas.openxmlformats.org/officeDocument/2006/relationships/hyperlink" Target="http://www.wikidata.org/entity/Q120913841" TargetMode="External"/><Relationship Id="rId1613" Type="http://schemas.openxmlformats.org/officeDocument/2006/relationships/hyperlink" Target="http://www.wikidata.org/entity/Q121594" TargetMode="External"/><Relationship Id="rId2944" Type="http://schemas.openxmlformats.org/officeDocument/2006/relationships/hyperlink" Target="http://www.wikidata.org/entity/Q1753370" TargetMode="External"/><Relationship Id="rId1614" Type="http://schemas.openxmlformats.org/officeDocument/2006/relationships/hyperlink" Target="http://www.wikidata.org/entity/Q116509612" TargetMode="External"/><Relationship Id="rId2945" Type="http://schemas.openxmlformats.org/officeDocument/2006/relationships/hyperlink" Target="http://www.wikidata.org/entity/Q120793054" TargetMode="External"/><Relationship Id="rId1615" Type="http://schemas.openxmlformats.org/officeDocument/2006/relationships/hyperlink" Target="http://www.wikidata.org/entity/Q67205775" TargetMode="External"/><Relationship Id="rId2946" Type="http://schemas.openxmlformats.org/officeDocument/2006/relationships/hyperlink" Target="http://www.wikidata.org/entity/Q1776501" TargetMode="External"/><Relationship Id="rId1616" Type="http://schemas.openxmlformats.org/officeDocument/2006/relationships/hyperlink" Target="http://www.wikidata.org/entity/Q119701807" TargetMode="External"/><Relationship Id="rId2947" Type="http://schemas.openxmlformats.org/officeDocument/2006/relationships/hyperlink" Target="http://www.wikidata.org/entity/Q120999304" TargetMode="External"/><Relationship Id="rId907" Type="http://schemas.openxmlformats.org/officeDocument/2006/relationships/hyperlink" Target="http://commons.wikimedia.org/wiki/Special:FilePath/Jan%20Bols%2C%20borststuk%20door%20E.%20Fabronius.tif" TargetMode="External"/><Relationship Id="rId1617" Type="http://schemas.openxmlformats.org/officeDocument/2006/relationships/hyperlink" Target="http://www.wikidata.org/entity/Q1056391" TargetMode="External"/><Relationship Id="rId2948" Type="http://schemas.openxmlformats.org/officeDocument/2006/relationships/hyperlink" Target="http://www.wikidata.org/entity/Q37226" TargetMode="External"/><Relationship Id="rId906" Type="http://schemas.openxmlformats.org/officeDocument/2006/relationships/hyperlink" Target="http://www.wikidata.org/entity/Q14467526" TargetMode="External"/><Relationship Id="rId1618" Type="http://schemas.openxmlformats.org/officeDocument/2006/relationships/hyperlink" Target="http://www.wikidata.org/entity/Q119701807" TargetMode="External"/><Relationship Id="rId2949" Type="http://schemas.openxmlformats.org/officeDocument/2006/relationships/hyperlink" Target="http://www.wikidata.org/entity/Q125351679" TargetMode="External"/><Relationship Id="rId905" Type="http://schemas.openxmlformats.org/officeDocument/2006/relationships/hyperlink" Target="http://www.wikidata.org/entity/Q1920135" TargetMode="External"/><Relationship Id="rId1619" Type="http://schemas.openxmlformats.org/officeDocument/2006/relationships/hyperlink" Target="http://www.wikidata.org/entity/Q2251335" TargetMode="External"/><Relationship Id="rId904" Type="http://schemas.openxmlformats.org/officeDocument/2006/relationships/hyperlink" Target="http://www.wikidata.org/entity/Q2251335" TargetMode="External"/><Relationship Id="rId909" Type="http://schemas.openxmlformats.org/officeDocument/2006/relationships/hyperlink" Target="http://www.wikidata.org/entity/Q1056391" TargetMode="External"/><Relationship Id="rId908" Type="http://schemas.openxmlformats.org/officeDocument/2006/relationships/hyperlink" Target="http://www.wikidata.org/entity/Q2606766" TargetMode="External"/><Relationship Id="rId903" Type="http://schemas.openxmlformats.org/officeDocument/2006/relationships/hyperlink" Target="http://www.wikidata.org/entity/Q2182589" TargetMode="External"/><Relationship Id="rId902" Type="http://schemas.openxmlformats.org/officeDocument/2006/relationships/hyperlink" Target="http://commons.wikimedia.org/wiki/Special:FilePath/Jan%20Bols%2C%20borststuk%20door%20E.%20Fabronius.tif" TargetMode="External"/><Relationship Id="rId901" Type="http://schemas.openxmlformats.org/officeDocument/2006/relationships/hyperlink" Target="http://www.wikidata.org/entity/Q1056391" TargetMode="External"/><Relationship Id="rId900" Type="http://schemas.openxmlformats.org/officeDocument/2006/relationships/hyperlink" Target="http://www.wikidata.org/entity/Q1920135" TargetMode="External"/><Relationship Id="rId2930" Type="http://schemas.openxmlformats.org/officeDocument/2006/relationships/hyperlink" Target="http://www.wikidata.org/entity/Q1657500" TargetMode="External"/><Relationship Id="rId1600" Type="http://schemas.openxmlformats.org/officeDocument/2006/relationships/hyperlink" Target="http://www.wikidata.org/entity/Q115982545" TargetMode="External"/><Relationship Id="rId2931" Type="http://schemas.openxmlformats.org/officeDocument/2006/relationships/hyperlink" Target="http://www.wikidata.org/entity/Q118175361" TargetMode="External"/><Relationship Id="rId1601" Type="http://schemas.openxmlformats.org/officeDocument/2006/relationships/hyperlink" Target="http://www.wikidata.org/entity/Q1753370" TargetMode="External"/><Relationship Id="rId2932" Type="http://schemas.openxmlformats.org/officeDocument/2006/relationships/hyperlink" Target="http://www.wikidata.org/entity/Q250867" TargetMode="External"/><Relationship Id="rId1602" Type="http://schemas.openxmlformats.org/officeDocument/2006/relationships/hyperlink" Target="http://www.wikidata.org/entity/Q115982548" TargetMode="External"/><Relationship Id="rId2933" Type="http://schemas.openxmlformats.org/officeDocument/2006/relationships/hyperlink" Target="http://www.wikidata.org/entity/Q120640333" TargetMode="External"/><Relationship Id="rId1603" Type="http://schemas.openxmlformats.org/officeDocument/2006/relationships/hyperlink" Target="http://www.wikidata.org/entity/Q1753370" TargetMode="External"/><Relationship Id="rId2934" Type="http://schemas.openxmlformats.org/officeDocument/2006/relationships/hyperlink" Target="http://www.wikidata.org/entity/Q955464" TargetMode="External"/><Relationship Id="rId1604" Type="http://schemas.openxmlformats.org/officeDocument/2006/relationships/hyperlink" Target="http://www.wikidata.org/entity/Q118151362" TargetMode="External"/><Relationship Id="rId2935" Type="http://schemas.openxmlformats.org/officeDocument/2006/relationships/hyperlink" Target="http://www.wikidata.org/entity/Q122971839" TargetMode="External"/><Relationship Id="rId1605" Type="http://schemas.openxmlformats.org/officeDocument/2006/relationships/hyperlink" Target="http://www.wikidata.org/entity/Q955464" TargetMode="External"/><Relationship Id="rId2936" Type="http://schemas.openxmlformats.org/officeDocument/2006/relationships/hyperlink" Target="http://www.wikidata.org/entity/Q1229025" TargetMode="External"/><Relationship Id="rId1606" Type="http://schemas.openxmlformats.org/officeDocument/2006/relationships/hyperlink" Target="http://www.wikidata.org/entity/Q120488044" TargetMode="External"/><Relationship Id="rId2937" Type="http://schemas.openxmlformats.org/officeDocument/2006/relationships/hyperlink" Target="http://www.wikidata.org/entity/Q120640333" TargetMode="External"/><Relationship Id="rId1607" Type="http://schemas.openxmlformats.org/officeDocument/2006/relationships/hyperlink" Target="http://www.wikidata.org/entity/Q37226" TargetMode="External"/><Relationship Id="rId2938" Type="http://schemas.openxmlformats.org/officeDocument/2006/relationships/hyperlink" Target="http://www.wikidata.org/entity/Q250867" TargetMode="External"/><Relationship Id="rId1608" Type="http://schemas.openxmlformats.org/officeDocument/2006/relationships/hyperlink" Target="http://www.wikidata.org/entity/Q118151362" TargetMode="External"/><Relationship Id="rId2939" Type="http://schemas.openxmlformats.org/officeDocument/2006/relationships/hyperlink" Target="http://www.wikidata.org/entity/Q118175361" TargetMode="External"/><Relationship Id="rId1609" Type="http://schemas.openxmlformats.org/officeDocument/2006/relationships/hyperlink" Target="http://www.wikidata.org/entity/Q2251335" TargetMode="External"/><Relationship Id="rId1631" Type="http://schemas.openxmlformats.org/officeDocument/2006/relationships/hyperlink" Target="http://www.wikidata.org/entity/Q45684" TargetMode="External"/><Relationship Id="rId2962" Type="http://schemas.openxmlformats.org/officeDocument/2006/relationships/hyperlink" Target="http://www.wikidata.org/entity/Q191808" TargetMode="External"/><Relationship Id="rId1632" Type="http://schemas.openxmlformats.org/officeDocument/2006/relationships/hyperlink" Target="http://www.wikidata.org/entity/Q118151362" TargetMode="External"/><Relationship Id="rId2963" Type="http://schemas.openxmlformats.org/officeDocument/2006/relationships/hyperlink" Target="http://www.wikidata.org/entity/Q125365561" TargetMode="External"/><Relationship Id="rId1633" Type="http://schemas.openxmlformats.org/officeDocument/2006/relationships/hyperlink" Target="http://www.wikidata.org/entity/Q1753370" TargetMode="External"/><Relationship Id="rId2964" Type="http://schemas.openxmlformats.org/officeDocument/2006/relationships/hyperlink" Target="http://www.wikidata.org/entity/Q191808" TargetMode="External"/><Relationship Id="rId1634" Type="http://schemas.openxmlformats.org/officeDocument/2006/relationships/hyperlink" Target="http://www.wikidata.org/entity/Q116687356" TargetMode="External"/><Relationship Id="rId2965" Type="http://schemas.openxmlformats.org/officeDocument/2006/relationships/hyperlink" Target="http://www.wikidata.org/entity/Q125351679" TargetMode="External"/><Relationship Id="rId1635" Type="http://schemas.openxmlformats.org/officeDocument/2006/relationships/hyperlink" Target="http://www.wikidata.org/entity/Q20814940" TargetMode="External"/><Relationship Id="rId2966" Type="http://schemas.openxmlformats.org/officeDocument/2006/relationships/hyperlink" Target="http://www.wikidata.org/entity/Q23754015" TargetMode="External"/><Relationship Id="rId1636" Type="http://schemas.openxmlformats.org/officeDocument/2006/relationships/hyperlink" Target="http://www.wikidata.org/entity/Q116460145" TargetMode="External"/><Relationship Id="rId2967" Type="http://schemas.openxmlformats.org/officeDocument/2006/relationships/hyperlink" Target="http://www.wikidata.org/entity/Q125365215" TargetMode="External"/><Relationship Id="rId1637" Type="http://schemas.openxmlformats.org/officeDocument/2006/relationships/hyperlink" Target="http://www.wikidata.org/entity/Q36180" TargetMode="External"/><Relationship Id="rId2968" Type="http://schemas.openxmlformats.org/officeDocument/2006/relationships/hyperlink" Target="http://www.wikidata.org/entity/Q1776501" TargetMode="External"/><Relationship Id="rId1638" Type="http://schemas.openxmlformats.org/officeDocument/2006/relationships/hyperlink" Target="http://www.wikidata.org/entity/Q116460145" TargetMode="External"/><Relationship Id="rId2969" Type="http://schemas.openxmlformats.org/officeDocument/2006/relationships/hyperlink" Target="http://www.wikidata.org/entity/Q125491053" TargetMode="External"/><Relationship Id="rId929" Type="http://schemas.openxmlformats.org/officeDocument/2006/relationships/hyperlink" Target="http://www.wikidata.org/entity/Q1056391" TargetMode="External"/><Relationship Id="rId1639" Type="http://schemas.openxmlformats.org/officeDocument/2006/relationships/hyperlink" Target="http://www.wikidata.org/entity/Q49757" TargetMode="External"/><Relationship Id="rId928" Type="http://schemas.openxmlformats.org/officeDocument/2006/relationships/hyperlink" Target="http://www.wikidata.org/entity/Q3032807" TargetMode="External"/><Relationship Id="rId927" Type="http://schemas.openxmlformats.org/officeDocument/2006/relationships/hyperlink" Target="http://www.wikidata.org/entity/Q201788" TargetMode="External"/><Relationship Id="rId926" Type="http://schemas.openxmlformats.org/officeDocument/2006/relationships/hyperlink" Target="http://www.wikidata.org/entity/Q3032807" TargetMode="External"/><Relationship Id="rId921" Type="http://schemas.openxmlformats.org/officeDocument/2006/relationships/hyperlink" Target="http://www.wikidata.org/entity/Q36180" TargetMode="External"/><Relationship Id="rId920" Type="http://schemas.openxmlformats.org/officeDocument/2006/relationships/hyperlink" Target="http://www.wikidata.org/entity/Q1920135" TargetMode="External"/><Relationship Id="rId925" Type="http://schemas.openxmlformats.org/officeDocument/2006/relationships/hyperlink" Target="http://commons.wikimedia.org/wiki/Special:FilePath/Langendonck.jpg" TargetMode="External"/><Relationship Id="rId924" Type="http://schemas.openxmlformats.org/officeDocument/2006/relationships/hyperlink" Target="http://www.wikidata.org/entity/Q11774202" TargetMode="External"/><Relationship Id="rId923" Type="http://schemas.openxmlformats.org/officeDocument/2006/relationships/hyperlink" Target="http://www.wikidata.org/entity/Q2754460" TargetMode="External"/><Relationship Id="rId922" Type="http://schemas.openxmlformats.org/officeDocument/2006/relationships/hyperlink" Target="http://commons.wikimedia.org/wiki/Special:FilePath/Jan%20Bols%2C%20borststuk%20door%20E.%20Fabronius.tif" TargetMode="External"/><Relationship Id="rId2960" Type="http://schemas.openxmlformats.org/officeDocument/2006/relationships/hyperlink" Target="http://www.wikidata.org/entity/Q779280" TargetMode="External"/><Relationship Id="rId1630" Type="http://schemas.openxmlformats.org/officeDocument/2006/relationships/hyperlink" Target="http://www.wikidata.org/entity/Q120721942" TargetMode="External"/><Relationship Id="rId2961" Type="http://schemas.openxmlformats.org/officeDocument/2006/relationships/hyperlink" Target="http://www.wikidata.org/entity/Q125365215" TargetMode="External"/><Relationship Id="rId1620" Type="http://schemas.openxmlformats.org/officeDocument/2006/relationships/hyperlink" Target="http://www.wikidata.org/entity/Q116687401" TargetMode="External"/><Relationship Id="rId2951" Type="http://schemas.openxmlformats.org/officeDocument/2006/relationships/hyperlink" Target="http://www.wikidata.org/entity/Q120489194" TargetMode="External"/><Relationship Id="rId1621" Type="http://schemas.openxmlformats.org/officeDocument/2006/relationships/hyperlink" Target="http://www.wikidata.org/entity/Q7316604" TargetMode="External"/><Relationship Id="rId2952" Type="http://schemas.openxmlformats.org/officeDocument/2006/relationships/hyperlink" Target="http://www.wikidata.org/entity/Q118395622" TargetMode="External"/><Relationship Id="rId1622" Type="http://schemas.openxmlformats.org/officeDocument/2006/relationships/hyperlink" Target="http://www.wikidata.org/entity/Q116687401" TargetMode="External"/><Relationship Id="rId2953" Type="http://schemas.openxmlformats.org/officeDocument/2006/relationships/hyperlink" Target="http://www.wikidata.org/entity/Q120489194" TargetMode="External"/><Relationship Id="rId1623" Type="http://schemas.openxmlformats.org/officeDocument/2006/relationships/hyperlink" Target="http://www.wikidata.org/entity/Q7313543" TargetMode="External"/><Relationship Id="rId2954" Type="http://schemas.openxmlformats.org/officeDocument/2006/relationships/hyperlink" Target="http://www.wikidata.org/entity/Q120489274" TargetMode="External"/><Relationship Id="rId1624" Type="http://schemas.openxmlformats.org/officeDocument/2006/relationships/hyperlink" Target="http://www.wikidata.org/entity/Q118151362" TargetMode="External"/><Relationship Id="rId2955" Type="http://schemas.openxmlformats.org/officeDocument/2006/relationships/hyperlink" Target="http://www.wikidata.org/entity/Q120489194" TargetMode="External"/><Relationship Id="rId1625" Type="http://schemas.openxmlformats.org/officeDocument/2006/relationships/hyperlink" Target="http://www.wikidata.org/entity/Q1469535" TargetMode="External"/><Relationship Id="rId2956" Type="http://schemas.openxmlformats.org/officeDocument/2006/relationships/hyperlink" Target="http://www.wikidata.org/entity/Q250867" TargetMode="External"/><Relationship Id="rId1626" Type="http://schemas.openxmlformats.org/officeDocument/2006/relationships/hyperlink" Target="http://www.wikidata.org/entity/Q118612085" TargetMode="External"/><Relationship Id="rId2957" Type="http://schemas.openxmlformats.org/officeDocument/2006/relationships/hyperlink" Target="http://www.wikidata.org/entity/Q120489194" TargetMode="External"/><Relationship Id="rId1627" Type="http://schemas.openxmlformats.org/officeDocument/2006/relationships/hyperlink" Target="http://www.wikidata.org/entity/Q36180" TargetMode="External"/><Relationship Id="rId2958" Type="http://schemas.openxmlformats.org/officeDocument/2006/relationships/hyperlink" Target="http://www.wikidata.org/entity/Q1056310" TargetMode="External"/><Relationship Id="rId918" Type="http://schemas.openxmlformats.org/officeDocument/2006/relationships/hyperlink" Target="http://www.wikidata.org/entity/Q1231865" TargetMode="External"/><Relationship Id="rId1628" Type="http://schemas.openxmlformats.org/officeDocument/2006/relationships/hyperlink" Target="http://www.wikidata.org/entity/Q116460145" TargetMode="External"/><Relationship Id="rId2959" Type="http://schemas.openxmlformats.org/officeDocument/2006/relationships/hyperlink" Target="http://www.wikidata.org/entity/Q120793054" TargetMode="External"/><Relationship Id="rId917" Type="http://schemas.openxmlformats.org/officeDocument/2006/relationships/hyperlink" Target="http://www.wikidata.org/entity/Q1920135" TargetMode="External"/><Relationship Id="rId1629" Type="http://schemas.openxmlformats.org/officeDocument/2006/relationships/hyperlink" Target="http://www.wikidata.org/entity/Q916292" TargetMode="External"/><Relationship Id="rId916" Type="http://schemas.openxmlformats.org/officeDocument/2006/relationships/hyperlink" Target="http://commons.wikimedia.org/wiki/Special:FilePath/Bartholomew%20Woodlock%2C%20portrait.png" TargetMode="External"/><Relationship Id="rId915" Type="http://schemas.openxmlformats.org/officeDocument/2006/relationships/hyperlink" Target="http://www.wikidata.org/entity/Q250867" TargetMode="External"/><Relationship Id="rId919" Type="http://schemas.openxmlformats.org/officeDocument/2006/relationships/hyperlink" Target="http://commons.wikimedia.org/wiki/Special:FilePath/Jan%20Bols%2C%20borststuk%20door%20E.%20Fabronius.tif" TargetMode="External"/><Relationship Id="rId910" Type="http://schemas.openxmlformats.org/officeDocument/2006/relationships/hyperlink" Target="http://commons.wikimedia.org/wiki/Special:FilePath/G%C3%A9rard%20van%20Caloen%20%28detail%29.jpg" TargetMode="External"/><Relationship Id="rId914" Type="http://schemas.openxmlformats.org/officeDocument/2006/relationships/hyperlink" Target="http://www.wikidata.org/entity/Q4865289" TargetMode="External"/><Relationship Id="rId913" Type="http://schemas.openxmlformats.org/officeDocument/2006/relationships/hyperlink" Target="http://commons.wikimedia.org/wiki/Special:FilePath/G%C3%A9rard%20van%20Caloen%20%28detail%29.jpg" TargetMode="External"/><Relationship Id="rId912" Type="http://schemas.openxmlformats.org/officeDocument/2006/relationships/hyperlink" Target="http://www.wikidata.org/entity/Q250867" TargetMode="External"/><Relationship Id="rId911" Type="http://schemas.openxmlformats.org/officeDocument/2006/relationships/hyperlink" Target="http://www.wikidata.org/entity/Q2606766" TargetMode="External"/><Relationship Id="rId2950" Type="http://schemas.openxmlformats.org/officeDocument/2006/relationships/hyperlink" Target="http://www.wikidata.org/entity/Q7501153" TargetMode="External"/><Relationship Id="rId2900" Type="http://schemas.openxmlformats.org/officeDocument/2006/relationships/hyperlink" Target="http://www.wikidata.org/entity/Q955464" TargetMode="External"/><Relationship Id="rId2901" Type="http://schemas.openxmlformats.org/officeDocument/2006/relationships/hyperlink" Target="http://www.wikidata.org/entity/Q119040354" TargetMode="External"/><Relationship Id="rId2902" Type="http://schemas.openxmlformats.org/officeDocument/2006/relationships/hyperlink" Target="http://www.wikidata.org/entity/Q4594605" TargetMode="External"/><Relationship Id="rId2903" Type="http://schemas.openxmlformats.org/officeDocument/2006/relationships/hyperlink" Target="http://www.wikidata.org/entity/Q120913841" TargetMode="External"/><Relationship Id="rId2904" Type="http://schemas.openxmlformats.org/officeDocument/2006/relationships/hyperlink" Target="http://www.wikidata.org/entity/Q250867" TargetMode="External"/><Relationship Id="rId2905" Type="http://schemas.openxmlformats.org/officeDocument/2006/relationships/hyperlink" Target="http://www.wikidata.org/entity/Q123050649" TargetMode="External"/><Relationship Id="rId2906" Type="http://schemas.openxmlformats.org/officeDocument/2006/relationships/hyperlink" Target="http://www.wikidata.org/entity/Q833860" TargetMode="External"/><Relationship Id="rId2907" Type="http://schemas.openxmlformats.org/officeDocument/2006/relationships/hyperlink" Target="http://www.wikidata.org/entity/Q125334130" TargetMode="External"/><Relationship Id="rId2908" Type="http://schemas.openxmlformats.org/officeDocument/2006/relationships/hyperlink" Target="http://www.wikidata.org/entity/Q3704253" TargetMode="External"/><Relationship Id="rId2909" Type="http://schemas.openxmlformats.org/officeDocument/2006/relationships/hyperlink" Target="http://www.wikidata.org/entity/Q122830932" TargetMode="External"/><Relationship Id="rId2920" Type="http://schemas.openxmlformats.org/officeDocument/2006/relationships/hyperlink" Target="http://www.wikidata.org/entity/Q4991371" TargetMode="External"/><Relationship Id="rId2921" Type="http://schemas.openxmlformats.org/officeDocument/2006/relationships/hyperlink" Target="http://www.wikidata.org/entity/Q125334130" TargetMode="External"/><Relationship Id="rId2922" Type="http://schemas.openxmlformats.org/officeDocument/2006/relationships/hyperlink" Target="http://www.wikidata.org/entity/Q833860" TargetMode="External"/><Relationship Id="rId2923" Type="http://schemas.openxmlformats.org/officeDocument/2006/relationships/hyperlink" Target="http://www.wikidata.org/entity/Q116508893" TargetMode="External"/><Relationship Id="rId2924" Type="http://schemas.openxmlformats.org/officeDocument/2006/relationships/hyperlink" Target="http://commons.wikimedia.org/wiki/Special:FilePath/Bidprentje%20Justine%20Van%20de%20Velde.jpg" TargetMode="External"/><Relationship Id="rId2925" Type="http://schemas.openxmlformats.org/officeDocument/2006/relationships/hyperlink" Target="http://www.wikidata.org/entity/Q118175361" TargetMode="External"/><Relationship Id="rId2926" Type="http://schemas.openxmlformats.org/officeDocument/2006/relationships/hyperlink" Target="http://www.wikidata.org/entity/Q955464" TargetMode="External"/><Relationship Id="rId2927" Type="http://schemas.openxmlformats.org/officeDocument/2006/relationships/hyperlink" Target="http://www.wikidata.org/entity/Q118175361" TargetMode="External"/><Relationship Id="rId2928" Type="http://schemas.openxmlformats.org/officeDocument/2006/relationships/hyperlink" Target="http://www.wikidata.org/entity/Q1072363" TargetMode="External"/><Relationship Id="rId2929" Type="http://schemas.openxmlformats.org/officeDocument/2006/relationships/hyperlink" Target="http://www.wikidata.org/entity/Q120913841" TargetMode="External"/><Relationship Id="rId2910" Type="http://schemas.openxmlformats.org/officeDocument/2006/relationships/hyperlink" Target="http://www.wikidata.org/entity/Q7313543" TargetMode="External"/><Relationship Id="rId2911" Type="http://schemas.openxmlformats.org/officeDocument/2006/relationships/hyperlink" Target="http://www.wikidata.org/entity/Q120793054" TargetMode="External"/><Relationship Id="rId2912" Type="http://schemas.openxmlformats.org/officeDocument/2006/relationships/hyperlink" Target="http://www.wikidata.org/entity/Q250867" TargetMode="External"/><Relationship Id="rId2913" Type="http://schemas.openxmlformats.org/officeDocument/2006/relationships/hyperlink" Target="http://www.wikidata.org/entity/Q120640333" TargetMode="External"/><Relationship Id="rId2914" Type="http://schemas.openxmlformats.org/officeDocument/2006/relationships/hyperlink" Target="http://www.wikidata.org/entity/Q115705951" TargetMode="External"/><Relationship Id="rId2915" Type="http://schemas.openxmlformats.org/officeDocument/2006/relationships/hyperlink" Target="http://www.wikidata.org/entity/Q123416923" TargetMode="External"/><Relationship Id="rId2916" Type="http://schemas.openxmlformats.org/officeDocument/2006/relationships/hyperlink" Target="http://www.wikidata.org/entity/Q37226" TargetMode="External"/><Relationship Id="rId2917" Type="http://schemas.openxmlformats.org/officeDocument/2006/relationships/hyperlink" Target="http://www.wikidata.org/entity/Q125334130" TargetMode="External"/><Relationship Id="rId2918" Type="http://schemas.openxmlformats.org/officeDocument/2006/relationships/hyperlink" Target="http://www.wikidata.org/entity/Q12713481" TargetMode="External"/><Relationship Id="rId2919" Type="http://schemas.openxmlformats.org/officeDocument/2006/relationships/hyperlink" Target="http://www.wikidata.org/entity/Q118732528" TargetMode="External"/><Relationship Id="rId1697" Type="http://schemas.openxmlformats.org/officeDocument/2006/relationships/hyperlink" Target="http://www.wikidata.org/entity/Q1753370" TargetMode="External"/><Relationship Id="rId1698" Type="http://schemas.openxmlformats.org/officeDocument/2006/relationships/hyperlink" Target="http://www.wikidata.org/entity/Q120488044" TargetMode="External"/><Relationship Id="rId1699" Type="http://schemas.openxmlformats.org/officeDocument/2006/relationships/hyperlink" Target="http://www.wikidata.org/entity/Q876864" TargetMode="External"/><Relationship Id="rId866" Type="http://schemas.openxmlformats.org/officeDocument/2006/relationships/hyperlink" Target="http://commons.wikimedia.org/wiki/Special:FilePath/Max%20Rooses.jpg" TargetMode="External"/><Relationship Id="rId865" Type="http://schemas.openxmlformats.org/officeDocument/2006/relationships/hyperlink" Target="http://www.wikidata.org/entity/Q1930187" TargetMode="External"/><Relationship Id="rId864" Type="http://schemas.openxmlformats.org/officeDocument/2006/relationships/hyperlink" Target="http://www.wikidata.org/entity/Q2413334" TargetMode="External"/><Relationship Id="rId863" Type="http://schemas.openxmlformats.org/officeDocument/2006/relationships/hyperlink" Target="http://commons.wikimedia.org/wiki/Special:FilePath/Bartholomew%20Woodlock%2C%20portrait.png" TargetMode="External"/><Relationship Id="rId869" Type="http://schemas.openxmlformats.org/officeDocument/2006/relationships/hyperlink" Target="http://www.wikidata.org/entity/Q970036" TargetMode="External"/><Relationship Id="rId868" Type="http://schemas.openxmlformats.org/officeDocument/2006/relationships/hyperlink" Target="http://www.wikidata.org/entity/Q82955" TargetMode="External"/><Relationship Id="rId867" Type="http://schemas.openxmlformats.org/officeDocument/2006/relationships/hyperlink" Target="http://www.wikidata.org/entity/Q970036" TargetMode="External"/><Relationship Id="rId1690" Type="http://schemas.openxmlformats.org/officeDocument/2006/relationships/hyperlink" Target="http://www.wikidata.org/entity/Q116621487" TargetMode="External"/><Relationship Id="rId1691" Type="http://schemas.openxmlformats.org/officeDocument/2006/relationships/hyperlink" Target="http://www.wikidata.org/entity/Q191808" TargetMode="External"/><Relationship Id="rId1692" Type="http://schemas.openxmlformats.org/officeDocument/2006/relationships/hyperlink" Target="http://www.wikidata.org/entity/Q116687356" TargetMode="External"/><Relationship Id="rId862" Type="http://schemas.openxmlformats.org/officeDocument/2006/relationships/hyperlink" Target="http://www.wikidata.org/entity/Q611644" TargetMode="External"/><Relationship Id="rId1693" Type="http://schemas.openxmlformats.org/officeDocument/2006/relationships/hyperlink" Target="http://www.wikidata.org/entity/Q37226" TargetMode="External"/><Relationship Id="rId861" Type="http://schemas.openxmlformats.org/officeDocument/2006/relationships/hyperlink" Target="http://www.wikidata.org/entity/Q4865289" TargetMode="External"/><Relationship Id="rId1694" Type="http://schemas.openxmlformats.org/officeDocument/2006/relationships/hyperlink" Target="http://www.wikidata.org/entity/Q116621828" TargetMode="External"/><Relationship Id="rId860" Type="http://schemas.openxmlformats.org/officeDocument/2006/relationships/hyperlink" Target="http://commons.wikimedia.org/wiki/Special:FilePath/HugoVerriest.jpg" TargetMode="External"/><Relationship Id="rId1695" Type="http://schemas.openxmlformats.org/officeDocument/2006/relationships/hyperlink" Target="http://www.wikidata.org/entity/Q3023339" TargetMode="External"/><Relationship Id="rId1696" Type="http://schemas.openxmlformats.org/officeDocument/2006/relationships/hyperlink" Target="http://www.wikidata.org/entity/Q115839443" TargetMode="External"/><Relationship Id="rId1686" Type="http://schemas.openxmlformats.org/officeDocument/2006/relationships/hyperlink" Target="http://www.wikidata.org/entity/Q115835156" TargetMode="External"/><Relationship Id="rId1687" Type="http://schemas.openxmlformats.org/officeDocument/2006/relationships/hyperlink" Target="http://www.wikidata.org/entity/Q1753370" TargetMode="External"/><Relationship Id="rId1688" Type="http://schemas.openxmlformats.org/officeDocument/2006/relationships/hyperlink" Target="http://www.wikidata.org/entity/Q116621828" TargetMode="External"/><Relationship Id="rId1689" Type="http://schemas.openxmlformats.org/officeDocument/2006/relationships/hyperlink" Target="http://www.wikidata.org/entity/Q833860" TargetMode="External"/><Relationship Id="rId855" Type="http://schemas.openxmlformats.org/officeDocument/2006/relationships/hyperlink" Target="http://www.wikidata.org/entity/Q2606766" TargetMode="External"/><Relationship Id="rId854" Type="http://schemas.openxmlformats.org/officeDocument/2006/relationships/hyperlink" Target="http://commons.wikimedia.org/wiki/Special:FilePath/Theophiel%20Coopman%20%281852-1915%29.jpg" TargetMode="External"/><Relationship Id="rId853" Type="http://schemas.openxmlformats.org/officeDocument/2006/relationships/hyperlink" Target="http://www.wikidata.org/entity/Q49757" TargetMode="External"/><Relationship Id="rId852" Type="http://schemas.openxmlformats.org/officeDocument/2006/relationships/hyperlink" Target="http://www.wikidata.org/entity/Q719358" TargetMode="External"/><Relationship Id="rId859" Type="http://schemas.openxmlformats.org/officeDocument/2006/relationships/hyperlink" Target="http://www.wikidata.org/entity/Q1056391" TargetMode="External"/><Relationship Id="rId858" Type="http://schemas.openxmlformats.org/officeDocument/2006/relationships/hyperlink" Target="http://www.wikidata.org/entity/Q981444" TargetMode="External"/><Relationship Id="rId857" Type="http://schemas.openxmlformats.org/officeDocument/2006/relationships/hyperlink" Target="http://commons.wikimedia.org/wiki/Special:FilePath/G%C3%A9rard%20van%20Caloen%20%28detail%29.jpg" TargetMode="External"/><Relationship Id="rId856" Type="http://schemas.openxmlformats.org/officeDocument/2006/relationships/hyperlink" Target="http://www.wikidata.org/entity/Q611644" TargetMode="External"/><Relationship Id="rId1680" Type="http://schemas.openxmlformats.org/officeDocument/2006/relationships/hyperlink" Target="http://www.wikidata.org/entity/Q120472271" TargetMode="External"/><Relationship Id="rId1681" Type="http://schemas.openxmlformats.org/officeDocument/2006/relationships/hyperlink" Target="http://www.wikidata.org/entity/Q242468" TargetMode="External"/><Relationship Id="rId851" Type="http://schemas.openxmlformats.org/officeDocument/2006/relationships/hyperlink" Target="http://commons.wikimedia.org/wiki/Special:FilePath/Max%20Rooses.jpg" TargetMode="External"/><Relationship Id="rId1682" Type="http://schemas.openxmlformats.org/officeDocument/2006/relationships/hyperlink" Target="http://www.wikidata.org/entity/Q120472271" TargetMode="External"/><Relationship Id="rId850" Type="http://schemas.openxmlformats.org/officeDocument/2006/relationships/hyperlink" Target="http://www.wikidata.org/entity/Q118395622" TargetMode="External"/><Relationship Id="rId1683" Type="http://schemas.openxmlformats.org/officeDocument/2006/relationships/hyperlink" Target="http://www.wikidata.org/entity/Q2251335" TargetMode="External"/><Relationship Id="rId1684" Type="http://schemas.openxmlformats.org/officeDocument/2006/relationships/hyperlink" Target="http://www.wikidata.org/entity/Q120472271" TargetMode="External"/><Relationship Id="rId1685" Type="http://schemas.openxmlformats.org/officeDocument/2006/relationships/hyperlink" Target="http://www.wikidata.org/entity/Q1104153" TargetMode="External"/><Relationship Id="rId3414" Type="http://schemas.openxmlformats.org/officeDocument/2006/relationships/hyperlink" Target="http://www.wikidata.org/entity/Q2658862" TargetMode="External"/><Relationship Id="rId3413" Type="http://schemas.openxmlformats.org/officeDocument/2006/relationships/hyperlink" Target="http://www.wikidata.org/entity/Q182436" TargetMode="External"/><Relationship Id="rId3416" Type="http://schemas.openxmlformats.org/officeDocument/2006/relationships/hyperlink" Target="http://www.wikidata.org/entity/Q2658862" TargetMode="External"/><Relationship Id="rId3415" Type="http://schemas.openxmlformats.org/officeDocument/2006/relationships/hyperlink" Target="http://www.wikidata.org/entity/Q201788" TargetMode="External"/><Relationship Id="rId3418" Type="http://schemas.openxmlformats.org/officeDocument/2006/relationships/hyperlink" Target="http://www.wikidata.org/entity/Q5026719" TargetMode="External"/><Relationship Id="rId3417" Type="http://schemas.openxmlformats.org/officeDocument/2006/relationships/hyperlink" Target="http://www.wikidata.org/entity/Q250867" TargetMode="External"/><Relationship Id="rId3419" Type="http://schemas.openxmlformats.org/officeDocument/2006/relationships/hyperlink" Target="http://www.wikidata.org/entity/Q250867" TargetMode="External"/><Relationship Id="rId888" Type="http://schemas.openxmlformats.org/officeDocument/2006/relationships/hyperlink" Target="http://www.wikidata.org/entity/Q2606766" TargetMode="External"/><Relationship Id="rId887" Type="http://schemas.openxmlformats.org/officeDocument/2006/relationships/hyperlink" Target="http://www.wikidata.org/entity/Q250867" TargetMode="External"/><Relationship Id="rId886" Type="http://schemas.openxmlformats.org/officeDocument/2006/relationships/hyperlink" Target="http://www.wikidata.org/entity/Q2182589" TargetMode="External"/><Relationship Id="rId885" Type="http://schemas.openxmlformats.org/officeDocument/2006/relationships/hyperlink" Target="http://www.wikidata.org/entity/Q955464" TargetMode="External"/><Relationship Id="rId889" Type="http://schemas.openxmlformats.org/officeDocument/2006/relationships/hyperlink" Target="http://www.wikidata.org/entity/Q219477" TargetMode="External"/><Relationship Id="rId880" Type="http://schemas.openxmlformats.org/officeDocument/2006/relationships/hyperlink" Target="http://www.wikidata.org/entity/Q2516866" TargetMode="External"/><Relationship Id="rId884" Type="http://schemas.openxmlformats.org/officeDocument/2006/relationships/hyperlink" Target="http://www.wikidata.org/entity/Q2182589" TargetMode="External"/><Relationship Id="rId3410" Type="http://schemas.openxmlformats.org/officeDocument/2006/relationships/hyperlink" Target="http://www.wikidata.org/entity/Q2163210" TargetMode="External"/><Relationship Id="rId883" Type="http://schemas.openxmlformats.org/officeDocument/2006/relationships/hyperlink" Target="http://commons.wikimedia.org/wiki/Special:FilePath/G%C3%A9rard%20van%20Caloen%20%28detail%29.jpg" TargetMode="External"/><Relationship Id="rId882" Type="http://schemas.openxmlformats.org/officeDocument/2006/relationships/hyperlink" Target="http://www.wikidata.org/entity/Q733786" TargetMode="External"/><Relationship Id="rId3412" Type="http://schemas.openxmlformats.org/officeDocument/2006/relationships/hyperlink" Target="http://www.wikidata.org/entity/Q2658862" TargetMode="External"/><Relationship Id="rId881" Type="http://schemas.openxmlformats.org/officeDocument/2006/relationships/hyperlink" Target="http://www.wikidata.org/entity/Q2606766" TargetMode="External"/><Relationship Id="rId3411" Type="http://schemas.openxmlformats.org/officeDocument/2006/relationships/hyperlink" Target="http://www.wikidata.org/entity/Q18120029" TargetMode="External"/><Relationship Id="rId3403" Type="http://schemas.openxmlformats.org/officeDocument/2006/relationships/hyperlink" Target="http://commons.wikimedia.org/wiki/Special:FilePath/Frederic%20Mistral%20portrait%20photo.jpg" TargetMode="External"/><Relationship Id="rId3402" Type="http://schemas.openxmlformats.org/officeDocument/2006/relationships/hyperlink" Target="http://www.wikidata.org/entity/Q14972848" TargetMode="External"/><Relationship Id="rId3405" Type="http://schemas.openxmlformats.org/officeDocument/2006/relationships/hyperlink" Target="http://www.wikidata.org/entity/Q3391743" TargetMode="External"/><Relationship Id="rId3404" Type="http://schemas.openxmlformats.org/officeDocument/2006/relationships/hyperlink" Target="http://www.wikidata.org/entity/Q2360599" TargetMode="External"/><Relationship Id="rId3407" Type="http://schemas.openxmlformats.org/officeDocument/2006/relationships/hyperlink" Target="http://www.wikidata.org/entity/Q2360599" TargetMode="External"/><Relationship Id="rId3406" Type="http://schemas.openxmlformats.org/officeDocument/2006/relationships/hyperlink" Target="http://commons.wikimedia.org/wiki/Special:FilePath/Wytterick%2023.JPG" TargetMode="External"/><Relationship Id="rId3409" Type="http://schemas.openxmlformats.org/officeDocument/2006/relationships/hyperlink" Target="http://commons.wikimedia.org/wiki/Special:FilePath/Wytterick%2023.JPG" TargetMode="External"/><Relationship Id="rId3408" Type="http://schemas.openxmlformats.org/officeDocument/2006/relationships/hyperlink" Target="http://www.wikidata.org/entity/Q175151" TargetMode="External"/><Relationship Id="rId877" Type="http://schemas.openxmlformats.org/officeDocument/2006/relationships/hyperlink" Target="http://www.wikidata.org/entity/Q250867" TargetMode="External"/><Relationship Id="rId876" Type="http://schemas.openxmlformats.org/officeDocument/2006/relationships/hyperlink" Target="http://www.wikidata.org/entity/Q981444" TargetMode="External"/><Relationship Id="rId875" Type="http://schemas.openxmlformats.org/officeDocument/2006/relationships/hyperlink" Target="http://commons.wikimedia.org/wiki/Special:FilePath/JBBethune%20par%20Raoux.jpg" TargetMode="External"/><Relationship Id="rId874" Type="http://schemas.openxmlformats.org/officeDocument/2006/relationships/hyperlink" Target="http://www.wikidata.org/entity/Q82955" TargetMode="External"/><Relationship Id="rId879" Type="http://schemas.openxmlformats.org/officeDocument/2006/relationships/hyperlink" Target="http://www.wikidata.org/entity/Q970036" TargetMode="External"/><Relationship Id="rId878" Type="http://schemas.openxmlformats.org/officeDocument/2006/relationships/hyperlink" Target="http://commons.wikimedia.org/wiki/Special:FilePath/HugoVerriest.jpg" TargetMode="External"/><Relationship Id="rId873" Type="http://schemas.openxmlformats.org/officeDocument/2006/relationships/hyperlink" Target="http://www.wikidata.org/entity/Q354052" TargetMode="External"/><Relationship Id="rId872" Type="http://schemas.openxmlformats.org/officeDocument/2006/relationships/hyperlink" Target="http://www.wikidata.org/entity/Q1930187" TargetMode="External"/><Relationship Id="rId871" Type="http://schemas.openxmlformats.org/officeDocument/2006/relationships/hyperlink" Target="http://www.wikidata.org/entity/Q970036" TargetMode="External"/><Relationship Id="rId3401" Type="http://schemas.openxmlformats.org/officeDocument/2006/relationships/hyperlink" Target="http://www.wikidata.org/entity/Q42596" TargetMode="External"/><Relationship Id="rId870" Type="http://schemas.openxmlformats.org/officeDocument/2006/relationships/hyperlink" Target="http://www.wikidata.org/entity/Q589298" TargetMode="External"/><Relationship Id="rId3400" Type="http://schemas.openxmlformats.org/officeDocument/2006/relationships/hyperlink" Target="http://www.wikidata.org/entity/Q1753370" TargetMode="External"/><Relationship Id="rId1653" Type="http://schemas.openxmlformats.org/officeDocument/2006/relationships/hyperlink" Target="http://www.wikidata.org/entity/Q955464" TargetMode="External"/><Relationship Id="rId2984" Type="http://schemas.openxmlformats.org/officeDocument/2006/relationships/hyperlink" Target="http://www.wikidata.org/entity/Q589298" TargetMode="External"/><Relationship Id="rId1654" Type="http://schemas.openxmlformats.org/officeDocument/2006/relationships/hyperlink" Target="http://www.wikidata.org/entity/Q116508494" TargetMode="External"/><Relationship Id="rId2985" Type="http://schemas.openxmlformats.org/officeDocument/2006/relationships/hyperlink" Target="http://www.wikidata.org/entity/Q117246781" TargetMode="External"/><Relationship Id="rId1655" Type="http://schemas.openxmlformats.org/officeDocument/2006/relationships/hyperlink" Target="http://www.wikidata.org/entity/Q836904" TargetMode="External"/><Relationship Id="rId2986" Type="http://schemas.openxmlformats.org/officeDocument/2006/relationships/hyperlink" Target="http://www.wikidata.org/entity/Q242468" TargetMode="External"/><Relationship Id="rId1656" Type="http://schemas.openxmlformats.org/officeDocument/2006/relationships/hyperlink" Target="http://www.wikidata.org/entity/Q115835156" TargetMode="External"/><Relationship Id="rId2987" Type="http://schemas.openxmlformats.org/officeDocument/2006/relationships/hyperlink" Target="http://www.wikidata.org/entity/Q120733873" TargetMode="External"/><Relationship Id="rId1657" Type="http://schemas.openxmlformats.org/officeDocument/2006/relationships/hyperlink" Target="http://www.wikidata.org/entity/Q2251335" TargetMode="External"/><Relationship Id="rId2988" Type="http://schemas.openxmlformats.org/officeDocument/2006/relationships/hyperlink" Target="http://www.wikidata.org/entity/Q2516866" TargetMode="External"/><Relationship Id="rId1658" Type="http://schemas.openxmlformats.org/officeDocument/2006/relationships/hyperlink" Target="http://www.wikidata.org/entity/Q115839443" TargetMode="External"/><Relationship Id="rId2989" Type="http://schemas.openxmlformats.org/officeDocument/2006/relationships/hyperlink" Target="http://www.wikidata.org/entity/Q123399443" TargetMode="External"/><Relationship Id="rId1659" Type="http://schemas.openxmlformats.org/officeDocument/2006/relationships/hyperlink" Target="http://www.wikidata.org/entity/Q1056391" TargetMode="External"/><Relationship Id="rId829" Type="http://schemas.openxmlformats.org/officeDocument/2006/relationships/hyperlink" Target="http://www.wikidata.org/entity/Q82955" TargetMode="External"/><Relationship Id="rId828" Type="http://schemas.openxmlformats.org/officeDocument/2006/relationships/hyperlink" Target="http://www.wikidata.org/entity/Q1920135" TargetMode="External"/><Relationship Id="rId827" Type="http://schemas.openxmlformats.org/officeDocument/2006/relationships/hyperlink" Target="http://commons.wikimedia.org/wiki/Special:FilePath/Max%20Rooses.jpg" TargetMode="External"/><Relationship Id="rId822" Type="http://schemas.openxmlformats.org/officeDocument/2006/relationships/hyperlink" Target="http://www.wikidata.org/entity/Q377071" TargetMode="External"/><Relationship Id="rId821" Type="http://schemas.openxmlformats.org/officeDocument/2006/relationships/hyperlink" Target="http://commons.wikimedia.org/wiki/Special:FilePath/Jan%20Bols%2C%20borststuk%20door%20E.%20Fabronius.tif" TargetMode="External"/><Relationship Id="rId820" Type="http://schemas.openxmlformats.org/officeDocument/2006/relationships/hyperlink" Target="http://www.wikidata.org/entity/Q955464" TargetMode="External"/><Relationship Id="rId826" Type="http://schemas.openxmlformats.org/officeDocument/2006/relationships/hyperlink" Target="http://www.wikidata.org/entity/Q2251335" TargetMode="External"/><Relationship Id="rId825" Type="http://schemas.openxmlformats.org/officeDocument/2006/relationships/hyperlink" Target="http://www.wikidata.org/entity/Q2413334" TargetMode="External"/><Relationship Id="rId824" Type="http://schemas.openxmlformats.org/officeDocument/2006/relationships/hyperlink" Target="http://commons.wikimedia.org/wiki/Special:FilePath/Edgar%20Tinel%201911.jpg" TargetMode="External"/><Relationship Id="rId823" Type="http://schemas.openxmlformats.org/officeDocument/2006/relationships/hyperlink" Target="http://www.wikidata.org/entity/Q36834" TargetMode="External"/><Relationship Id="rId2980" Type="http://schemas.openxmlformats.org/officeDocument/2006/relationships/hyperlink" Target="http://www.wikidata.org/entity/Q175151" TargetMode="External"/><Relationship Id="rId1650" Type="http://schemas.openxmlformats.org/officeDocument/2006/relationships/hyperlink" Target="http://www.wikidata.org/entity/Q118792556" TargetMode="External"/><Relationship Id="rId2981" Type="http://schemas.openxmlformats.org/officeDocument/2006/relationships/hyperlink" Target="http://www.wikidata.org/entity/Q125257556" TargetMode="External"/><Relationship Id="rId1651" Type="http://schemas.openxmlformats.org/officeDocument/2006/relationships/hyperlink" Target="http://www.wikidata.org/entity/Q42603" TargetMode="External"/><Relationship Id="rId2982" Type="http://schemas.openxmlformats.org/officeDocument/2006/relationships/hyperlink" Target="http://www.wikidata.org/entity/Q1776501" TargetMode="External"/><Relationship Id="rId1652" Type="http://schemas.openxmlformats.org/officeDocument/2006/relationships/hyperlink" Target="http://www.wikidata.org/entity/Q115839443" TargetMode="External"/><Relationship Id="rId2983" Type="http://schemas.openxmlformats.org/officeDocument/2006/relationships/hyperlink" Target="http://www.wikidata.org/entity/Q120733873" TargetMode="External"/><Relationship Id="rId1642" Type="http://schemas.openxmlformats.org/officeDocument/2006/relationships/hyperlink" Target="http://www.wikidata.org/entity/Q115835605" TargetMode="External"/><Relationship Id="rId2973" Type="http://schemas.openxmlformats.org/officeDocument/2006/relationships/hyperlink" Target="http://www.wikidata.org/entity/Q117227040" TargetMode="External"/><Relationship Id="rId1643" Type="http://schemas.openxmlformats.org/officeDocument/2006/relationships/hyperlink" Target="http://www.wikidata.org/entity/Q955464" TargetMode="External"/><Relationship Id="rId2974" Type="http://schemas.openxmlformats.org/officeDocument/2006/relationships/hyperlink" Target="http://www.wikidata.org/entity/Q7313543" TargetMode="External"/><Relationship Id="rId1644" Type="http://schemas.openxmlformats.org/officeDocument/2006/relationships/hyperlink" Target="http://www.wikidata.org/entity/Q115835156" TargetMode="External"/><Relationship Id="rId2975" Type="http://schemas.openxmlformats.org/officeDocument/2006/relationships/hyperlink" Target="http://www.wikidata.org/entity/Q123399443" TargetMode="External"/><Relationship Id="rId1645" Type="http://schemas.openxmlformats.org/officeDocument/2006/relationships/hyperlink" Target="http://www.wikidata.org/entity/Q1056391" TargetMode="External"/><Relationship Id="rId2976" Type="http://schemas.openxmlformats.org/officeDocument/2006/relationships/hyperlink" Target="http://www.wikidata.org/entity/Q191808" TargetMode="External"/><Relationship Id="rId1646" Type="http://schemas.openxmlformats.org/officeDocument/2006/relationships/hyperlink" Target="http://www.wikidata.org/entity/Q115835605" TargetMode="External"/><Relationship Id="rId2977" Type="http://schemas.openxmlformats.org/officeDocument/2006/relationships/hyperlink" Target="http://www.wikidata.org/entity/Q118120867" TargetMode="External"/><Relationship Id="rId1647" Type="http://schemas.openxmlformats.org/officeDocument/2006/relationships/hyperlink" Target="http://www.wikidata.org/entity/Q1056391" TargetMode="External"/><Relationship Id="rId2978" Type="http://schemas.openxmlformats.org/officeDocument/2006/relationships/hyperlink" Target="http://www.wikidata.org/entity/Q175151" TargetMode="External"/><Relationship Id="rId1648" Type="http://schemas.openxmlformats.org/officeDocument/2006/relationships/hyperlink" Target="http://www.wikidata.org/entity/Q115835605" TargetMode="External"/><Relationship Id="rId2979" Type="http://schemas.openxmlformats.org/officeDocument/2006/relationships/hyperlink" Target="http://www.wikidata.org/entity/Q118120903" TargetMode="External"/><Relationship Id="rId1649" Type="http://schemas.openxmlformats.org/officeDocument/2006/relationships/hyperlink" Target="http://www.wikidata.org/entity/Q250867" TargetMode="External"/><Relationship Id="rId819" Type="http://schemas.openxmlformats.org/officeDocument/2006/relationships/hyperlink" Target="http://www.wikidata.org/entity/Q1920135" TargetMode="External"/><Relationship Id="rId818" Type="http://schemas.openxmlformats.org/officeDocument/2006/relationships/hyperlink" Target="http://commons.wikimedia.org/wiki/Special:FilePath/HugoVerriest.jpg" TargetMode="External"/><Relationship Id="rId817" Type="http://schemas.openxmlformats.org/officeDocument/2006/relationships/hyperlink" Target="http://www.wikidata.org/entity/Q2251335" TargetMode="External"/><Relationship Id="rId816" Type="http://schemas.openxmlformats.org/officeDocument/2006/relationships/hyperlink" Target="http://www.wikidata.org/entity/Q981444" TargetMode="External"/><Relationship Id="rId811" Type="http://schemas.openxmlformats.org/officeDocument/2006/relationships/hyperlink" Target="http://www.wikidata.org/entity/Q4722117" TargetMode="External"/><Relationship Id="rId810" Type="http://schemas.openxmlformats.org/officeDocument/2006/relationships/hyperlink" Target="http://www.wikidata.org/entity/Q14467526" TargetMode="External"/><Relationship Id="rId815" Type="http://schemas.openxmlformats.org/officeDocument/2006/relationships/hyperlink" Target="http://commons.wikimedia.org/wiki/Special:FilePath/Theophiel%20Coopman%20%281852-1915%29.jpg" TargetMode="External"/><Relationship Id="rId814" Type="http://schemas.openxmlformats.org/officeDocument/2006/relationships/hyperlink" Target="http://www.wikidata.org/entity/Q326653" TargetMode="External"/><Relationship Id="rId813" Type="http://schemas.openxmlformats.org/officeDocument/2006/relationships/hyperlink" Target="http://www.wikidata.org/entity/Q719358" TargetMode="External"/><Relationship Id="rId812" Type="http://schemas.openxmlformats.org/officeDocument/2006/relationships/hyperlink" Target="http://www.wikidata.org/entity/Q294126" TargetMode="External"/><Relationship Id="rId2970" Type="http://schemas.openxmlformats.org/officeDocument/2006/relationships/hyperlink" Target="http://www.wikidata.org/entity/Q327321" TargetMode="External"/><Relationship Id="rId1640" Type="http://schemas.openxmlformats.org/officeDocument/2006/relationships/hyperlink" Target="http://www.wikidata.org/entity/Q115835156" TargetMode="External"/><Relationship Id="rId2971" Type="http://schemas.openxmlformats.org/officeDocument/2006/relationships/hyperlink" Target="http://www.wikidata.org/entity/Q125257556" TargetMode="External"/><Relationship Id="rId1641" Type="http://schemas.openxmlformats.org/officeDocument/2006/relationships/hyperlink" Target="http://www.wikidata.org/entity/Q955464" TargetMode="External"/><Relationship Id="rId2972" Type="http://schemas.openxmlformats.org/officeDocument/2006/relationships/hyperlink" Target="http://www.wikidata.org/entity/Q191808" TargetMode="External"/><Relationship Id="rId1675" Type="http://schemas.openxmlformats.org/officeDocument/2006/relationships/hyperlink" Target="http://www.wikidata.org/entity/Q37226" TargetMode="External"/><Relationship Id="rId1676" Type="http://schemas.openxmlformats.org/officeDocument/2006/relationships/hyperlink" Target="http://commons.wikimedia.org/wiki/Special:FilePath/Foto%20van%20Hortense%20Gezelle.jpg" TargetMode="External"/><Relationship Id="rId1677" Type="http://schemas.openxmlformats.org/officeDocument/2006/relationships/hyperlink" Target="http://www.wikidata.org/entity/Q115839360" TargetMode="External"/><Relationship Id="rId1678" Type="http://schemas.openxmlformats.org/officeDocument/2006/relationships/hyperlink" Target="http://www.wikidata.org/entity/Q2251335" TargetMode="External"/><Relationship Id="rId1679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849" Type="http://schemas.openxmlformats.org/officeDocument/2006/relationships/hyperlink" Target="http://www.wikidata.org/entity/Q2413334" TargetMode="External"/><Relationship Id="rId844" Type="http://schemas.openxmlformats.org/officeDocument/2006/relationships/hyperlink" Target="http://www.wikidata.org/entity/Q2251335" TargetMode="External"/><Relationship Id="rId843" Type="http://schemas.openxmlformats.org/officeDocument/2006/relationships/hyperlink" Target="http://www.wikidata.org/entity/Q1920135" TargetMode="External"/><Relationship Id="rId842" Type="http://schemas.openxmlformats.org/officeDocument/2006/relationships/hyperlink" Target="http://commons.wikimedia.org/wiki/Special:FilePath/Max%20Rooses.jpg" TargetMode="External"/><Relationship Id="rId841" Type="http://schemas.openxmlformats.org/officeDocument/2006/relationships/hyperlink" Target="http://www.wikidata.org/entity/Q4263842" TargetMode="External"/><Relationship Id="rId848" Type="http://schemas.openxmlformats.org/officeDocument/2006/relationships/hyperlink" Target="http://commons.wikimedia.org/wiki/Special:FilePath/Max%20Rooses.jpg" TargetMode="External"/><Relationship Id="rId847" Type="http://schemas.openxmlformats.org/officeDocument/2006/relationships/hyperlink" Target="http://www.wikidata.org/entity/Q674426" TargetMode="External"/><Relationship Id="rId846" Type="http://schemas.openxmlformats.org/officeDocument/2006/relationships/hyperlink" Target="http://www.wikidata.org/entity/Q2413334" TargetMode="External"/><Relationship Id="rId845" Type="http://schemas.openxmlformats.org/officeDocument/2006/relationships/hyperlink" Target="http://commons.wikimedia.org/wiki/Special:FilePath/Jan%20Bols%2C%20borststuk%20door%20E.%20Fabronius.tif" TargetMode="External"/><Relationship Id="rId1670" Type="http://schemas.openxmlformats.org/officeDocument/2006/relationships/hyperlink" Target="http://www.wikidata.org/entity/Q120472271" TargetMode="External"/><Relationship Id="rId840" Type="http://schemas.openxmlformats.org/officeDocument/2006/relationships/hyperlink" Target="http://www.wikidata.org/entity/Q2413334" TargetMode="External"/><Relationship Id="rId1671" Type="http://schemas.openxmlformats.org/officeDocument/2006/relationships/hyperlink" Target="http://www.wikidata.org/entity/Q955464" TargetMode="External"/><Relationship Id="rId1672" Type="http://schemas.openxmlformats.org/officeDocument/2006/relationships/hyperlink" Target="http://www.wikidata.org/entity/Q120472271" TargetMode="External"/><Relationship Id="rId1673" Type="http://schemas.openxmlformats.org/officeDocument/2006/relationships/hyperlink" Target="http://www.wikidata.org/entity/Q250867" TargetMode="External"/><Relationship Id="rId1674" Type="http://schemas.openxmlformats.org/officeDocument/2006/relationships/hyperlink" Target="http://www.wikidata.org/entity/Q117244596" TargetMode="External"/><Relationship Id="rId1664" Type="http://schemas.openxmlformats.org/officeDocument/2006/relationships/hyperlink" Target="http://www.wikidata.org/entity/Q115839443" TargetMode="External"/><Relationship Id="rId2995" Type="http://schemas.openxmlformats.org/officeDocument/2006/relationships/hyperlink" Target="http://www.wikidata.org/entity/Q115980044" TargetMode="External"/><Relationship Id="rId1665" Type="http://schemas.openxmlformats.org/officeDocument/2006/relationships/hyperlink" Target="http://www.wikidata.org/entity/Q2251335" TargetMode="External"/><Relationship Id="rId2996" Type="http://schemas.openxmlformats.org/officeDocument/2006/relationships/hyperlink" Target="http://www.wikidata.org/entity/Q250867" TargetMode="External"/><Relationship Id="rId1666" Type="http://schemas.openxmlformats.org/officeDocument/2006/relationships/hyperlink" Target="http://www.wikidata.org/entity/Q115835605" TargetMode="External"/><Relationship Id="rId2997" Type="http://schemas.openxmlformats.org/officeDocument/2006/relationships/hyperlink" Target="http://www.wikidata.org/entity/Q115979048" TargetMode="External"/><Relationship Id="rId1667" Type="http://schemas.openxmlformats.org/officeDocument/2006/relationships/hyperlink" Target="http://www.wikidata.org/entity/Q1104153" TargetMode="External"/><Relationship Id="rId2998" Type="http://schemas.openxmlformats.org/officeDocument/2006/relationships/hyperlink" Target="http://www.wikidata.org/entity/Q2251335" TargetMode="External"/><Relationship Id="rId1668" Type="http://schemas.openxmlformats.org/officeDocument/2006/relationships/hyperlink" Target="http://www.wikidata.org/entity/Q116621487" TargetMode="External"/><Relationship Id="rId2999" Type="http://schemas.openxmlformats.org/officeDocument/2006/relationships/hyperlink" Target="http://www.wikidata.org/entity/Q115980044" TargetMode="External"/><Relationship Id="rId1669" Type="http://schemas.openxmlformats.org/officeDocument/2006/relationships/hyperlink" Target="http://www.wikidata.org/entity/Q1162163" TargetMode="External"/><Relationship Id="rId839" Type="http://schemas.openxmlformats.org/officeDocument/2006/relationships/hyperlink" Target="http://www.wikidata.org/entity/Q1792450" TargetMode="External"/><Relationship Id="rId838" Type="http://schemas.openxmlformats.org/officeDocument/2006/relationships/hyperlink" Target="http://www.wikidata.org/entity/Q2672741" TargetMode="External"/><Relationship Id="rId833" Type="http://schemas.openxmlformats.org/officeDocument/2006/relationships/hyperlink" Target="http://commons.wikimedia.org/wiki/Special:FilePath/Josephus%20Alberdingk%20Thijm%20portret%20%281864-1889%29.png" TargetMode="External"/><Relationship Id="rId832" Type="http://schemas.openxmlformats.org/officeDocument/2006/relationships/hyperlink" Target="http://www.wikidata.org/entity/Q4164507" TargetMode="External"/><Relationship Id="rId831" Type="http://schemas.openxmlformats.org/officeDocument/2006/relationships/hyperlink" Target="http://www.wikidata.org/entity/Q1978794" TargetMode="External"/><Relationship Id="rId830" Type="http://schemas.openxmlformats.org/officeDocument/2006/relationships/hyperlink" Target="http://commons.wikimedia.org/wiki/Special:FilePath/Jan%20Bols%2C%20borststuk%20door%20E.%20Fabronius.tif" TargetMode="External"/><Relationship Id="rId837" Type="http://schemas.openxmlformats.org/officeDocument/2006/relationships/hyperlink" Target="http://www.wikidata.org/entity/Q201788" TargetMode="External"/><Relationship Id="rId836" Type="http://schemas.openxmlformats.org/officeDocument/2006/relationships/hyperlink" Target="http://www.wikidata.org/entity/Q2672741" TargetMode="External"/><Relationship Id="rId835" Type="http://schemas.openxmlformats.org/officeDocument/2006/relationships/hyperlink" Target="http://www.wikidata.org/entity/Q82955" TargetMode="External"/><Relationship Id="rId834" Type="http://schemas.openxmlformats.org/officeDocument/2006/relationships/hyperlink" Target="http://www.wikidata.org/entity/Q2672741" TargetMode="External"/><Relationship Id="rId2990" Type="http://schemas.openxmlformats.org/officeDocument/2006/relationships/hyperlink" Target="http://www.wikidata.org/entity/Q1776501" TargetMode="External"/><Relationship Id="rId1660" Type="http://schemas.openxmlformats.org/officeDocument/2006/relationships/hyperlink" Target="http://www.wikidata.org/entity/Q115839443" TargetMode="External"/><Relationship Id="rId2991" Type="http://schemas.openxmlformats.org/officeDocument/2006/relationships/hyperlink" Target="http://www.wikidata.org/entity/Q120489194" TargetMode="External"/><Relationship Id="rId1661" Type="http://schemas.openxmlformats.org/officeDocument/2006/relationships/hyperlink" Target="http://www.wikidata.org/entity/Q250867" TargetMode="External"/><Relationship Id="rId2992" Type="http://schemas.openxmlformats.org/officeDocument/2006/relationships/hyperlink" Target="http://www.wikidata.org/entity/Q1753370" TargetMode="External"/><Relationship Id="rId1662" Type="http://schemas.openxmlformats.org/officeDocument/2006/relationships/hyperlink" Target="http://www.wikidata.org/entity/Q115835605" TargetMode="External"/><Relationship Id="rId2993" Type="http://schemas.openxmlformats.org/officeDocument/2006/relationships/hyperlink" Target="http://www.wikidata.org/entity/Q120493880" TargetMode="External"/><Relationship Id="rId1663" Type="http://schemas.openxmlformats.org/officeDocument/2006/relationships/hyperlink" Target="http://www.wikidata.org/entity/Q2251335" TargetMode="External"/><Relationship Id="rId2994" Type="http://schemas.openxmlformats.org/officeDocument/2006/relationships/hyperlink" Target="http://www.wikidata.org/entity/Q641208" TargetMode="External"/><Relationship Id="rId2148" Type="http://schemas.openxmlformats.org/officeDocument/2006/relationships/hyperlink" Target="http://commons.wikimedia.org/wiki/Special:FilePath/Emiel%20Lauwers%20-%20Kortrijk%20-%20Belgi%C3%AB.jpg" TargetMode="External"/><Relationship Id="rId2149" Type="http://schemas.openxmlformats.org/officeDocument/2006/relationships/hyperlink" Target="http://www.wikidata.org/entity/Q970833" TargetMode="External"/><Relationship Id="rId3479" Type="http://schemas.openxmlformats.org/officeDocument/2006/relationships/hyperlink" Target="http://www.wikidata.org/entity/Q2050293" TargetMode="External"/><Relationship Id="rId3470" Type="http://schemas.openxmlformats.org/officeDocument/2006/relationships/hyperlink" Target="http://www.wikidata.org/entity/Q2524668" TargetMode="External"/><Relationship Id="rId2140" Type="http://schemas.openxmlformats.org/officeDocument/2006/relationships/hyperlink" Target="http://commons.wikimedia.org/wiki/Special:FilePath/Eugeen%20van%20Oye%20-%20Statue%20in%20Gistel.jpg" TargetMode="External"/><Relationship Id="rId3472" Type="http://schemas.openxmlformats.org/officeDocument/2006/relationships/hyperlink" Target="http://commons.wikimedia.org/wiki/Special:FilePath/Adolf%20Duclos001.jpg" TargetMode="External"/><Relationship Id="rId2141" Type="http://schemas.openxmlformats.org/officeDocument/2006/relationships/hyperlink" Target="http://www.wikidata.org/entity/Q2546317" TargetMode="External"/><Relationship Id="rId3471" Type="http://schemas.openxmlformats.org/officeDocument/2006/relationships/hyperlink" Target="http://www.wikidata.org/entity/Q1958649" TargetMode="External"/><Relationship Id="rId2142" Type="http://schemas.openxmlformats.org/officeDocument/2006/relationships/hyperlink" Target="http://www.wikidata.org/entity/Q49757" TargetMode="External"/><Relationship Id="rId3474" Type="http://schemas.openxmlformats.org/officeDocument/2006/relationships/hyperlink" Target="http://www.wikidata.org/entity/Q589298" TargetMode="External"/><Relationship Id="rId2143" Type="http://schemas.openxmlformats.org/officeDocument/2006/relationships/hyperlink" Target="http://commons.wikimedia.org/wiki/Special:FilePath/Eugeen%20van%20Oye%20-%20Statue%20in%20Gistel.jpg" TargetMode="External"/><Relationship Id="rId3473" Type="http://schemas.openxmlformats.org/officeDocument/2006/relationships/hyperlink" Target="http://www.wikidata.org/entity/Q3515115" TargetMode="External"/><Relationship Id="rId2144" Type="http://schemas.openxmlformats.org/officeDocument/2006/relationships/hyperlink" Target="http://www.wikidata.org/entity/Q2627945" TargetMode="External"/><Relationship Id="rId3476" Type="http://schemas.openxmlformats.org/officeDocument/2006/relationships/hyperlink" Target="http://www.wikidata.org/entity/Q3515115" TargetMode="External"/><Relationship Id="rId2145" Type="http://schemas.openxmlformats.org/officeDocument/2006/relationships/hyperlink" Target="http://www.wikidata.org/entity/Q3075052" TargetMode="External"/><Relationship Id="rId3475" Type="http://schemas.openxmlformats.org/officeDocument/2006/relationships/hyperlink" Target="http://commons.wikimedia.org/wiki/Special:FilePath/Pol%20de%20Mont%201896.jpg" TargetMode="External"/><Relationship Id="rId2146" Type="http://schemas.openxmlformats.org/officeDocument/2006/relationships/hyperlink" Target="http://www.wikidata.org/entity/Q2183646" TargetMode="External"/><Relationship Id="rId3478" Type="http://schemas.openxmlformats.org/officeDocument/2006/relationships/hyperlink" Target="http://commons.wikimedia.org/wiki/Special:FilePath/Pol%20de%20Mont%201896.jpg" TargetMode="External"/><Relationship Id="rId2147" Type="http://schemas.openxmlformats.org/officeDocument/2006/relationships/hyperlink" Target="http://www.wikidata.org/entity/Q82955" TargetMode="External"/><Relationship Id="rId3477" Type="http://schemas.openxmlformats.org/officeDocument/2006/relationships/hyperlink" Target="http://www.wikidata.org/entity/Q674426" TargetMode="External"/><Relationship Id="rId2137" Type="http://schemas.openxmlformats.org/officeDocument/2006/relationships/hyperlink" Target="http://commons.wikimedia.org/wiki/Special:FilePath/Eugeen%20van%20Oye%20-%20Statue%20in%20Gistel.jpg" TargetMode="External"/><Relationship Id="rId3469" Type="http://schemas.openxmlformats.org/officeDocument/2006/relationships/hyperlink" Target="http://commons.wikimedia.org/wiki/Special:FilePath/Amaat%20Joos.jpg" TargetMode="External"/><Relationship Id="rId2138" Type="http://schemas.openxmlformats.org/officeDocument/2006/relationships/hyperlink" Target="http://www.wikidata.org/entity/Q2546317" TargetMode="External"/><Relationship Id="rId3468" Type="http://schemas.openxmlformats.org/officeDocument/2006/relationships/hyperlink" Target="http://www.wikidata.org/entity/Q1234713" TargetMode="External"/><Relationship Id="rId2139" Type="http://schemas.openxmlformats.org/officeDocument/2006/relationships/hyperlink" Target="http://www.wikidata.org/entity/Q36180" TargetMode="External"/><Relationship Id="rId3461" Type="http://schemas.openxmlformats.org/officeDocument/2006/relationships/hyperlink" Target="http://www.wikidata.org/entity/Q185351" TargetMode="External"/><Relationship Id="rId2130" Type="http://schemas.openxmlformats.org/officeDocument/2006/relationships/hyperlink" Target="http://www.wikidata.org/entity/Q36180" TargetMode="External"/><Relationship Id="rId3460" Type="http://schemas.openxmlformats.org/officeDocument/2006/relationships/hyperlink" Target="http://www.wikidata.org/entity/Q661733" TargetMode="External"/><Relationship Id="rId2131" Type="http://schemas.openxmlformats.org/officeDocument/2006/relationships/hyperlink" Target="http://www.wikidata.org/entity/Q2266893" TargetMode="External"/><Relationship Id="rId3463" Type="http://schemas.openxmlformats.org/officeDocument/2006/relationships/hyperlink" Target="http://www.wikidata.org/entity/Q201788" TargetMode="External"/><Relationship Id="rId2132" Type="http://schemas.openxmlformats.org/officeDocument/2006/relationships/hyperlink" Target="http://www.wikidata.org/entity/Q37226" TargetMode="External"/><Relationship Id="rId3462" Type="http://schemas.openxmlformats.org/officeDocument/2006/relationships/hyperlink" Target="http://www.wikidata.org/entity/Q661733" TargetMode="External"/><Relationship Id="rId2133" Type="http://schemas.openxmlformats.org/officeDocument/2006/relationships/hyperlink" Target="http://www.wikidata.org/entity/Q2266893" TargetMode="External"/><Relationship Id="rId3465" Type="http://schemas.openxmlformats.org/officeDocument/2006/relationships/hyperlink" Target="http://www.wikidata.org/entity/Q3391743" TargetMode="External"/><Relationship Id="rId2134" Type="http://schemas.openxmlformats.org/officeDocument/2006/relationships/hyperlink" Target="http://www.wikidata.org/entity/Q49757" TargetMode="External"/><Relationship Id="rId3464" Type="http://schemas.openxmlformats.org/officeDocument/2006/relationships/hyperlink" Target="http://www.wikidata.org/entity/Q2677198" TargetMode="External"/><Relationship Id="rId2135" Type="http://schemas.openxmlformats.org/officeDocument/2006/relationships/hyperlink" Target="http://www.wikidata.org/entity/Q2546317" TargetMode="External"/><Relationship Id="rId3467" Type="http://schemas.openxmlformats.org/officeDocument/2006/relationships/hyperlink" Target="http://www.wikidata.org/entity/Q2099446" TargetMode="External"/><Relationship Id="rId2136" Type="http://schemas.openxmlformats.org/officeDocument/2006/relationships/hyperlink" Target="http://www.wikidata.org/entity/Q39631" TargetMode="External"/><Relationship Id="rId3466" Type="http://schemas.openxmlformats.org/officeDocument/2006/relationships/hyperlink" Target="http://commons.wikimedia.org/wiki/Special:FilePath/Jules%20Lagae%20%281862-1931%29.jpg" TargetMode="External"/><Relationship Id="rId3490" Type="http://schemas.openxmlformats.org/officeDocument/2006/relationships/hyperlink" Target="http://www.wikidata.org/entity/Q115806424" TargetMode="External"/><Relationship Id="rId2160" Type="http://schemas.openxmlformats.org/officeDocument/2006/relationships/hyperlink" Target="http://www.wikidata.org/entity/Q2516866" TargetMode="External"/><Relationship Id="rId3492" Type="http://schemas.openxmlformats.org/officeDocument/2006/relationships/hyperlink" Target="http://www.wikidata.org/entity/Q115806424" TargetMode="External"/><Relationship Id="rId2161" Type="http://schemas.openxmlformats.org/officeDocument/2006/relationships/hyperlink" Target="http://commons.wikimedia.org/wiki/Special:FilePath/Alfons%20Siffer%201850-1941.jpg" TargetMode="External"/><Relationship Id="rId3491" Type="http://schemas.openxmlformats.org/officeDocument/2006/relationships/hyperlink" Target="http://www.wikidata.org/entity/Q955464" TargetMode="External"/><Relationship Id="rId2162" Type="http://schemas.openxmlformats.org/officeDocument/2006/relationships/hyperlink" Target="http://www.wikidata.org/entity/Q7190386" TargetMode="External"/><Relationship Id="rId3494" Type="http://schemas.openxmlformats.org/officeDocument/2006/relationships/hyperlink" Target="http://www.wikidata.org/entity/Q115806424" TargetMode="External"/><Relationship Id="rId2163" Type="http://schemas.openxmlformats.org/officeDocument/2006/relationships/hyperlink" Target="http://www.wikidata.org/entity/Q955464" TargetMode="External"/><Relationship Id="rId3493" Type="http://schemas.openxmlformats.org/officeDocument/2006/relationships/hyperlink" Target="http://www.wikidata.org/entity/Q1056391" TargetMode="External"/><Relationship Id="rId2164" Type="http://schemas.openxmlformats.org/officeDocument/2006/relationships/hyperlink" Target="http://www.wikidata.org/entity/Q11029222" TargetMode="External"/><Relationship Id="rId3496" Type="http://schemas.openxmlformats.org/officeDocument/2006/relationships/hyperlink" Target="http://www.wikidata.org/entity/Q115813555" TargetMode="External"/><Relationship Id="rId2165" Type="http://schemas.openxmlformats.org/officeDocument/2006/relationships/hyperlink" Target="http://www.wikidata.org/entity/Q3391743" TargetMode="External"/><Relationship Id="rId3495" Type="http://schemas.openxmlformats.org/officeDocument/2006/relationships/hyperlink" Target="http://www.wikidata.org/entity/Q250867" TargetMode="External"/><Relationship Id="rId2166" Type="http://schemas.openxmlformats.org/officeDocument/2006/relationships/hyperlink" Target="http://commons.wikimedia.org/wiki/Special:FilePath/Hendrik%20Pickery%20gedenkteken%20R03.jpg" TargetMode="External"/><Relationship Id="rId3498" Type="http://schemas.openxmlformats.org/officeDocument/2006/relationships/hyperlink" Target="http://www.wikidata.org/entity/Q115806424" TargetMode="External"/><Relationship Id="rId2167" Type="http://schemas.openxmlformats.org/officeDocument/2006/relationships/hyperlink" Target="http://www.wikidata.org/entity/Q7190386" TargetMode="External"/><Relationship Id="rId3497" Type="http://schemas.openxmlformats.org/officeDocument/2006/relationships/hyperlink" Target="http://www.wikidata.org/entity/Q2251335" TargetMode="External"/><Relationship Id="rId2168" Type="http://schemas.openxmlformats.org/officeDocument/2006/relationships/hyperlink" Target="http://www.wikidata.org/entity/Q1622272" TargetMode="External"/><Relationship Id="rId2169" Type="http://schemas.openxmlformats.org/officeDocument/2006/relationships/hyperlink" Target="http://www.wikidata.org/entity/Q7190386" TargetMode="External"/><Relationship Id="rId3499" Type="http://schemas.openxmlformats.org/officeDocument/2006/relationships/hyperlink" Target="http://www.wikidata.org/entity/Q2251335" TargetMode="External"/><Relationship Id="rId2159" Type="http://schemas.openxmlformats.org/officeDocument/2006/relationships/hyperlink" Target="http://www.wikidata.org/entity/Q2539969" TargetMode="External"/><Relationship Id="rId3481" Type="http://schemas.openxmlformats.org/officeDocument/2006/relationships/hyperlink" Target="http://www.wikidata.org/entity/Q2203619" TargetMode="External"/><Relationship Id="rId2150" Type="http://schemas.openxmlformats.org/officeDocument/2006/relationships/hyperlink" Target="http://www.wikidata.org/entity/Q2251335" TargetMode="External"/><Relationship Id="rId3480" Type="http://schemas.openxmlformats.org/officeDocument/2006/relationships/hyperlink" Target="http://www.wikidata.org/entity/Q36180" TargetMode="External"/><Relationship Id="rId2151" Type="http://schemas.openxmlformats.org/officeDocument/2006/relationships/hyperlink" Target="http://commons.wikimedia.org/wiki/Special:FilePath/KarelFransStallaert.jpg" TargetMode="External"/><Relationship Id="rId3483" Type="http://schemas.openxmlformats.org/officeDocument/2006/relationships/hyperlink" Target="http://commons.wikimedia.org/wiki/Special:FilePath/Canon%20Camille%20Looten.jpg" TargetMode="External"/><Relationship Id="rId2152" Type="http://schemas.openxmlformats.org/officeDocument/2006/relationships/hyperlink" Target="http://www.wikidata.org/entity/Q43140929" TargetMode="External"/><Relationship Id="rId3482" Type="http://schemas.openxmlformats.org/officeDocument/2006/relationships/hyperlink" Target="http://www.wikidata.org/entity/Q250867" TargetMode="External"/><Relationship Id="rId2153" Type="http://schemas.openxmlformats.org/officeDocument/2006/relationships/hyperlink" Target="http://www.wikidata.org/entity/Q40348" TargetMode="External"/><Relationship Id="rId3485" Type="http://schemas.openxmlformats.org/officeDocument/2006/relationships/hyperlink" Target="http://www.wikidata.org/entity/Q1930187" TargetMode="External"/><Relationship Id="rId2154" Type="http://schemas.openxmlformats.org/officeDocument/2006/relationships/hyperlink" Target="http://www.wikidata.org/entity/Q2183646" TargetMode="External"/><Relationship Id="rId3484" Type="http://schemas.openxmlformats.org/officeDocument/2006/relationships/hyperlink" Target="http://www.wikidata.org/entity/Q3515115" TargetMode="External"/><Relationship Id="rId2155" Type="http://schemas.openxmlformats.org/officeDocument/2006/relationships/hyperlink" Target="http://www.wikidata.org/entity/Q333634" TargetMode="External"/><Relationship Id="rId3487" Type="http://schemas.openxmlformats.org/officeDocument/2006/relationships/hyperlink" Target="http://www.wikidata.org/entity/Q3515115" TargetMode="External"/><Relationship Id="rId2156" Type="http://schemas.openxmlformats.org/officeDocument/2006/relationships/hyperlink" Target="http://commons.wikimedia.org/wiki/Special:FilePath/Emiel%20Lauwers%20-%20Kortrijk%20-%20Belgi%C3%AB.jpg" TargetMode="External"/><Relationship Id="rId3486" Type="http://schemas.openxmlformats.org/officeDocument/2006/relationships/hyperlink" Target="http://commons.wikimedia.org/wiki/Special:FilePath/Pol%20de%20Mont%201896.jpg" TargetMode="External"/><Relationship Id="rId2157" Type="http://schemas.openxmlformats.org/officeDocument/2006/relationships/hyperlink" Target="http://www.wikidata.org/entity/Q55420570" TargetMode="External"/><Relationship Id="rId3489" Type="http://schemas.openxmlformats.org/officeDocument/2006/relationships/hyperlink" Target="http://commons.wikimedia.org/wiki/Special:FilePath/Pol%20de%20Mont%201896.jpg" TargetMode="External"/><Relationship Id="rId2158" Type="http://schemas.openxmlformats.org/officeDocument/2006/relationships/hyperlink" Target="http://www.wikidata.org/entity/Q36180" TargetMode="External"/><Relationship Id="rId3488" Type="http://schemas.openxmlformats.org/officeDocument/2006/relationships/hyperlink" Target="http://www.wikidata.org/entity/Q1028181" TargetMode="External"/><Relationship Id="rId2104" Type="http://schemas.openxmlformats.org/officeDocument/2006/relationships/hyperlink" Target="http://www.wikidata.org/entity/Q212238" TargetMode="External"/><Relationship Id="rId3436" Type="http://schemas.openxmlformats.org/officeDocument/2006/relationships/hyperlink" Target="http://www.wikidata.org/entity/Q1657500" TargetMode="External"/><Relationship Id="rId2105" Type="http://schemas.openxmlformats.org/officeDocument/2006/relationships/hyperlink" Target="http://commons.wikimedia.org/wiki/Special:FilePath/KarelFransStallaert.jpg" TargetMode="External"/><Relationship Id="rId3435" Type="http://schemas.openxmlformats.org/officeDocument/2006/relationships/hyperlink" Target="http://www.wikidata.org/entity/Q2658862" TargetMode="External"/><Relationship Id="rId2106" Type="http://schemas.openxmlformats.org/officeDocument/2006/relationships/hyperlink" Target="http://www.wikidata.org/entity/Q13576607" TargetMode="External"/><Relationship Id="rId3438" Type="http://schemas.openxmlformats.org/officeDocument/2006/relationships/hyperlink" Target="http://www.wikidata.org/entity/Q208762" TargetMode="External"/><Relationship Id="rId2107" Type="http://schemas.openxmlformats.org/officeDocument/2006/relationships/hyperlink" Target="http://www.wikidata.org/entity/Q2251335" TargetMode="External"/><Relationship Id="rId3437" Type="http://schemas.openxmlformats.org/officeDocument/2006/relationships/hyperlink" Target="http://www.wikidata.org/entity/Q2658862" TargetMode="External"/><Relationship Id="rId2108" Type="http://schemas.openxmlformats.org/officeDocument/2006/relationships/hyperlink" Target="http://www.wikidata.org/entity/Q2627945" TargetMode="External"/><Relationship Id="rId2109" Type="http://schemas.openxmlformats.org/officeDocument/2006/relationships/hyperlink" Target="http://www.wikidata.org/entity/Q2374149" TargetMode="External"/><Relationship Id="rId3439" Type="http://schemas.openxmlformats.org/officeDocument/2006/relationships/hyperlink" Target="http://www.wikidata.org/entity/Q3515115" TargetMode="External"/><Relationship Id="rId3430" Type="http://schemas.openxmlformats.org/officeDocument/2006/relationships/hyperlink" Target="http://www.wikidata.org/entity/Q36180" TargetMode="External"/><Relationship Id="rId2100" Type="http://schemas.openxmlformats.org/officeDocument/2006/relationships/hyperlink" Target="http://www.wikidata.org/entity/Q29019503" TargetMode="External"/><Relationship Id="rId3432" Type="http://schemas.openxmlformats.org/officeDocument/2006/relationships/hyperlink" Target="http://www.wikidata.org/entity/Q2203619" TargetMode="External"/><Relationship Id="rId2101" Type="http://schemas.openxmlformats.org/officeDocument/2006/relationships/hyperlink" Target="http://www.wikidata.org/entity/Q1622272" TargetMode="External"/><Relationship Id="rId3431" Type="http://schemas.openxmlformats.org/officeDocument/2006/relationships/hyperlink" Target="http://commons.wikimedia.org/wiki/Special:FilePath/Bishop%20Camillus%20Paul%20Maes.jpg" TargetMode="External"/><Relationship Id="rId2102" Type="http://schemas.openxmlformats.org/officeDocument/2006/relationships/hyperlink" Target="http://commons.wikimedia.org/wiki/Special:FilePath/WillemDeVreese.jpg" TargetMode="External"/><Relationship Id="rId3434" Type="http://schemas.openxmlformats.org/officeDocument/2006/relationships/hyperlink" Target="http://commons.wikimedia.org/wiki/Special:FilePath/Canon%20Camille%20Looten.jpg" TargetMode="External"/><Relationship Id="rId2103" Type="http://schemas.openxmlformats.org/officeDocument/2006/relationships/hyperlink" Target="http://www.wikidata.org/entity/Q970833" TargetMode="External"/><Relationship Id="rId3433" Type="http://schemas.openxmlformats.org/officeDocument/2006/relationships/hyperlink" Target="http://www.wikidata.org/entity/Q2251335" TargetMode="External"/><Relationship Id="rId3425" Type="http://schemas.openxmlformats.org/officeDocument/2006/relationships/hyperlink" Target="http://www.wikidata.org/entity/Q36834" TargetMode="External"/><Relationship Id="rId3424" Type="http://schemas.openxmlformats.org/officeDocument/2006/relationships/hyperlink" Target="http://www.wikidata.org/entity/Q3531475" TargetMode="External"/><Relationship Id="rId3427" Type="http://schemas.openxmlformats.org/officeDocument/2006/relationships/hyperlink" Target="http://www.wikidata.org/entity/Q1056391" TargetMode="External"/><Relationship Id="rId3426" Type="http://schemas.openxmlformats.org/officeDocument/2006/relationships/hyperlink" Target="http://www.wikidata.org/entity/Q2099446" TargetMode="External"/><Relationship Id="rId3429" Type="http://schemas.openxmlformats.org/officeDocument/2006/relationships/hyperlink" Target="http://www.wikidata.org/entity/Q5026719" TargetMode="External"/><Relationship Id="rId3428" Type="http://schemas.openxmlformats.org/officeDocument/2006/relationships/hyperlink" Target="http://commons.wikimedia.org/wiki/Special:FilePath/Amaat%20Joos.jpg" TargetMode="External"/><Relationship Id="rId899" Type="http://schemas.openxmlformats.org/officeDocument/2006/relationships/hyperlink" Target="http://commons.wikimedia.org/wiki/Special:FilePath/Max%20Rooses.jpg" TargetMode="External"/><Relationship Id="rId898" Type="http://schemas.openxmlformats.org/officeDocument/2006/relationships/hyperlink" Target="http://www.wikidata.org/entity/Q36180" TargetMode="External"/><Relationship Id="rId897" Type="http://schemas.openxmlformats.org/officeDocument/2006/relationships/hyperlink" Target="http://www.wikidata.org/entity/Q2413334" TargetMode="External"/><Relationship Id="rId896" Type="http://schemas.openxmlformats.org/officeDocument/2006/relationships/hyperlink" Target="http://commons.wikimedia.org/wiki/Special:FilePath/HugoVerriest.jpg" TargetMode="External"/><Relationship Id="rId891" Type="http://schemas.openxmlformats.org/officeDocument/2006/relationships/hyperlink" Target="http://www.wikidata.org/entity/Q981444" TargetMode="External"/><Relationship Id="rId890" Type="http://schemas.openxmlformats.org/officeDocument/2006/relationships/hyperlink" Target="http://commons.wikimedia.org/wiki/Special:FilePath/G%C3%A9rard%20van%20Caloen%20%28detail%29.jpg" TargetMode="External"/><Relationship Id="rId895" Type="http://schemas.openxmlformats.org/officeDocument/2006/relationships/hyperlink" Target="http://www.wikidata.org/entity/Q49757" TargetMode="External"/><Relationship Id="rId3421" Type="http://schemas.openxmlformats.org/officeDocument/2006/relationships/hyperlink" Target="http://www.wikidata.org/entity/Q2099446" TargetMode="External"/><Relationship Id="rId894" Type="http://schemas.openxmlformats.org/officeDocument/2006/relationships/hyperlink" Target="http://www.wikidata.org/entity/Q981444" TargetMode="External"/><Relationship Id="rId3420" Type="http://schemas.openxmlformats.org/officeDocument/2006/relationships/hyperlink" Target="http://commons.wikimedia.org/wiki/Special:FilePath/Bishop%20Camillus%20Paul%20Maes.jpg" TargetMode="External"/><Relationship Id="rId893" Type="http://schemas.openxmlformats.org/officeDocument/2006/relationships/hyperlink" Target="http://commons.wikimedia.org/wiki/Special:FilePath/HugoVerriest.jpg" TargetMode="External"/><Relationship Id="rId3423" Type="http://schemas.openxmlformats.org/officeDocument/2006/relationships/hyperlink" Target="http://commons.wikimedia.org/wiki/Special:FilePath/Amaat%20Joos.jpg" TargetMode="External"/><Relationship Id="rId892" Type="http://schemas.openxmlformats.org/officeDocument/2006/relationships/hyperlink" Target="http://www.wikidata.org/entity/Q36180" TargetMode="External"/><Relationship Id="rId3422" Type="http://schemas.openxmlformats.org/officeDocument/2006/relationships/hyperlink" Target="http://www.wikidata.org/entity/Q4773904" TargetMode="External"/><Relationship Id="rId2126" Type="http://schemas.openxmlformats.org/officeDocument/2006/relationships/hyperlink" Target="http://commons.wikimedia.org/wiki/Special:FilePath/Kortrijk%20Astridpark-11.JPG" TargetMode="External"/><Relationship Id="rId3458" Type="http://schemas.openxmlformats.org/officeDocument/2006/relationships/hyperlink" Target="http://www.wikidata.org/entity/Q661733" TargetMode="External"/><Relationship Id="rId2127" Type="http://schemas.openxmlformats.org/officeDocument/2006/relationships/hyperlink" Target="http://www.wikidata.org/entity/Q2332586" TargetMode="External"/><Relationship Id="rId3457" Type="http://schemas.openxmlformats.org/officeDocument/2006/relationships/hyperlink" Target="http://www.wikidata.org/entity/Q36180" TargetMode="External"/><Relationship Id="rId2128" Type="http://schemas.openxmlformats.org/officeDocument/2006/relationships/hyperlink" Target="http://www.wikidata.org/entity/Q1753370" TargetMode="External"/><Relationship Id="rId2129" Type="http://schemas.openxmlformats.org/officeDocument/2006/relationships/hyperlink" Target="http://www.wikidata.org/entity/Q2266893" TargetMode="External"/><Relationship Id="rId3459" Type="http://schemas.openxmlformats.org/officeDocument/2006/relationships/hyperlink" Target="http://www.wikidata.org/entity/Q82955" TargetMode="External"/><Relationship Id="rId3450" Type="http://schemas.openxmlformats.org/officeDocument/2006/relationships/hyperlink" Target="http://www.wikidata.org/entity/Q15956" TargetMode="External"/><Relationship Id="rId2120" Type="http://schemas.openxmlformats.org/officeDocument/2006/relationships/hyperlink" Target="http://www.wikidata.org/entity/Q43129301" TargetMode="External"/><Relationship Id="rId3452" Type="http://schemas.openxmlformats.org/officeDocument/2006/relationships/hyperlink" Target="http://commons.wikimedia.org/wiki/Special:FilePath/Frans%20Schollaert.jpg" TargetMode="External"/><Relationship Id="rId2121" Type="http://schemas.openxmlformats.org/officeDocument/2006/relationships/hyperlink" Target="http://www.wikidata.org/entity/Q42603" TargetMode="External"/><Relationship Id="rId3451" Type="http://schemas.openxmlformats.org/officeDocument/2006/relationships/hyperlink" Target="http://www.wikidata.org/entity/Q82955" TargetMode="External"/><Relationship Id="rId2122" Type="http://schemas.openxmlformats.org/officeDocument/2006/relationships/hyperlink" Target="http://www.wikidata.org/entity/Q13576607" TargetMode="External"/><Relationship Id="rId3454" Type="http://schemas.openxmlformats.org/officeDocument/2006/relationships/hyperlink" Target="http://www.wikidata.org/entity/Q2251335" TargetMode="External"/><Relationship Id="rId2123" Type="http://schemas.openxmlformats.org/officeDocument/2006/relationships/hyperlink" Target="http://www.wikidata.org/entity/Q1753370" TargetMode="External"/><Relationship Id="rId3453" Type="http://schemas.openxmlformats.org/officeDocument/2006/relationships/hyperlink" Target="http://www.wikidata.org/entity/Q975292" TargetMode="External"/><Relationship Id="rId2124" Type="http://schemas.openxmlformats.org/officeDocument/2006/relationships/hyperlink" Target="http://www.wikidata.org/entity/Q2490990" TargetMode="External"/><Relationship Id="rId3456" Type="http://schemas.openxmlformats.org/officeDocument/2006/relationships/hyperlink" Target="http://www.wikidata.org/entity/Q2163210" TargetMode="External"/><Relationship Id="rId2125" Type="http://schemas.openxmlformats.org/officeDocument/2006/relationships/hyperlink" Target="http://www.wikidata.org/entity/Q40348" TargetMode="External"/><Relationship Id="rId3455" Type="http://schemas.openxmlformats.org/officeDocument/2006/relationships/hyperlink" Target="http://commons.wikimedia.org/wiki/Special:FilePath/Jan%20Van%20Beers.jpg" TargetMode="External"/><Relationship Id="rId2115" Type="http://schemas.openxmlformats.org/officeDocument/2006/relationships/hyperlink" Target="http://www.wikidata.org/entity/Q322106" TargetMode="External"/><Relationship Id="rId3447" Type="http://schemas.openxmlformats.org/officeDocument/2006/relationships/hyperlink" Target="http://www.wikidata.org/entity/Q3515115" TargetMode="External"/><Relationship Id="rId2116" Type="http://schemas.openxmlformats.org/officeDocument/2006/relationships/hyperlink" Target="http://www.wikidata.org/entity/Q1622272" TargetMode="External"/><Relationship Id="rId3446" Type="http://schemas.openxmlformats.org/officeDocument/2006/relationships/hyperlink" Target="http://commons.wikimedia.org/wiki/Special:FilePath/Jan%20Van%20Beers.jpg" TargetMode="External"/><Relationship Id="rId2117" Type="http://schemas.openxmlformats.org/officeDocument/2006/relationships/hyperlink" Target="http://commons.wikimedia.org/wiki/Special:FilePath/Portrait%20of%20Walter%20William%20Skeat.jpg" TargetMode="External"/><Relationship Id="rId3449" Type="http://schemas.openxmlformats.org/officeDocument/2006/relationships/hyperlink" Target="http://commons.wikimedia.org/wiki/Special:FilePath/Pol%20de%20Mont%201896.jpg" TargetMode="External"/><Relationship Id="rId2118" Type="http://schemas.openxmlformats.org/officeDocument/2006/relationships/hyperlink" Target="http://www.wikidata.org/entity/Q2627945" TargetMode="External"/><Relationship Id="rId3448" Type="http://schemas.openxmlformats.org/officeDocument/2006/relationships/hyperlink" Target="http://www.wikidata.org/entity/Q2251335" TargetMode="External"/><Relationship Id="rId2119" Type="http://schemas.openxmlformats.org/officeDocument/2006/relationships/hyperlink" Target="http://www.wikidata.org/entity/Q2251335" TargetMode="External"/><Relationship Id="rId3441" Type="http://schemas.openxmlformats.org/officeDocument/2006/relationships/hyperlink" Target="http://commons.wikimedia.org/wiki/Special:FilePath/Pol%20de%20Mont%201896.jpg" TargetMode="External"/><Relationship Id="rId2110" Type="http://schemas.openxmlformats.org/officeDocument/2006/relationships/hyperlink" Target="http://www.wikidata.org/entity/Q2332586" TargetMode="External"/><Relationship Id="rId3440" Type="http://schemas.openxmlformats.org/officeDocument/2006/relationships/hyperlink" Target="http://www.wikidata.org/entity/Q82955" TargetMode="External"/><Relationship Id="rId2111" Type="http://schemas.openxmlformats.org/officeDocument/2006/relationships/hyperlink" Target="http://www.wikidata.org/entity/Q2251335" TargetMode="External"/><Relationship Id="rId3443" Type="http://schemas.openxmlformats.org/officeDocument/2006/relationships/hyperlink" Target="http://www.wikidata.org/entity/Q1753370" TargetMode="External"/><Relationship Id="rId2112" Type="http://schemas.openxmlformats.org/officeDocument/2006/relationships/hyperlink" Target="http://www.wikidata.org/entity/Q2539969" TargetMode="External"/><Relationship Id="rId3442" Type="http://schemas.openxmlformats.org/officeDocument/2006/relationships/hyperlink" Target="http://www.wikidata.org/entity/Q2658862" TargetMode="External"/><Relationship Id="rId2113" Type="http://schemas.openxmlformats.org/officeDocument/2006/relationships/hyperlink" Target="http://www.wikidata.org/entity/Q36180" TargetMode="External"/><Relationship Id="rId3445" Type="http://schemas.openxmlformats.org/officeDocument/2006/relationships/hyperlink" Target="http://www.wikidata.org/entity/Q182436" TargetMode="External"/><Relationship Id="rId2114" Type="http://schemas.openxmlformats.org/officeDocument/2006/relationships/hyperlink" Target="http://commons.wikimedia.org/wiki/Special:FilePath/Alfons%20Siffer%201850-1941.jpg" TargetMode="External"/><Relationship Id="rId3444" Type="http://schemas.openxmlformats.org/officeDocument/2006/relationships/hyperlink" Target="http://www.wikidata.org/entity/Q975292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wikidata.org/entity/Q4773904" TargetMode="External"/><Relationship Id="rId391" Type="http://schemas.openxmlformats.org/officeDocument/2006/relationships/hyperlink" Target="http://www.wikidata.org/entity/Q3185717" TargetMode="External"/><Relationship Id="rId390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2180" Type="http://schemas.openxmlformats.org/officeDocument/2006/relationships/hyperlink" Target="http://www.wikidata.org/entity/Q2770967" TargetMode="External"/><Relationship Id="rId2181" Type="http://schemas.openxmlformats.org/officeDocument/2006/relationships/hyperlink" Target="http://www.wikidata.org/entity/Q201788" TargetMode="External"/><Relationship Id="rId2182" Type="http://schemas.openxmlformats.org/officeDocument/2006/relationships/hyperlink" Target="http://www.wikidata.org/entity/Q13576607" TargetMode="External"/><Relationship Id="rId2183" Type="http://schemas.openxmlformats.org/officeDocument/2006/relationships/hyperlink" Target="http://www.wikidata.org/entity/Q42603" TargetMode="External"/><Relationship Id="rId385" Type="http://schemas.openxmlformats.org/officeDocument/2006/relationships/hyperlink" Target="http://www.wikidata.org/entity/Q571426" TargetMode="External"/><Relationship Id="rId2184" Type="http://schemas.openxmlformats.org/officeDocument/2006/relationships/hyperlink" Target="http://www.wikidata.org/entity/Q2332586" TargetMode="External"/><Relationship Id="rId384" Type="http://schemas.openxmlformats.org/officeDocument/2006/relationships/hyperlink" Target="http://commons.wikimedia.org/wiki/Special:FilePath/WLvanHelten.jpg" TargetMode="External"/><Relationship Id="rId2185" Type="http://schemas.openxmlformats.org/officeDocument/2006/relationships/hyperlink" Target="http://www.wikidata.org/entity/Q36834" TargetMode="External"/><Relationship Id="rId383" Type="http://schemas.openxmlformats.org/officeDocument/2006/relationships/hyperlink" Target="http://www.wikidata.org/entity/Q2251335" TargetMode="External"/><Relationship Id="rId2186" Type="http://schemas.openxmlformats.org/officeDocument/2006/relationships/hyperlink" Target="http://www.wikidata.org/entity/Q2770967" TargetMode="External"/><Relationship Id="rId382" Type="http://schemas.openxmlformats.org/officeDocument/2006/relationships/hyperlink" Target="http://www.wikidata.org/entity/Q18093100" TargetMode="External"/><Relationship Id="rId2187" Type="http://schemas.openxmlformats.org/officeDocument/2006/relationships/hyperlink" Target="http://www.wikidata.org/entity/Q250867" TargetMode="External"/><Relationship Id="rId389" Type="http://schemas.openxmlformats.org/officeDocument/2006/relationships/hyperlink" Target="http://www.wikidata.org/entity/Q2251335" TargetMode="External"/><Relationship Id="rId2188" Type="http://schemas.openxmlformats.org/officeDocument/2006/relationships/hyperlink" Target="http://www.wikidata.org/entity/Q7190386" TargetMode="External"/><Relationship Id="rId388" Type="http://schemas.openxmlformats.org/officeDocument/2006/relationships/hyperlink" Target="http://www.wikidata.org/entity/Q2426280" TargetMode="External"/><Relationship Id="rId2189" Type="http://schemas.openxmlformats.org/officeDocument/2006/relationships/hyperlink" Target="http://www.wikidata.org/entity/Q1753370" TargetMode="External"/><Relationship Id="rId387" Type="http://schemas.openxmlformats.org/officeDocument/2006/relationships/hyperlink" Target="http://commons.wikimedia.org/wiki/Special:FilePath/Johan%20Hendrik%20Caspar%20Kern.jpg" TargetMode="External"/><Relationship Id="rId386" Type="http://schemas.openxmlformats.org/officeDocument/2006/relationships/hyperlink" Target="http://www.wikidata.org/entity/Q14467526" TargetMode="External"/><Relationship Id="rId381" Type="http://schemas.openxmlformats.org/officeDocument/2006/relationships/hyperlink" Target="http://www.wikidata.org/entity/Q11977377" TargetMode="External"/><Relationship Id="rId380" Type="http://schemas.openxmlformats.org/officeDocument/2006/relationships/hyperlink" Target="http://www.wikidata.org/entity/Q2450554" TargetMode="External"/><Relationship Id="rId379" Type="http://schemas.openxmlformats.org/officeDocument/2006/relationships/hyperlink" Target="http://commons.wikimedia.org/wiki/Special:FilePath/Portret%20van%20Edmond%20Van%20der%20Straeten%201895%20barcode%20910000105444.jpg" TargetMode="External"/><Relationship Id="rId2170" Type="http://schemas.openxmlformats.org/officeDocument/2006/relationships/hyperlink" Target="http://www.wikidata.org/entity/Q2215154" TargetMode="External"/><Relationship Id="rId2171" Type="http://schemas.openxmlformats.org/officeDocument/2006/relationships/hyperlink" Target="http://www.wikidata.org/entity/Q250867" TargetMode="External"/><Relationship Id="rId2172" Type="http://schemas.openxmlformats.org/officeDocument/2006/relationships/hyperlink" Target="http://www.wikidata.org/entity/Q2546317" TargetMode="External"/><Relationship Id="rId374" Type="http://schemas.openxmlformats.org/officeDocument/2006/relationships/hyperlink" Target="http://www.wikidata.org/entity/Q14101076" TargetMode="External"/><Relationship Id="rId2173" Type="http://schemas.openxmlformats.org/officeDocument/2006/relationships/hyperlink" Target="http://www.wikidata.org/entity/Q6051619" TargetMode="External"/><Relationship Id="rId373" Type="http://schemas.openxmlformats.org/officeDocument/2006/relationships/hyperlink" Target="http://commons.wikimedia.org/wiki/Special:FilePath/Joseph%20van%20den%20Gheyn%20%281854-1913%29.jpg" TargetMode="External"/><Relationship Id="rId2174" Type="http://schemas.openxmlformats.org/officeDocument/2006/relationships/hyperlink" Target="http://commons.wikimedia.org/wiki/Special:FilePath/Eugeen%20van%20Oye%20-%20Statue%20in%20Gistel.jpg" TargetMode="External"/><Relationship Id="rId372" Type="http://schemas.openxmlformats.org/officeDocument/2006/relationships/hyperlink" Target="http://www.wikidata.org/entity/Q435940" TargetMode="External"/><Relationship Id="rId2175" Type="http://schemas.openxmlformats.org/officeDocument/2006/relationships/hyperlink" Target="http://www.wikidata.org/entity/Q2183646" TargetMode="External"/><Relationship Id="rId371" Type="http://schemas.openxmlformats.org/officeDocument/2006/relationships/hyperlink" Target="http://www.wikidata.org/entity/Q3185717" TargetMode="External"/><Relationship Id="rId2176" Type="http://schemas.openxmlformats.org/officeDocument/2006/relationships/hyperlink" Target="http://www.wikidata.org/entity/Q774306" TargetMode="External"/><Relationship Id="rId378" Type="http://schemas.openxmlformats.org/officeDocument/2006/relationships/hyperlink" Target="http://www.wikidata.org/entity/Q36180" TargetMode="External"/><Relationship Id="rId2177" Type="http://schemas.openxmlformats.org/officeDocument/2006/relationships/hyperlink" Target="http://commons.wikimedia.org/wiki/Special:FilePath/Emiel%20Lauwers%20-%20Kortrijk%20-%20Belgi%C3%AB.jpg" TargetMode="External"/><Relationship Id="rId377" Type="http://schemas.openxmlformats.org/officeDocument/2006/relationships/hyperlink" Target="http://www.wikidata.org/entity/Q18533827" TargetMode="External"/><Relationship Id="rId2178" Type="http://schemas.openxmlformats.org/officeDocument/2006/relationships/hyperlink" Target="http://www.wikidata.org/entity/Q2332586" TargetMode="External"/><Relationship Id="rId376" Type="http://schemas.openxmlformats.org/officeDocument/2006/relationships/hyperlink" Target="http://commons.wikimedia.org/wiki/Special:FilePath/PieterG%C3%A9nard.jpg" TargetMode="External"/><Relationship Id="rId2179" Type="http://schemas.openxmlformats.org/officeDocument/2006/relationships/hyperlink" Target="http://www.wikidata.org/entity/Q49757" TargetMode="External"/><Relationship Id="rId375" Type="http://schemas.openxmlformats.org/officeDocument/2006/relationships/hyperlink" Target="http://www.wikidata.org/entity/Q212238" TargetMode="External"/><Relationship Id="rId2190" Type="http://schemas.openxmlformats.org/officeDocument/2006/relationships/hyperlink" Target="http://www.wikidata.org/entity/Q2332586" TargetMode="External"/><Relationship Id="rId2191" Type="http://schemas.openxmlformats.org/officeDocument/2006/relationships/hyperlink" Target="http://www.wikidata.org/entity/Q42603" TargetMode="External"/><Relationship Id="rId2192" Type="http://schemas.openxmlformats.org/officeDocument/2006/relationships/hyperlink" Target="http://www.wikidata.org/entity/Q2770967" TargetMode="External"/><Relationship Id="rId2193" Type="http://schemas.openxmlformats.org/officeDocument/2006/relationships/hyperlink" Target="http://www.wikidata.org/entity/Q1622272" TargetMode="External"/><Relationship Id="rId2194" Type="http://schemas.openxmlformats.org/officeDocument/2006/relationships/hyperlink" Target="http://www.wikidata.org/entity/Q2183646" TargetMode="External"/><Relationship Id="rId396" Type="http://schemas.openxmlformats.org/officeDocument/2006/relationships/hyperlink" Target="http://commons.wikimedia.org/wiki/Special:FilePath/Edward%20De%20Gryse%20-%20priester-deken%20-%20Kortrijk.jpg" TargetMode="External"/><Relationship Id="rId2195" Type="http://schemas.openxmlformats.org/officeDocument/2006/relationships/hyperlink" Target="http://www.wikidata.org/entity/Q39631" TargetMode="External"/><Relationship Id="rId395" Type="http://schemas.openxmlformats.org/officeDocument/2006/relationships/hyperlink" Target="http://www.wikidata.org/entity/Q2251335" TargetMode="External"/><Relationship Id="rId2196" Type="http://schemas.openxmlformats.org/officeDocument/2006/relationships/hyperlink" Target="http://commons.wikimedia.org/wiki/Special:FilePath/Emiel%20Lauwers%20-%20Kortrijk%20-%20Belgi%C3%AB.jpg" TargetMode="External"/><Relationship Id="rId394" Type="http://schemas.openxmlformats.org/officeDocument/2006/relationships/hyperlink" Target="http://www.wikidata.org/entity/Q2345694" TargetMode="External"/><Relationship Id="rId2197" Type="http://schemas.openxmlformats.org/officeDocument/2006/relationships/hyperlink" Target="http://www.wikidata.org/entity/Q2154331" TargetMode="External"/><Relationship Id="rId393" Type="http://schemas.openxmlformats.org/officeDocument/2006/relationships/hyperlink" Target="http://commons.wikimedia.org/wiki/Special:FilePath/Joseph%20van%20den%20Gheyn%20%281854-1913%29.jpg" TargetMode="External"/><Relationship Id="rId2198" Type="http://schemas.openxmlformats.org/officeDocument/2006/relationships/hyperlink" Target="http://www.wikidata.org/entity/Q1657500" TargetMode="External"/><Relationship Id="rId2199" Type="http://schemas.openxmlformats.org/officeDocument/2006/relationships/hyperlink" Target="http://www.wikidata.org/entity/Q2627945" TargetMode="External"/><Relationship Id="rId399" Type="http://schemas.openxmlformats.org/officeDocument/2006/relationships/hyperlink" Target="http://commons.wikimedia.org/wiki/Special:FilePath/James%20Weale.jpg" TargetMode="External"/><Relationship Id="rId398" Type="http://schemas.openxmlformats.org/officeDocument/2006/relationships/hyperlink" Target="http://www.wikidata.org/entity/Q47090899" TargetMode="External"/><Relationship Id="rId397" Type="http://schemas.openxmlformats.org/officeDocument/2006/relationships/hyperlink" Target="http://www.wikidata.org/entity/Q2062803" TargetMode="External"/><Relationship Id="rId1730" Type="http://schemas.openxmlformats.org/officeDocument/2006/relationships/hyperlink" Target="http://www.wikidata.org/entity/Q182436" TargetMode="External"/><Relationship Id="rId1731" Type="http://schemas.openxmlformats.org/officeDocument/2006/relationships/hyperlink" Target="http://www.wikidata.org/entity/Q116460145" TargetMode="External"/><Relationship Id="rId1732" Type="http://schemas.openxmlformats.org/officeDocument/2006/relationships/hyperlink" Target="http://www.wikidata.org/entity/Q635734" TargetMode="External"/><Relationship Id="rId1733" Type="http://schemas.openxmlformats.org/officeDocument/2006/relationships/hyperlink" Target="http://www.wikidata.org/entity/Q116460145" TargetMode="External"/><Relationship Id="rId1734" Type="http://schemas.openxmlformats.org/officeDocument/2006/relationships/hyperlink" Target="http://www.wikidata.org/entity/Q876864" TargetMode="External"/><Relationship Id="rId1735" Type="http://schemas.openxmlformats.org/officeDocument/2006/relationships/hyperlink" Target="http://www.wikidata.org/entity/Q116460145" TargetMode="External"/><Relationship Id="rId1736" Type="http://schemas.openxmlformats.org/officeDocument/2006/relationships/hyperlink" Target="http://www.wikidata.org/entity/Q1021658" TargetMode="External"/><Relationship Id="rId1737" Type="http://schemas.openxmlformats.org/officeDocument/2006/relationships/hyperlink" Target="http://www.wikidata.org/entity/Q115839360" TargetMode="External"/><Relationship Id="rId1738" Type="http://schemas.openxmlformats.org/officeDocument/2006/relationships/hyperlink" Target="http://www.wikidata.org/entity/Q11977377" TargetMode="External"/><Relationship Id="rId1739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1720" Type="http://schemas.openxmlformats.org/officeDocument/2006/relationships/hyperlink" Target="http://www.wikidata.org/entity/Q5322166" TargetMode="External"/><Relationship Id="rId1721" Type="http://schemas.openxmlformats.org/officeDocument/2006/relationships/hyperlink" Target="http://www.wikidata.org/entity/Q115982545" TargetMode="External"/><Relationship Id="rId1722" Type="http://schemas.openxmlformats.org/officeDocument/2006/relationships/hyperlink" Target="http://www.wikidata.org/entity/Q115705951" TargetMode="External"/><Relationship Id="rId1723" Type="http://schemas.openxmlformats.org/officeDocument/2006/relationships/hyperlink" Target="http://www.wikidata.org/entity/Q120721942" TargetMode="External"/><Relationship Id="rId1724" Type="http://schemas.openxmlformats.org/officeDocument/2006/relationships/hyperlink" Target="http://www.wikidata.org/entity/Q1469535" TargetMode="External"/><Relationship Id="rId1725" Type="http://schemas.openxmlformats.org/officeDocument/2006/relationships/hyperlink" Target="http://www.wikidata.org/entity/Q116508494" TargetMode="External"/><Relationship Id="rId1726" Type="http://schemas.openxmlformats.org/officeDocument/2006/relationships/hyperlink" Target="http://www.wikidata.org/entity/Q37226" TargetMode="External"/><Relationship Id="rId1727" Type="http://schemas.openxmlformats.org/officeDocument/2006/relationships/hyperlink" Target="http://www.wikidata.org/entity/Q116460145" TargetMode="External"/><Relationship Id="rId1728" Type="http://schemas.openxmlformats.org/officeDocument/2006/relationships/hyperlink" Target="http://www.wikidata.org/entity/Q212238" TargetMode="External"/><Relationship Id="rId1729" Type="http://schemas.openxmlformats.org/officeDocument/2006/relationships/hyperlink" Target="http://www.wikidata.org/entity/Q116460145" TargetMode="External"/><Relationship Id="rId1752" Type="http://schemas.openxmlformats.org/officeDocument/2006/relationships/hyperlink" Target="http://www.wikidata.org/entity/Q115982545" TargetMode="External"/><Relationship Id="rId1753" Type="http://schemas.openxmlformats.org/officeDocument/2006/relationships/hyperlink" Target="http://www.wikidata.org/entity/Q2251335" TargetMode="External"/><Relationship Id="rId1754" Type="http://schemas.openxmlformats.org/officeDocument/2006/relationships/hyperlink" Target="http://www.wikidata.org/entity/Q115982548" TargetMode="External"/><Relationship Id="rId1755" Type="http://schemas.openxmlformats.org/officeDocument/2006/relationships/hyperlink" Target="http://www.wikidata.org/entity/Q2251335" TargetMode="External"/><Relationship Id="rId1756" Type="http://schemas.openxmlformats.org/officeDocument/2006/relationships/hyperlink" Target="http://www.wikidata.org/entity/Q116460145" TargetMode="External"/><Relationship Id="rId1757" Type="http://schemas.openxmlformats.org/officeDocument/2006/relationships/hyperlink" Target="http://www.wikidata.org/entity/Q1365552" TargetMode="External"/><Relationship Id="rId1758" Type="http://schemas.openxmlformats.org/officeDocument/2006/relationships/hyperlink" Target="http://www.wikidata.org/entity/Q119006339" TargetMode="External"/><Relationship Id="rId1759" Type="http://schemas.openxmlformats.org/officeDocument/2006/relationships/hyperlink" Target="http://www.wikidata.org/entity/Q833860" TargetMode="External"/><Relationship Id="rId1750" Type="http://schemas.openxmlformats.org/officeDocument/2006/relationships/hyperlink" Target="http://www.wikidata.org/entity/Q115982548" TargetMode="External"/><Relationship Id="rId1751" Type="http://schemas.openxmlformats.org/officeDocument/2006/relationships/hyperlink" Target="http://www.wikidata.org/entity/Q250867" TargetMode="External"/><Relationship Id="rId1741" Type="http://schemas.openxmlformats.org/officeDocument/2006/relationships/hyperlink" Target="http://www.wikidata.org/entity/Q836904" TargetMode="External"/><Relationship Id="rId1742" Type="http://schemas.openxmlformats.org/officeDocument/2006/relationships/hyperlink" Target="http://www.wikidata.org/entity/Q116460145" TargetMode="External"/><Relationship Id="rId1743" Type="http://schemas.openxmlformats.org/officeDocument/2006/relationships/hyperlink" Target="http://www.wikidata.org/entity/Q998550" TargetMode="External"/><Relationship Id="rId1744" Type="http://schemas.openxmlformats.org/officeDocument/2006/relationships/hyperlink" Target="http://www.wikidata.org/entity/Q115982545" TargetMode="External"/><Relationship Id="rId1745" Type="http://schemas.openxmlformats.org/officeDocument/2006/relationships/hyperlink" Target="http://www.wikidata.org/entity/Q955464" TargetMode="External"/><Relationship Id="rId1746" Type="http://schemas.openxmlformats.org/officeDocument/2006/relationships/hyperlink" Target="http://www.wikidata.org/entity/Q115982548" TargetMode="External"/><Relationship Id="rId1747" Type="http://schemas.openxmlformats.org/officeDocument/2006/relationships/hyperlink" Target="http://www.wikidata.org/entity/Q955464" TargetMode="External"/><Relationship Id="rId1748" Type="http://schemas.openxmlformats.org/officeDocument/2006/relationships/hyperlink" Target="http://www.wikidata.org/entity/Q115982545" TargetMode="External"/><Relationship Id="rId1749" Type="http://schemas.openxmlformats.org/officeDocument/2006/relationships/hyperlink" Target="http://www.wikidata.org/entity/Q250867" TargetMode="External"/><Relationship Id="rId1740" Type="http://schemas.openxmlformats.org/officeDocument/2006/relationships/hyperlink" Target="http://www.wikidata.org/entity/Q118772822" TargetMode="External"/><Relationship Id="rId1710" Type="http://schemas.openxmlformats.org/officeDocument/2006/relationships/hyperlink" Target="http://www.wikidata.org/entity/Q6673651" TargetMode="External"/><Relationship Id="rId1711" Type="http://schemas.openxmlformats.org/officeDocument/2006/relationships/hyperlink" Target="http://www.wikidata.org/entity/Q118644563" TargetMode="External"/><Relationship Id="rId1712" Type="http://schemas.openxmlformats.org/officeDocument/2006/relationships/hyperlink" Target="http://www.wikidata.org/entity/Q435940" TargetMode="External"/><Relationship Id="rId1713" Type="http://schemas.openxmlformats.org/officeDocument/2006/relationships/hyperlink" Target="http://www.wikidata.org/entity/Q118612085" TargetMode="External"/><Relationship Id="rId1714" Type="http://schemas.openxmlformats.org/officeDocument/2006/relationships/hyperlink" Target="http://www.wikidata.org/entity/Q3704253" TargetMode="External"/><Relationship Id="rId1715" Type="http://schemas.openxmlformats.org/officeDocument/2006/relationships/hyperlink" Target="http://www.wikidata.org/entity/Q120721942" TargetMode="External"/><Relationship Id="rId1716" Type="http://schemas.openxmlformats.org/officeDocument/2006/relationships/hyperlink" Target="http://www.wikidata.org/entity/Q1657500" TargetMode="External"/><Relationship Id="rId1717" Type="http://schemas.openxmlformats.org/officeDocument/2006/relationships/hyperlink" Target="http://www.wikidata.org/entity/Q118612085" TargetMode="External"/><Relationship Id="rId1718" Type="http://schemas.openxmlformats.org/officeDocument/2006/relationships/hyperlink" Target="http://www.wikidata.org/entity/Q2251335" TargetMode="External"/><Relationship Id="rId1719" Type="http://schemas.openxmlformats.org/officeDocument/2006/relationships/hyperlink" Target="http://www.wikidata.org/entity/Q118612085" TargetMode="External"/><Relationship Id="rId1700" Type="http://schemas.openxmlformats.org/officeDocument/2006/relationships/hyperlink" Target="http://www.wikidata.org/entity/Q120721942" TargetMode="External"/><Relationship Id="rId1701" Type="http://schemas.openxmlformats.org/officeDocument/2006/relationships/hyperlink" Target="http://www.wikidata.org/entity/Q2251335" TargetMode="External"/><Relationship Id="rId1702" Type="http://schemas.openxmlformats.org/officeDocument/2006/relationships/hyperlink" Target="http://www.wikidata.org/entity/Q119860278" TargetMode="External"/><Relationship Id="rId1703" Type="http://schemas.openxmlformats.org/officeDocument/2006/relationships/hyperlink" Target="http://www.wikidata.org/entity/Q998550" TargetMode="External"/><Relationship Id="rId1704" Type="http://schemas.openxmlformats.org/officeDocument/2006/relationships/hyperlink" Target="http://www.wikidata.org/entity/Q117244596" TargetMode="External"/><Relationship Id="rId1705" Type="http://schemas.openxmlformats.org/officeDocument/2006/relationships/hyperlink" Target="http://www.wikidata.org/entity/Q833860" TargetMode="External"/><Relationship Id="rId1706" Type="http://schemas.openxmlformats.org/officeDocument/2006/relationships/hyperlink" Target="http://commons.wikimedia.org/wiki/Special:FilePath/Foto%20van%20Hortense%20Gezelle.jpg" TargetMode="External"/><Relationship Id="rId1707" Type="http://schemas.openxmlformats.org/officeDocument/2006/relationships/hyperlink" Target="http://www.wikidata.org/entity/Q120729903" TargetMode="External"/><Relationship Id="rId1708" Type="http://schemas.openxmlformats.org/officeDocument/2006/relationships/hyperlink" Target="http://www.wikidata.org/entity/Q219477" TargetMode="External"/><Relationship Id="rId1709" Type="http://schemas.openxmlformats.org/officeDocument/2006/relationships/hyperlink" Target="http://www.wikidata.org/entity/Q119860278" TargetMode="External"/><Relationship Id="rId40" Type="http://schemas.openxmlformats.org/officeDocument/2006/relationships/hyperlink" Target="http://www.wikidata.org/entity/Q2251335" TargetMode="External"/><Relationship Id="rId3513" Type="http://schemas.openxmlformats.org/officeDocument/2006/relationships/hyperlink" Target="http://commons.wikimedia.org/wiki/Special:FilePath/Eerwaarde%20Heer%20pastoor%20Dani%C3%ABls%2C%20PA04467.jpg" TargetMode="External"/><Relationship Id="rId3512" Type="http://schemas.openxmlformats.org/officeDocument/2006/relationships/hyperlink" Target="http://www.wikidata.org/entity/Q250867" TargetMode="External"/><Relationship Id="rId42" Type="http://schemas.openxmlformats.org/officeDocument/2006/relationships/hyperlink" Target="http://www.wikidata.org/entity/Q611644" TargetMode="External"/><Relationship Id="rId3515" Type="http://schemas.openxmlformats.org/officeDocument/2006/relationships/hyperlink" Target="http://www.wikidata.org/entity/Q125919425" TargetMode="External"/><Relationship Id="rId41" Type="http://schemas.openxmlformats.org/officeDocument/2006/relationships/hyperlink" Target="http://www.wikidata.org/entity/Q672816" TargetMode="External"/><Relationship Id="rId3514" Type="http://schemas.openxmlformats.org/officeDocument/2006/relationships/hyperlink" Target="http://www.wikidata.org/entity/Q110039361" TargetMode="External"/><Relationship Id="rId44" Type="http://schemas.openxmlformats.org/officeDocument/2006/relationships/hyperlink" Target="http://www.wikidata.org/entity/Q6242432" TargetMode="External"/><Relationship Id="rId3517" Type="http://schemas.openxmlformats.org/officeDocument/2006/relationships/hyperlink" Target="http://www.wikidata.org/entity/Q56036067" TargetMode="External"/><Relationship Id="rId43" Type="http://schemas.openxmlformats.org/officeDocument/2006/relationships/hyperlink" Target="http://commons.wikimedia.org/wiki/Special:FilePath/Wiseman.jpg" TargetMode="External"/><Relationship Id="rId3516" Type="http://schemas.openxmlformats.org/officeDocument/2006/relationships/hyperlink" Target="http://commons.wikimedia.org/wiki/Special:FilePath/Eerwaarde%20Heer%20pastoor%20Dani%C3%ABls%2C%20PA04467.jpg" TargetMode="External"/><Relationship Id="rId46" Type="http://schemas.openxmlformats.org/officeDocument/2006/relationships/hyperlink" Target="http://commons.wikimedia.org/wiki/Special:FilePath/PieterWillems.png" TargetMode="External"/><Relationship Id="rId3519" Type="http://schemas.openxmlformats.org/officeDocument/2006/relationships/hyperlink" Target="http://www.wikidata.org/entity/Q56036026" TargetMode="External"/><Relationship Id="rId45" Type="http://schemas.openxmlformats.org/officeDocument/2006/relationships/hyperlink" Target="http://www.wikidata.org/entity/Q13418253" TargetMode="External"/><Relationship Id="rId3518" Type="http://schemas.openxmlformats.org/officeDocument/2006/relationships/hyperlink" Target="http://www.wikidata.org/entity/Q955464" TargetMode="External"/><Relationship Id="rId48" Type="http://schemas.openxmlformats.org/officeDocument/2006/relationships/hyperlink" Target="http://www.wikidata.org/entity/Q107212688" TargetMode="External"/><Relationship Id="rId47" Type="http://schemas.openxmlformats.org/officeDocument/2006/relationships/hyperlink" Target="http://www.wikidata.org/entity/Q175669" TargetMode="External"/><Relationship Id="rId49" Type="http://schemas.openxmlformats.org/officeDocument/2006/relationships/hyperlink" Target="http://commons.wikimedia.org/wiki/Special:FilePath/Stijn%20Streuvels%20by%20Modest%20Huys.jpg" TargetMode="External"/><Relationship Id="rId3511" Type="http://schemas.openxmlformats.org/officeDocument/2006/relationships/hyperlink" Target="http://www.wikidata.org/entity/Q110039361" TargetMode="External"/><Relationship Id="rId3510" Type="http://schemas.openxmlformats.org/officeDocument/2006/relationships/hyperlink" Target="http://commons.wikimedia.org/wiki/Special:FilePath/Eerwaarde%20Heer%20pastoor%20Dani%C3%ABls%2C%20PA04467.jpg" TargetMode="External"/><Relationship Id="rId3502" Type="http://schemas.openxmlformats.org/officeDocument/2006/relationships/hyperlink" Target="http://www.wikidata.org/entity/Q110039361" TargetMode="External"/><Relationship Id="rId3501" Type="http://schemas.openxmlformats.org/officeDocument/2006/relationships/hyperlink" Target="http://www.wikidata.org/entity/Q42603" TargetMode="External"/><Relationship Id="rId31" Type="http://schemas.openxmlformats.org/officeDocument/2006/relationships/hyperlink" Target="http://www.wikidata.org/entity/Q955464" TargetMode="External"/><Relationship Id="rId3504" Type="http://schemas.openxmlformats.org/officeDocument/2006/relationships/hyperlink" Target="http://commons.wikimedia.org/wiki/Special:FilePath/Eerwaarde%20Heer%20pastoor%20Dani%C3%ABls%2C%20PA04467.jpg" TargetMode="External"/><Relationship Id="rId30" Type="http://schemas.openxmlformats.org/officeDocument/2006/relationships/hyperlink" Target="http://www.wikidata.org/entity/Q2298746" TargetMode="External"/><Relationship Id="rId3503" Type="http://schemas.openxmlformats.org/officeDocument/2006/relationships/hyperlink" Target="http://www.wikidata.org/entity/Q1072363" TargetMode="External"/><Relationship Id="rId33" Type="http://schemas.openxmlformats.org/officeDocument/2006/relationships/hyperlink" Target="http://www.wikidata.org/entity/Q3243461" TargetMode="External"/><Relationship Id="rId3506" Type="http://schemas.openxmlformats.org/officeDocument/2006/relationships/hyperlink" Target="http://www.wikidata.org/entity/Q2251335" TargetMode="External"/><Relationship Id="rId32" Type="http://schemas.openxmlformats.org/officeDocument/2006/relationships/hyperlink" Target="http://www.wikidata.org/entity/Q2619202" TargetMode="External"/><Relationship Id="rId3505" Type="http://schemas.openxmlformats.org/officeDocument/2006/relationships/hyperlink" Target="http://www.wikidata.org/entity/Q110039361" TargetMode="External"/><Relationship Id="rId35" Type="http://schemas.openxmlformats.org/officeDocument/2006/relationships/hyperlink" Target="http://www.wikidata.org/entity/Q2251335" TargetMode="External"/><Relationship Id="rId3508" Type="http://schemas.openxmlformats.org/officeDocument/2006/relationships/hyperlink" Target="http://www.wikidata.org/entity/Q110039361" TargetMode="External"/><Relationship Id="rId34" Type="http://schemas.openxmlformats.org/officeDocument/2006/relationships/hyperlink" Target="http://www.wikidata.org/entity/Q2619202" TargetMode="External"/><Relationship Id="rId3507" Type="http://schemas.openxmlformats.org/officeDocument/2006/relationships/hyperlink" Target="http://commons.wikimedia.org/wiki/Special:FilePath/Eerwaarde%20Heer%20pastoor%20Dani%C3%ABls%2C%20PA04467.jpg" TargetMode="External"/><Relationship Id="rId3509" Type="http://schemas.openxmlformats.org/officeDocument/2006/relationships/hyperlink" Target="http://www.wikidata.org/entity/Q674426" TargetMode="External"/><Relationship Id="rId37" Type="http://schemas.openxmlformats.org/officeDocument/2006/relationships/hyperlink" Target="http://www.wikidata.org/entity/Q114371470" TargetMode="External"/><Relationship Id="rId36" Type="http://schemas.openxmlformats.org/officeDocument/2006/relationships/hyperlink" Target="http://www.wikidata.org/entity/Q2191260" TargetMode="External"/><Relationship Id="rId39" Type="http://schemas.openxmlformats.org/officeDocument/2006/relationships/hyperlink" Target="http://www.wikidata.org/entity/Q2298746" TargetMode="External"/><Relationship Id="rId38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3500" Type="http://schemas.openxmlformats.org/officeDocument/2006/relationships/hyperlink" Target="http://www.wikidata.org/entity/Q115813555" TargetMode="External"/><Relationship Id="rId2203" Type="http://schemas.openxmlformats.org/officeDocument/2006/relationships/hyperlink" Target="http://commons.wikimedia.org/wiki/Special:FilePath/Jules%20van%20den%20Peereboom.jpg" TargetMode="External"/><Relationship Id="rId3535" Type="http://schemas.openxmlformats.org/officeDocument/2006/relationships/hyperlink" Target="http://www.wikidata.org/entity/Q115815852" TargetMode="External"/><Relationship Id="rId2204" Type="http://schemas.openxmlformats.org/officeDocument/2006/relationships/hyperlink" Target="http://www.wikidata.org/entity/Q2215154" TargetMode="External"/><Relationship Id="rId3534" Type="http://schemas.openxmlformats.org/officeDocument/2006/relationships/hyperlink" Target="http://www.wikidata.org/entity/Q114371470" TargetMode="External"/><Relationship Id="rId20" Type="http://schemas.openxmlformats.org/officeDocument/2006/relationships/hyperlink" Target="http://www.wikidata.org/entity/Q82955" TargetMode="External"/><Relationship Id="rId2205" Type="http://schemas.openxmlformats.org/officeDocument/2006/relationships/hyperlink" Target="http://www.wikidata.org/entity/Q1657500" TargetMode="External"/><Relationship Id="rId3537" Type="http://schemas.openxmlformats.org/officeDocument/2006/relationships/hyperlink" Target="http://www.wikidata.org/entity/Q115818168" TargetMode="External"/><Relationship Id="rId2206" Type="http://schemas.openxmlformats.org/officeDocument/2006/relationships/hyperlink" Target="http://www.wikidata.org/entity/Q2154331" TargetMode="External"/><Relationship Id="rId3536" Type="http://schemas.openxmlformats.org/officeDocument/2006/relationships/hyperlink" Target="http://www.wikidata.org/entity/Q250867" TargetMode="External"/><Relationship Id="rId22" Type="http://schemas.openxmlformats.org/officeDocument/2006/relationships/hyperlink" Target="http://www.wikidata.org/entity/Q333634" TargetMode="External"/><Relationship Id="rId2207" Type="http://schemas.openxmlformats.org/officeDocument/2006/relationships/hyperlink" Target="http://www.wikidata.org/entity/Q1753370" TargetMode="External"/><Relationship Id="rId3539" Type="http://schemas.openxmlformats.org/officeDocument/2006/relationships/hyperlink" Target="http://www.wikidata.org/entity/Q115818424" TargetMode="External"/><Relationship Id="rId21" Type="http://schemas.openxmlformats.org/officeDocument/2006/relationships/hyperlink" Target="http://www.wikidata.org/entity/Q4902927" TargetMode="External"/><Relationship Id="rId2208" Type="http://schemas.openxmlformats.org/officeDocument/2006/relationships/hyperlink" Target="http://www.wikidata.org/entity/Q2770967" TargetMode="External"/><Relationship Id="rId3538" Type="http://schemas.openxmlformats.org/officeDocument/2006/relationships/hyperlink" Target="http://www.wikidata.org/entity/Q1162163" TargetMode="External"/><Relationship Id="rId24" Type="http://schemas.openxmlformats.org/officeDocument/2006/relationships/hyperlink" Target="http://www.wikidata.org/entity/Q33231" TargetMode="External"/><Relationship Id="rId2209" Type="http://schemas.openxmlformats.org/officeDocument/2006/relationships/hyperlink" Target="http://www.wikidata.org/entity/Q1104153" TargetMode="External"/><Relationship Id="rId23" Type="http://schemas.openxmlformats.org/officeDocument/2006/relationships/hyperlink" Target="http://www.wikidata.org/entity/Q175669" TargetMode="External"/><Relationship Id="rId26" Type="http://schemas.openxmlformats.org/officeDocument/2006/relationships/hyperlink" Target="http://www.wikidata.org/entity/Q2619202" TargetMode="External"/><Relationship Id="rId25" Type="http://schemas.openxmlformats.org/officeDocument/2006/relationships/hyperlink" Target="http://commons.wikimedia.org/wiki/Special:FilePath/Stijn%20Streuvels%20by%20Modest%20Huys.jpg" TargetMode="External"/><Relationship Id="rId28" Type="http://schemas.openxmlformats.org/officeDocument/2006/relationships/hyperlink" Target="http://www.wikidata.org/entity/Q2619202" TargetMode="External"/><Relationship Id="rId27" Type="http://schemas.openxmlformats.org/officeDocument/2006/relationships/hyperlink" Target="http://www.wikidata.org/entity/Q955464" TargetMode="External"/><Relationship Id="rId3531" Type="http://schemas.openxmlformats.org/officeDocument/2006/relationships/hyperlink" Target="http://www.wikidata.org/entity/Q115815852" TargetMode="External"/><Relationship Id="rId29" Type="http://schemas.openxmlformats.org/officeDocument/2006/relationships/hyperlink" Target="http://www.wikidata.org/entity/Q250867" TargetMode="External"/><Relationship Id="rId2200" Type="http://schemas.openxmlformats.org/officeDocument/2006/relationships/hyperlink" Target="http://www.wikidata.org/entity/Q36180" TargetMode="External"/><Relationship Id="rId3530" Type="http://schemas.openxmlformats.org/officeDocument/2006/relationships/hyperlink" Target="http://www.wikidata.org/entity/Q82955" TargetMode="External"/><Relationship Id="rId2201" Type="http://schemas.openxmlformats.org/officeDocument/2006/relationships/hyperlink" Target="http://www.wikidata.org/entity/Q721772" TargetMode="External"/><Relationship Id="rId3533" Type="http://schemas.openxmlformats.org/officeDocument/2006/relationships/hyperlink" Target="http://www.wikidata.org/entity/Q115831295" TargetMode="External"/><Relationship Id="rId2202" Type="http://schemas.openxmlformats.org/officeDocument/2006/relationships/hyperlink" Target="http://www.wikidata.org/entity/Q82955" TargetMode="External"/><Relationship Id="rId3532" Type="http://schemas.openxmlformats.org/officeDocument/2006/relationships/hyperlink" Target="http://www.wikidata.org/entity/Q955464" TargetMode="External"/><Relationship Id="rId3524" Type="http://schemas.openxmlformats.org/officeDocument/2006/relationships/hyperlink" Target="http://www.wikidata.org/entity/Q250867" TargetMode="External"/><Relationship Id="rId3523" Type="http://schemas.openxmlformats.org/officeDocument/2006/relationships/hyperlink" Target="http://www.wikidata.org/entity/Q56036067" TargetMode="External"/><Relationship Id="rId3526" Type="http://schemas.openxmlformats.org/officeDocument/2006/relationships/hyperlink" Target="http://www.wikidata.org/entity/Q114371470" TargetMode="External"/><Relationship Id="rId3525" Type="http://schemas.openxmlformats.org/officeDocument/2006/relationships/hyperlink" Target="http://www.wikidata.org/entity/Q115818168" TargetMode="External"/><Relationship Id="rId11" Type="http://schemas.openxmlformats.org/officeDocument/2006/relationships/hyperlink" Target="http://www.wikidata.org/entity/Q36180" TargetMode="External"/><Relationship Id="rId3528" Type="http://schemas.openxmlformats.org/officeDocument/2006/relationships/hyperlink" Target="http://www.wikidata.org/entity/Q2251335" TargetMode="External"/><Relationship Id="rId10" Type="http://schemas.openxmlformats.org/officeDocument/2006/relationships/hyperlink" Target="http://www.wikidata.org/entity/Q1334711" TargetMode="External"/><Relationship Id="rId3527" Type="http://schemas.openxmlformats.org/officeDocument/2006/relationships/hyperlink" Target="http://www.wikidata.org/entity/Q56036026" TargetMode="External"/><Relationship Id="rId13" Type="http://schemas.openxmlformats.org/officeDocument/2006/relationships/hyperlink" Target="http://www.wikidata.org/entity/Q1334711" TargetMode="External"/><Relationship Id="rId12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3529" Type="http://schemas.openxmlformats.org/officeDocument/2006/relationships/hyperlink" Target="http://www.wikidata.org/entity/Q57197744" TargetMode="External"/><Relationship Id="rId15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4" Type="http://schemas.openxmlformats.org/officeDocument/2006/relationships/hyperlink" Target="http://www.wikidata.org/entity/Q49757" TargetMode="External"/><Relationship Id="rId17" Type="http://schemas.openxmlformats.org/officeDocument/2006/relationships/hyperlink" Target="http://www.wikidata.org/entity/Q28389" TargetMode="External"/><Relationship Id="rId16" Type="http://schemas.openxmlformats.org/officeDocument/2006/relationships/hyperlink" Target="http://www.wikidata.org/entity/Q175669" TargetMode="External"/><Relationship Id="rId19" Type="http://schemas.openxmlformats.org/officeDocument/2006/relationships/hyperlink" Target="http://www.wikidata.org/entity/Q4902927" TargetMode="External"/><Relationship Id="rId3520" Type="http://schemas.openxmlformats.org/officeDocument/2006/relationships/hyperlink" Target="http://www.wikidata.org/entity/Q333634" TargetMode="External"/><Relationship Id="rId18" Type="http://schemas.openxmlformats.org/officeDocument/2006/relationships/hyperlink" Target="http://commons.wikimedia.org/wiki/Special:FilePath/Stijn%20Streuvels%20by%20Modest%20Huys.jpg" TargetMode="External"/><Relationship Id="rId3522" Type="http://schemas.openxmlformats.org/officeDocument/2006/relationships/hyperlink" Target="http://www.wikidata.org/entity/Q589298" TargetMode="External"/><Relationship Id="rId3521" Type="http://schemas.openxmlformats.org/officeDocument/2006/relationships/hyperlink" Target="http://www.wikidata.org/entity/Q56036026" TargetMode="External"/><Relationship Id="rId84" Type="http://schemas.openxmlformats.org/officeDocument/2006/relationships/hyperlink" Target="http://commons.wikimedia.org/wiki/Special:FilePath/Raf%20Verhulst.jpg" TargetMode="External"/><Relationship Id="rId1774" Type="http://schemas.openxmlformats.org/officeDocument/2006/relationships/hyperlink" Target="http://www.wikidata.org/entity/Q1958649" TargetMode="External"/><Relationship Id="rId83" Type="http://schemas.openxmlformats.org/officeDocument/2006/relationships/hyperlink" Target="http://www.wikidata.org/entity/Q82955" TargetMode="External"/><Relationship Id="rId1775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86" Type="http://schemas.openxmlformats.org/officeDocument/2006/relationships/hyperlink" Target="http://www.wikidata.org/entity/Q36180" TargetMode="External"/><Relationship Id="rId1776" Type="http://schemas.openxmlformats.org/officeDocument/2006/relationships/hyperlink" Target="http://www.wikidata.org/entity/Q119217729" TargetMode="External"/><Relationship Id="rId85" Type="http://schemas.openxmlformats.org/officeDocument/2006/relationships/hyperlink" Target="http://www.wikidata.org/entity/Q672816" TargetMode="External"/><Relationship Id="rId1777" Type="http://schemas.openxmlformats.org/officeDocument/2006/relationships/hyperlink" Target="http://www.wikidata.org/entity/Q119637011" TargetMode="External"/><Relationship Id="rId88" Type="http://schemas.openxmlformats.org/officeDocument/2006/relationships/hyperlink" Target="http://www.wikidata.org/entity/Q2191260" TargetMode="External"/><Relationship Id="rId1778" Type="http://schemas.openxmlformats.org/officeDocument/2006/relationships/hyperlink" Target="http://www.wikidata.org/entity/Q118644563" TargetMode="External"/><Relationship Id="rId87" Type="http://schemas.openxmlformats.org/officeDocument/2006/relationships/hyperlink" Target="http://commons.wikimedia.org/wiki/Special:FilePath/Wiseman.jpg" TargetMode="External"/><Relationship Id="rId1779" Type="http://schemas.openxmlformats.org/officeDocument/2006/relationships/hyperlink" Target="http://www.wikidata.org/entity/Q42603" TargetMode="External"/><Relationship Id="rId89" Type="http://schemas.openxmlformats.org/officeDocument/2006/relationships/hyperlink" Target="http://www.wikidata.org/entity/Q1162163" TargetMode="External"/><Relationship Id="rId80" Type="http://schemas.openxmlformats.org/officeDocument/2006/relationships/hyperlink" Target="http://www.wikidata.org/entity/Q3163681" TargetMode="External"/><Relationship Id="rId82" Type="http://schemas.openxmlformats.org/officeDocument/2006/relationships/hyperlink" Target="http://www.wikidata.org/entity/Q1796639" TargetMode="External"/><Relationship Id="rId81" Type="http://schemas.openxmlformats.org/officeDocument/2006/relationships/hyperlink" Target="http://www.wikidata.org/entity/Q1622272" TargetMode="External"/><Relationship Id="rId1770" Type="http://schemas.openxmlformats.org/officeDocument/2006/relationships/hyperlink" Target="http://www.wikidata.org/entity/Q118189670" TargetMode="External"/><Relationship Id="rId1771" Type="http://schemas.openxmlformats.org/officeDocument/2006/relationships/hyperlink" Target="http://www.wikidata.org/entity/Q118644563" TargetMode="External"/><Relationship Id="rId1772" Type="http://schemas.openxmlformats.org/officeDocument/2006/relationships/hyperlink" Target="http://www.wikidata.org/entity/Q37226" TargetMode="External"/><Relationship Id="rId1773" Type="http://schemas.openxmlformats.org/officeDocument/2006/relationships/hyperlink" Target="http://www.wikidata.org/entity/Q115839360" TargetMode="External"/><Relationship Id="rId73" Type="http://schemas.openxmlformats.org/officeDocument/2006/relationships/hyperlink" Target="http://www.wikidata.org/entity/Q47064" TargetMode="External"/><Relationship Id="rId1763" Type="http://schemas.openxmlformats.org/officeDocument/2006/relationships/hyperlink" Target="http://www.wikidata.org/entity/Q833899" TargetMode="External"/><Relationship Id="rId72" Type="http://schemas.openxmlformats.org/officeDocument/2006/relationships/hyperlink" Target="http://www.wikidata.org/entity/Q378133" TargetMode="External"/><Relationship Id="rId1764" Type="http://schemas.openxmlformats.org/officeDocument/2006/relationships/hyperlink" Target="http://www.wikidata.org/entity/Q116510958" TargetMode="External"/><Relationship Id="rId75" Type="http://schemas.openxmlformats.org/officeDocument/2006/relationships/hyperlink" Target="http://www.wikidata.org/entity/Q3163681" TargetMode="External"/><Relationship Id="rId1765" Type="http://schemas.openxmlformats.org/officeDocument/2006/relationships/hyperlink" Target="http://www.wikidata.org/entity/Q117265039" TargetMode="External"/><Relationship Id="rId74" Type="http://schemas.openxmlformats.org/officeDocument/2006/relationships/hyperlink" Target="http://commons.wikimedia.org/wiki/Special:FilePath/Hendrik%20Conscience.jpg" TargetMode="External"/><Relationship Id="rId1766" Type="http://schemas.openxmlformats.org/officeDocument/2006/relationships/hyperlink" Target="http://www.wikidata.org/entity/Q115982548" TargetMode="External"/><Relationship Id="rId77" Type="http://schemas.openxmlformats.org/officeDocument/2006/relationships/hyperlink" Target="http://www.wikidata.org/entity/Q6242432" TargetMode="External"/><Relationship Id="rId1767" Type="http://schemas.openxmlformats.org/officeDocument/2006/relationships/hyperlink" Target="http://www.wikidata.org/entity/Q1657500" TargetMode="External"/><Relationship Id="rId76" Type="http://schemas.openxmlformats.org/officeDocument/2006/relationships/hyperlink" Target="http://www.wikidata.org/entity/Q250867" TargetMode="External"/><Relationship Id="rId1768" Type="http://schemas.openxmlformats.org/officeDocument/2006/relationships/hyperlink" Target="http://www.wikidata.org/entity/Q118142378" TargetMode="External"/><Relationship Id="rId79" Type="http://schemas.openxmlformats.org/officeDocument/2006/relationships/hyperlink" Target="http://commons.wikimedia.org/wiki/Special:FilePath/PieterWillems.png" TargetMode="External"/><Relationship Id="rId1769" Type="http://schemas.openxmlformats.org/officeDocument/2006/relationships/hyperlink" Target="http://www.wikidata.org/entity/Q2251335" TargetMode="External"/><Relationship Id="rId78" Type="http://schemas.openxmlformats.org/officeDocument/2006/relationships/hyperlink" Target="http://www.wikidata.org/entity/Q201788" TargetMode="External"/><Relationship Id="rId71" Type="http://schemas.openxmlformats.org/officeDocument/2006/relationships/hyperlink" Target="http://commons.wikimedia.org/wiki/Special:FilePath/Hendrik%20Conscience.jpg" TargetMode="External"/><Relationship Id="rId70" Type="http://schemas.openxmlformats.org/officeDocument/2006/relationships/hyperlink" Target="http://www.wikidata.org/entity/Q49757" TargetMode="External"/><Relationship Id="rId1760" Type="http://schemas.openxmlformats.org/officeDocument/2006/relationships/hyperlink" Target="http://www.wikidata.org/entity/Q118142378" TargetMode="External"/><Relationship Id="rId1761" Type="http://schemas.openxmlformats.org/officeDocument/2006/relationships/hyperlink" Target="http://www.wikidata.org/entity/Q250867" TargetMode="External"/><Relationship Id="rId1762" Type="http://schemas.openxmlformats.org/officeDocument/2006/relationships/hyperlink" Target="http://www.wikidata.org/entity/Q119006339" TargetMode="External"/><Relationship Id="rId62" Type="http://schemas.openxmlformats.org/officeDocument/2006/relationships/hyperlink" Target="http://www.wikidata.org/entity/Q955464" TargetMode="External"/><Relationship Id="rId1796" Type="http://schemas.openxmlformats.org/officeDocument/2006/relationships/hyperlink" Target="http://www.wikidata.org/entity/Q117229438" TargetMode="External"/><Relationship Id="rId61" Type="http://schemas.openxmlformats.org/officeDocument/2006/relationships/hyperlink" Target="http://www.wikidata.org/entity/Q3163681" TargetMode="External"/><Relationship Id="rId1797" Type="http://schemas.openxmlformats.org/officeDocument/2006/relationships/hyperlink" Target="http://www.wikidata.org/entity/Q37226" TargetMode="External"/><Relationship Id="rId64" Type="http://schemas.openxmlformats.org/officeDocument/2006/relationships/hyperlink" Target="http://www.wikidata.org/entity/Q36180" TargetMode="External"/><Relationship Id="rId1798" Type="http://schemas.openxmlformats.org/officeDocument/2006/relationships/hyperlink" Target="http://www.wikidata.org/entity/Q120900509" TargetMode="External"/><Relationship Id="rId63" Type="http://schemas.openxmlformats.org/officeDocument/2006/relationships/hyperlink" Target="http://www.wikidata.org/entity/Q378133" TargetMode="External"/><Relationship Id="rId1799" Type="http://schemas.openxmlformats.org/officeDocument/2006/relationships/hyperlink" Target="http://www.wikidata.org/entity/Q214917" TargetMode="External"/><Relationship Id="rId66" Type="http://schemas.openxmlformats.org/officeDocument/2006/relationships/hyperlink" Target="http://www.wikidata.org/entity/Q6242432" TargetMode="External"/><Relationship Id="rId65" Type="http://schemas.openxmlformats.org/officeDocument/2006/relationships/hyperlink" Target="http://commons.wikimedia.org/wiki/Special:FilePath/Hendrik%20Conscience.jpg" TargetMode="External"/><Relationship Id="rId68" Type="http://schemas.openxmlformats.org/officeDocument/2006/relationships/hyperlink" Target="http://commons.wikimedia.org/wiki/Special:FilePath/PieterWillems.png" TargetMode="External"/><Relationship Id="rId67" Type="http://schemas.openxmlformats.org/officeDocument/2006/relationships/hyperlink" Target="http://www.wikidata.org/entity/Q16267607" TargetMode="External"/><Relationship Id="rId60" Type="http://schemas.openxmlformats.org/officeDocument/2006/relationships/hyperlink" Target="http://www.wikidata.org/entity/Q1753370" TargetMode="External"/><Relationship Id="rId69" Type="http://schemas.openxmlformats.org/officeDocument/2006/relationships/hyperlink" Target="http://www.wikidata.org/entity/Q378133" TargetMode="External"/><Relationship Id="rId1790" Type="http://schemas.openxmlformats.org/officeDocument/2006/relationships/hyperlink" Target="http://www.wikidata.org/entity/Q122884053" TargetMode="External"/><Relationship Id="rId1791" Type="http://schemas.openxmlformats.org/officeDocument/2006/relationships/hyperlink" Target="http://www.wikidata.org/entity/Q37226" TargetMode="External"/><Relationship Id="rId1792" Type="http://schemas.openxmlformats.org/officeDocument/2006/relationships/hyperlink" Target="http://www.wikidata.org/entity/Q119794988" TargetMode="External"/><Relationship Id="rId1793" Type="http://schemas.openxmlformats.org/officeDocument/2006/relationships/hyperlink" Target="http://www.wikidata.org/entity/Q998550" TargetMode="External"/><Relationship Id="rId1794" Type="http://schemas.openxmlformats.org/officeDocument/2006/relationships/hyperlink" Target="http://www.wikidata.org/entity/Q119013873" TargetMode="External"/><Relationship Id="rId1795" Type="http://schemas.openxmlformats.org/officeDocument/2006/relationships/hyperlink" Target="http://www.wikidata.org/entity/Q1753370" TargetMode="External"/><Relationship Id="rId51" Type="http://schemas.openxmlformats.org/officeDocument/2006/relationships/hyperlink" Target="http://www.wikidata.org/entity/Q1595570" TargetMode="External"/><Relationship Id="rId1785" Type="http://schemas.openxmlformats.org/officeDocument/2006/relationships/hyperlink" Target="http://www.wikidata.org/entity/Q122754021" TargetMode="External"/><Relationship Id="rId50" Type="http://schemas.openxmlformats.org/officeDocument/2006/relationships/hyperlink" Target="http://www.wikidata.org/entity/Q2619202" TargetMode="External"/><Relationship Id="rId1786" Type="http://schemas.openxmlformats.org/officeDocument/2006/relationships/hyperlink" Target="http://www.wikidata.org/entity/Q123050504" TargetMode="External"/><Relationship Id="rId53" Type="http://schemas.openxmlformats.org/officeDocument/2006/relationships/hyperlink" Target="http://www.wikidata.org/entity/Q36180" TargetMode="External"/><Relationship Id="rId1787" Type="http://schemas.openxmlformats.org/officeDocument/2006/relationships/hyperlink" Target="http://www.wikidata.org/entity/Q119794988" TargetMode="External"/><Relationship Id="rId52" Type="http://schemas.openxmlformats.org/officeDocument/2006/relationships/hyperlink" Target="http://www.wikidata.org/entity/Q2087117" TargetMode="External"/><Relationship Id="rId1788" Type="http://schemas.openxmlformats.org/officeDocument/2006/relationships/hyperlink" Target="http://www.wikidata.org/entity/Q1413170" TargetMode="External"/><Relationship Id="rId55" Type="http://schemas.openxmlformats.org/officeDocument/2006/relationships/hyperlink" Target="http://www.wikidata.org/entity/Q49757" TargetMode="External"/><Relationship Id="rId1789" Type="http://schemas.openxmlformats.org/officeDocument/2006/relationships/hyperlink" Target="http://www.wikidata.org/entity/Q125490771" TargetMode="External"/><Relationship Id="rId54" Type="http://schemas.openxmlformats.org/officeDocument/2006/relationships/hyperlink" Target="http://www.wikidata.org/entity/Q2087117" TargetMode="External"/><Relationship Id="rId57" Type="http://schemas.openxmlformats.org/officeDocument/2006/relationships/hyperlink" Target="http://www.wikidata.org/entity/Q250867" TargetMode="External"/><Relationship Id="rId56" Type="http://schemas.openxmlformats.org/officeDocument/2006/relationships/hyperlink" Target="http://www.wikidata.org/entity/Q672816" TargetMode="External"/><Relationship Id="rId59" Type="http://schemas.openxmlformats.org/officeDocument/2006/relationships/hyperlink" Target="http://www.wikidata.org/entity/Q2619202" TargetMode="External"/><Relationship Id="rId58" Type="http://schemas.openxmlformats.org/officeDocument/2006/relationships/hyperlink" Target="http://commons.wikimedia.org/wiki/Special:FilePath/Wiseman.jpg" TargetMode="External"/><Relationship Id="rId1780" Type="http://schemas.openxmlformats.org/officeDocument/2006/relationships/hyperlink" Target="http://www.wikidata.org/entity/Q118792556" TargetMode="External"/><Relationship Id="rId1781" Type="http://schemas.openxmlformats.org/officeDocument/2006/relationships/hyperlink" Target="http://www.wikidata.org/entity/Q208762" TargetMode="External"/><Relationship Id="rId1782" Type="http://schemas.openxmlformats.org/officeDocument/2006/relationships/hyperlink" Target="http://www.wikidata.org/entity/Q117244596" TargetMode="External"/><Relationship Id="rId1783" Type="http://schemas.openxmlformats.org/officeDocument/2006/relationships/hyperlink" Target="http://www.wikidata.org/entity/Q38126150" TargetMode="External"/><Relationship Id="rId1784" Type="http://schemas.openxmlformats.org/officeDocument/2006/relationships/hyperlink" Target="http://commons.wikimedia.org/wiki/Special:FilePath/Foto%20van%20Hortense%20Gezelle.jpg" TargetMode="External"/><Relationship Id="rId2269" Type="http://schemas.openxmlformats.org/officeDocument/2006/relationships/hyperlink" Target="http://www.wikidata.org/entity/Q2617184" TargetMode="External"/><Relationship Id="rId349" Type="http://schemas.openxmlformats.org/officeDocument/2006/relationships/hyperlink" Target="http://commons.wikimedia.org/wiki/Special:FilePath/PieterG%C3%A9nard.jpg" TargetMode="External"/><Relationship Id="rId348" Type="http://schemas.openxmlformats.org/officeDocument/2006/relationships/hyperlink" Target="http://www.wikidata.org/entity/Q864380" TargetMode="External"/><Relationship Id="rId347" Type="http://schemas.openxmlformats.org/officeDocument/2006/relationships/hyperlink" Target="http://www.wikidata.org/entity/Q14101076" TargetMode="External"/><Relationship Id="rId346" Type="http://schemas.openxmlformats.org/officeDocument/2006/relationships/hyperlink" Target="http://commons.wikimedia.org/wiki/Special:FilePath/Edward%20De%20Gryse%20-%20priester-deken%20-%20Kortrijk.jpg" TargetMode="External"/><Relationship Id="rId3591" Type="http://schemas.openxmlformats.org/officeDocument/2006/relationships/hyperlink" Target="http://www.wikidata.org/entity/Q1731155" TargetMode="External"/><Relationship Id="rId2260" Type="http://schemas.openxmlformats.org/officeDocument/2006/relationships/hyperlink" Target="http://www.wikidata.org/entity/Q2481707" TargetMode="External"/><Relationship Id="rId3590" Type="http://schemas.openxmlformats.org/officeDocument/2006/relationships/hyperlink" Target="http://www.wikidata.org/entity/Q5983066" TargetMode="External"/><Relationship Id="rId341" Type="http://schemas.openxmlformats.org/officeDocument/2006/relationships/hyperlink" Target="http://www.wikidata.org/entity/Q2684959" TargetMode="External"/><Relationship Id="rId2261" Type="http://schemas.openxmlformats.org/officeDocument/2006/relationships/hyperlink" Target="http://www.wikidata.org/entity/Q39631" TargetMode="External"/><Relationship Id="rId3593" Type="http://schemas.openxmlformats.org/officeDocument/2006/relationships/hyperlink" Target="http://www.wikidata.org/entity/Q955464" TargetMode="External"/><Relationship Id="rId340" Type="http://schemas.openxmlformats.org/officeDocument/2006/relationships/hyperlink" Target="http://www.wikidata.org/entity/Q2251335" TargetMode="External"/><Relationship Id="rId2262" Type="http://schemas.openxmlformats.org/officeDocument/2006/relationships/hyperlink" Target="http://commons.wikimedia.org/wiki/Special:FilePath/Wazenaar%20Amand%20de%20Vos.jpg" TargetMode="External"/><Relationship Id="rId3592" Type="http://schemas.openxmlformats.org/officeDocument/2006/relationships/hyperlink" Target="http://www.wikidata.org/entity/Q115831295" TargetMode="External"/><Relationship Id="rId2263" Type="http://schemas.openxmlformats.org/officeDocument/2006/relationships/hyperlink" Target="http://www.wikidata.org/entity/Q2481707" TargetMode="External"/><Relationship Id="rId3595" Type="http://schemas.openxmlformats.org/officeDocument/2006/relationships/hyperlink" Target="http://www.wikidata.org/entity/Q2251335" TargetMode="External"/><Relationship Id="rId2264" Type="http://schemas.openxmlformats.org/officeDocument/2006/relationships/hyperlink" Target="http://www.wikidata.org/entity/Q36180" TargetMode="External"/><Relationship Id="rId3594" Type="http://schemas.openxmlformats.org/officeDocument/2006/relationships/hyperlink" Target="http://www.wikidata.org/entity/Q115826830" TargetMode="External"/><Relationship Id="rId345" Type="http://schemas.openxmlformats.org/officeDocument/2006/relationships/hyperlink" Target="http://www.wikidata.org/entity/Q4958876" TargetMode="External"/><Relationship Id="rId2265" Type="http://schemas.openxmlformats.org/officeDocument/2006/relationships/hyperlink" Target="http://commons.wikimedia.org/wiki/Special:FilePath/Wazenaar%20Amand%20de%20Vos.jpg" TargetMode="External"/><Relationship Id="rId3597" Type="http://schemas.openxmlformats.org/officeDocument/2006/relationships/hyperlink" Target="http://www.wikidata.org/entity/Q1657500" TargetMode="External"/><Relationship Id="rId344" Type="http://schemas.openxmlformats.org/officeDocument/2006/relationships/hyperlink" Target="http://www.wikidata.org/entity/Q2345694" TargetMode="External"/><Relationship Id="rId2266" Type="http://schemas.openxmlformats.org/officeDocument/2006/relationships/hyperlink" Target="http://www.wikidata.org/entity/Q2481707" TargetMode="External"/><Relationship Id="rId3596" Type="http://schemas.openxmlformats.org/officeDocument/2006/relationships/hyperlink" Target="http://www.wikidata.org/entity/Q115815852" TargetMode="External"/><Relationship Id="rId343" Type="http://schemas.openxmlformats.org/officeDocument/2006/relationships/hyperlink" Target="http://commons.wikimedia.org/wiki/Special:FilePath/Ferdinand%20Van%20de%20Putte.jpg" TargetMode="External"/><Relationship Id="rId2267" Type="http://schemas.openxmlformats.org/officeDocument/2006/relationships/hyperlink" Target="http://www.wikidata.org/entity/Q49757" TargetMode="External"/><Relationship Id="rId3599" Type="http://schemas.openxmlformats.org/officeDocument/2006/relationships/hyperlink" Target="http://www.wikidata.org/entity/Q40348" TargetMode="External"/><Relationship Id="rId342" Type="http://schemas.openxmlformats.org/officeDocument/2006/relationships/hyperlink" Target="http://www.wikidata.org/entity/Q115705951" TargetMode="External"/><Relationship Id="rId2268" Type="http://schemas.openxmlformats.org/officeDocument/2006/relationships/hyperlink" Target="http://commons.wikimedia.org/wiki/Special:FilePath/Wazenaar%20Amand%20de%20Vos.jpg" TargetMode="External"/><Relationship Id="rId3598" Type="http://schemas.openxmlformats.org/officeDocument/2006/relationships/hyperlink" Target="http://www.wikidata.org/entity/Q75320317" TargetMode="External"/><Relationship Id="rId2258" Type="http://schemas.openxmlformats.org/officeDocument/2006/relationships/hyperlink" Target="http://www.wikidata.org/entity/Q36180" TargetMode="External"/><Relationship Id="rId2259" Type="http://schemas.openxmlformats.org/officeDocument/2006/relationships/hyperlink" Target="http://commons.wikimedia.org/wiki/Special:FilePath/Jan%20van%20Wageningen%20thoe%20Dekema.jpg" TargetMode="External"/><Relationship Id="rId3589" Type="http://schemas.openxmlformats.org/officeDocument/2006/relationships/hyperlink" Target="http://www.wikidata.org/entity/Q10855616" TargetMode="External"/><Relationship Id="rId338" Type="http://schemas.openxmlformats.org/officeDocument/2006/relationships/hyperlink" Target="http://commons.wikimedia.org/wiki/Special:FilePath/Johan%20Hendrik%20Caspar%20Kern.jpg" TargetMode="External"/><Relationship Id="rId337" Type="http://schemas.openxmlformats.org/officeDocument/2006/relationships/hyperlink" Target="http://www.wikidata.org/entity/Q333634" TargetMode="External"/><Relationship Id="rId336" Type="http://schemas.openxmlformats.org/officeDocument/2006/relationships/hyperlink" Target="http://www.wikidata.org/entity/Q571426" TargetMode="External"/><Relationship Id="rId335" Type="http://schemas.openxmlformats.org/officeDocument/2006/relationships/hyperlink" Target="http://commons.wikimedia.org/wiki/Special:FilePath/Johan%20Hendrik%20Caspar%20Kern.jpg" TargetMode="External"/><Relationship Id="rId3580" Type="http://schemas.openxmlformats.org/officeDocument/2006/relationships/hyperlink" Target="http://www.wikidata.org/entity/Q5983066" TargetMode="External"/><Relationship Id="rId339" Type="http://schemas.openxmlformats.org/officeDocument/2006/relationships/hyperlink" Target="http://www.wikidata.org/entity/Q2450554" TargetMode="External"/><Relationship Id="rId330" Type="http://schemas.openxmlformats.org/officeDocument/2006/relationships/hyperlink" Target="http://www.wikidata.org/entity/Q2684959" TargetMode="External"/><Relationship Id="rId2250" Type="http://schemas.openxmlformats.org/officeDocument/2006/relationships/hyperlink" Target="http://www.wikidata.org/entity/Q2251335" TargetMode="External"/><Relationship Id="rId3582" Type="http://schemas.openxmlformats.org/officeDocument/2006/relationships/hyperlink" Target="http://www.wikidata.org/entity/Q115823191" TargetMode="External"/><Relationship Id="rId2251" Type="http://schemas.openxmlformats.org/officeDocument/2006/relationships/hyperlink" Target="http://commons.wikimedia.org/wiki/Special:FilePath/J%20O%20Andries%201836.jpg" TargetMode="External"/><Relationship Id="rId3581" Type="http://schemas.openxmlformats.org/officeDocument/2006/relationships/hyperlink" Target="http://www.wikidata.org/entity/Q121594" TargetMode="External"/><Relationship Id="rId2252" Type="http://schemas.openxmlformats.org/officeDocument/2006/relationships/hyperlink" Target="http://www.wikidata.org/entity/Q2638823" TargetMode="External"/><Relationship Id="rId3584" Type="http://schemas.openxmlformats.org/officeDocument/2006/relationships/hyperlink" Target="http://www.wikidata.org/entity/Q115827696" TargetMode="External"/><Relationship Id="rId2253" Type="http://schemas.openxmlformats.org/officeDocument/2006/relationships/hyperlink" Target="http://www.wikidata.org/entity/Q82955" TargetMode="External"/><Relationship Id="rId3583" Type="http://schemas.openxmlformats.org/officeDocument/2006/relationships/hyperlink" Target="http://www.wikidata.org/entity/Q2251335" TargetMode="External"/><Relationship Id="rId334" Type="http://schemas.openxmlformats.org/officeDocument/2006/relationships/hyperlink" Target="http://www.wikidata.org/entity/Q2251335" TargetMode="External"/><Relationship Id="rId2254" Type="http://schemas.openxmlformats.org/officeDocument/2006/relationships/hyperlink" Target="http://commons.wikimedia.org/wiki/Special:FilePath/Alfons%20Janssens.jpg" TargetMode="External"/><Relationship Id="rId3586" Type="http://schemas.openxmlformats.org/officeDocument/2006/relationships/hyperlink" Target="http://www.wikidata.org/entity/Q115827696" TargetMode="External"/><Relationship Id="rId333" Type="http://schemas.openxmlformats.org/officeDocument/2006/relationships/hyperlink" Target="http://www.wikidata.org/entity/Q571426" TargetMode="External"/><Relationship Id="rId2255" Type="http://schemas.openxmlformats.org/officeDocument/2006/relationships/hyperlink" Target="http://www.wikidata.org/entity/Q15982596" TargetMode="External"/><Relationship Id="rId3585" Type="http://schemas.openxmlformats.org/officeDocument/2006/relationships/hyperlink" Target="http://www.wikidata.org/entity/Q219477" TargetMode="External"/><Relationship Id="rId332" Type="http://schemas.openxmlformats.org/officeDocument/2006/relationships/hyperlink" Target="http://commons.wikimedia.org/wiki/Special:FilePath/Ferdinand%20Van%20de%20Putte.jpg" TargetMode="External"/><Relationship Id="rId2256" Type="http://schemas.openxmlformats.org/officeDocument/2006/relationships/hyperlink" Target="http://www.wikidata.org/entity/Q758780" TargetMode="External"/><Relationship Id="rId3588" Type="http://schemas.openxmlformats.org/officeDocument/2006/relationships/hyperlink" Target="http://www.wikidata.org/entity/Q57197744" TargetMode="External"/><Relationship Id="rId331" Type="http://schemas.openxmlformats.org/officeDocument/2006/relationships/hyperlink" Target="http://www.wikidata.org/entity/Q250867" TargetMode="External"/><Relationship Id="rId2257" Type="http://schemas.openxmlformats.org/officeDocument/2006/relationships/hyperlink" Target="http://www.wikidata.org/entity/Q20604626" TargetMode="External"/><Relationship Id="rId3587" Type="http://schemas.openxmlformats.org/officeDocument/2006/relationships/hyperlink" Target="http://www.wikidata.org/entity/Q250867" TargetMode="External"/><Relationship Id="rId370" Type="http://schemas.openxmlformats.org/officeDocument/2006/relationships/hyperlink" Target="http://commons.wikimedia.org/wiki/Special:FilePath/WLvanHelten.jpg" TargetMode="External"/><Relationship Id="rId369" Type="http://schemas.openxmlformats.org/officeDocument/2006/relationships/hyperlink" Target="http://www.wikidata.org/entity/Q13418253" TargetMode="External"/><Relationship Id="rId368" Type="http://schemas.openxmlformats.org/officeDocument/2006/relationships/hyperlink" Target="http://www.wikidata.org/entity/Q18093100" TargetMode="External"/><Relationship Id="rId2280" Type="http://schemas.openxmlformats.org/officeDocument/2006/relationships/hyperlink" Target="http://www.wikidata.org/entity/Q82955" TargetMode="External"/><Relationship Id="rId2281" Type="http://schemas.openxmlformats.org/officeDocument/2006/relationships/hyperlink" Target="http://www.wikidata.org/entity/Q4423628" TargetMode="External"/><Relationship Id="rId2282" Type="http://schemas.openxmlformats.org/officeDocument/2006/relationships/hyperlink" Target="http://www.wikidata.org/entity/Q765778" TargetMode="External"/><Relationship Id="rId363" Type="http://schemas.openxmlformats.org/officeDocument/2006/relationships/hyperlink" Target="http://www.wikidata.org/entity/Q611644" TargetMode="External"/><Relationship Id="rId2283" Type="http://schemas.openxmlformats.org/officeDocument/2006/relationships/hyperlink" Target="http://www.wikidata.org/entity/Q110039252" TargetMode="External"/><Relationship Id="rId362" Type="http://schemas.openxmlformats.org/officeDocument/2006/relationships/hyperlink" Target="http://www.wikidata.org/entity/Q11071766" TargetMode="External"/><Relationship Id="rId2284" Type="http://schemas.openxmlformats.org/officeDocument/2006/relationships/hyperlink" Target="http://www.wikidata.org/entity/Q1162163" TargetMode="External"/><Relationship Id="rId361" Type="http://schemas.openxmlformats.org/officeDocument/2006/relationships/hyperlink" Target="http://www.wikidata.org/entity/Q955464" TargetMode="External"/><Relationship Id="rId2285" Type="http://schemas.openxmlformats.org/officeDocument/2006/relationships/hyperlink" Target="http://www.wikidata.org/entity/Q2306925" TargetMode="External"/><Relationship Id="rId360" Type="http://schemas.openxmlformats.org/officeDocument/2006/relationships/hyperlink" Target="http://www.wikidata.org/entity/Q11071766" TargetMode="External"/><Relationship Id="rId2286" Type="http://schemas.openxmlformats.org/officeDocument/2006/relationships/hyperlink" Target="http://www.wikidata.org/entity/Q1753370" TargetMode="External"/><Relationship Id="rId367" Type="http://schemas.openxmlformats.org/officeDocument/2006/relationships/hyperlink" Target="http://www.wikidata.org/entity/Q250867" TargetMode="External"/><Relationship Id="rId2287" Type="http://schemas.openxmlformats.org/officeDocument/2006/relationships/hyperlink" Target="http://commons.wikimedia.org/wiki/Special:FilePath/J%20O%20Andries%201836.jpg" TargetMode="External"/><Relationship Id="rId366" Type="http://schemas.openxmlformats.org/officeDocument/2006/relationships/hyperlink" Target="http://www.wikidata.org/entity/Q11071766" TargetMode="External"/><Relationship Id="rId2288" Type="http://schemas.openxmlformats.org/officeDocument/2006/relationships/hyperlink" Target="http://www.wikidata.org/entity/Q110039252" TargetMode="External"/><Relationship Id="rId365" Type="http://schemas.openxmlformats.org/officeDocument/2006/relationships/hyperlink" Target="http://www.wikidata.org/entity/Q219477" TargetMode="External"/><Relationship Id="rId2289" Type="http://schemas.openxmlformats.org/officeDocument/2006/relationships/hyperlink" Target="http://www.wikidata.org/entity/Q1056391" TargetMode="External"/><Relationship Id="rId364" Type="http://schemas.openxmlformats.org/officeDocument/2006/relationships/hyperlink" Target="http://www.wikidata.org/entity/Q11071766" TargetMode="External"/><Relationship Id="rId95" Type="http://schemas.openxmlformats.org/officeDocument/2006/relationships/hyperlink" Target="http://commons.wikimedia.org/wiki/Special:FilePath/PieterWillems.png" TargetMode="External"/><Relationship Id="rId94" Type="http://schemas.openxmlformats.org/officeDocument/2006/relationships/hyperlink" Target="http://www.wikidata.org/entity/Q16880249" TargetMode="External"/><Relationship Id="rId97" Type="http://schemas.openxmlformats.org/officeDocument/2006/relationships/hyperlink" Target="http://www.wikidata.org/entity/Q1104153" TargetMode="External"/><Relationship Id="rId96" Type="http://schemas.openxmlformats.org/officeDocument/2006/relationships/hyperlink" Target="http://www.wikidata.org/entity/Q2191260" TargetMode="External"/><Relationship Id="rId99" Type="http://schemas.openxmlformats.org/officeDocument/2006/relationships/hyperlink" Target="http://www.wikidata.org/entity/Q3163681" TargetMode="External"/><Relationship Id="rId98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91" Type="http://schemas.openxmlformats.org/officeDocument/2006/relationships/hyperlink" Target="http://www.wikidata.org/entity/Q3163681" TargetMode="External"/><Relationship Id="rId90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93" Type="http://schemas.openxmlformats.org/officeDocument/2006/relationships/hyperlink" Target="http://www.wikidata.org/entity/Q6242432" TargetMode="External"/><Relationship Id="rId92" Type="http://schemas.openxmlformats.org/officeDocument/2006/relationships/hyperlink" Target="http://www.wikidata.org/entity/Q4958876" TargetMode="External"/><Relationship Id="rId359" Type="http://schemas.openxmlformats.org/officeDocument/2006/relationships/hyperlink" Target="http://www.wikidata.org/entity/Q1162163" TargetMode="External"/><Relationship Id="rId358" Type="http://schemas.openxmlformats.org/officeDocument/2006/relationships/hyperlink" Target="http://www.wikidata.org/entity/Q2181847" TargetMode="External"/><Relationship Id="rId357" Type="http://schemas.openxmlformats.org/officeDocument/2006/relationships/hyperlink" Target="http://www.wikidata.org/entity/Q212238" TargetMode="External"/><Relationship Id="rId2270" Type="http://schemas.openxmlformats.org/officeDocument/2006/relationships/hyperlink" Target="http://www.wikidata.org/entity/Q13418253" TargetMode="External"/><Relationship Id="rId2271" Type="http://schemas.openxmlformats.org/officeDocument/2006/relationships/hyperlink" Target="http://www.wikidata.org/entity/Q2306925" TargetMode="External"/><Relationship Id="rId352" Type="http://schemas.openxmlformats.org/officeDocument/2006/relationships/hyperlink" Target="http://commons.wikimedia.org/wiki/Special:FilePath/Ferdinand%20Van%20de%20Putte.jpg" TargetMode="External"/><Relationship Id="rId2272" Type="http://schemas.openxmlformats.org/officeDocument/2006/relationships/hyperlink" Target="http://www.wikidata.org/entity/Q118395622" TargetMode="External"/><Relationship Id="rId351" Type="http://schemas.openxmlformats.org/officeDocument/2006/relationships/hyperlink" Target="http://www.wikidata.org/entity/Q36180" TargetMode="External"/><Relationship Id="rId2273" Type="http://schemas.openxmlformats.org/officeDocument/2006/relationships/hyperlink" Target="http://commons.wikimedia.org/wiki/Special:FilePath/J%20O%20Andries%201836.jpg" TargetMode="External"/><Relationship Id="rId350" Type="http://schemas.openxmlformats.org/officeDocument/2006/relationships/hyperlink" Target="http://www.wikidata.org/entity/Q2684959" TargetMode="External"/><Relationship Id="rId2274" Type="http://schemas.openxmlformats.org/officeDocument/2006/relationships/hyperlink" Target="http://www.wikidata.org/entity/Q41885755" TargetMode="External"/><Relationship Id="rId2275" Type="http://schemas.openxmlformats.org/officeDocument/2006/relationships/hyperlink" Target="http://www.wikidata.org/entity/Q15253558" TargetMode="External"/><Relationship Id="rId356" Type="http://schemas.openxmlformats.org/officeDocument/2006/relationships/hyperlink" Target="http://www.wikidata.org/entity/Q2181847" TargetMode="External"/><Relationship Id="rId2276" Type="http://schemas.openxmlformats.org/officeDocument/2006/relationships/hyperlink" Target="http://www.wikidata.org/entity/Q2638823" TargetMode="External"/><Relationship Id="rId355" Type="http://schemas.openxmlformats.org/officeDocument/2006/relationships/hyperlink" Target="http://commons.wikimedia.org/wiki/Special:FilePath/Joseph%20van%20den%20Gheyn%20%281854-1913%29.jpg" TargetMode="External"/><Relationship Id="rId2277" Type="http://schemas.openxmlformats.org/officeDocument/2006/relationships/hyperlink" Target="http://www.wikidata.org/entity/Q482980" TargetMode="External"/><Relationship Id="rId354" Type="http://schemas.openxmlformats.org/officeDocument/2006/relationships/hyperlink" Target="http://www.wikidata.org/entity/Q182436" TargetMode="External"/><Relationship Id="rId2278" Type="http://schemas.openxmlformats.org/officeDocument/2006/relationships/hyperlink" Target="http://commons.wikimedia.org/wiki/Special:FilePath/Alfons%20Janssens.jpg" TargetMode="External"/><Relationship Id="rId353" Type="http://schemas.openxmlformats.org/officeDocument/2006/relationships/hyperlink" Target="http://www.wikidata.org/entity/Q3185717" TargetMode="External"/><Relationship Id="rId2279" Type="http://schemas.openxmlformats.org/officeDocument/2006/relationships/hyperlink" Target="http://www.wikidata.org/entity/Q4423628" TargetMode="External"/><Relationship Id="rId2225" Type="http://schemas.openxmlformats.org/officeDocument/2006/relationships/hyperlink" Target="http://www.wikidata.org/entity/Q2306925" TargetMode="External"/><Relationship Id="rId3557" Type="http://schemas.openxmlformats.org/officeDocument/2006/relationships/hyperlink" Target="http://www.wikidata.org/entity/Q219477" TargetMode="External"/><Relationship Id="rId2226" Type="http://schemas.openxmlformats.org/officeDocument/2006/relationships/hyperlink" Target="http://www.wikidata.org/entity/Q82955" TargetMode="External"/><Relationship Id="rId3556" Type="http://schemas.openxmlformats.org/officeDocument/2006/relationships/hyperlink" Target="http://www.wikidata.org/entity/Q115820635" TargetMode="External"/><Relationship Id="rId2227" Type="http://schemas.openxmlformats.org/officeDocument/2006/relationships/hyperlink" Target="http://commons.wikimedia.org/wiki/Special:FilePath/J%20O%20Andries%201836.jpg" TargetMode="External"/><Relationship Id="rId3559" Type="http://schemas.openxmlformats.org/officeDocument/2006/relationships/hyperlink" Target="http://www.wikidata.org/entity/Q955464" TargetMode="External"/><Relationship Id="rId2228" Type="http://schemas.openxmlformats.org/officeDocument/2006/relationships/hyperlink" Target="http://www.wikidata.org/entity/Q2779054" TargetMode="External"/><Relationship Id="rId3558" Type="http://schemas.openxmlformats.org/officeDocument/2006/relationships/hyperlink" Target="http://www.wikidata.org/entity/Q115821479" TargetMode="External"/><Relationship Id="rId2229" Type="http://schemas.openxmlformats.org/officeDocument/2006/relationships/hyperlink" Target="http://www.wikidata.org/entity/Q2251335" TargetMode="External"/><Relationship Id="rId305" Type="http://schemas.openxmlformats.org/officeDocument/2006/relationships/hyperlink" Target="http://www.wikidata.org/entity/Q11997597" TargetMode="External"/><Relationship Id="rId304" Type="http://schemas.openxmlformats.org/officeDocument/2006/relationships/hyperlink" Target="http://www.wikidata.org/entity/Q2062803" TargetMode="External"/><Relationship Id="rId303" Type="http://schemas.openxmlformats.org/officeDocument/2006/relationships/hyperlink" Target="http://commons.wikimedia.org/wiki/Special:FilePath/James%20Weale.jpg" TargetMode="External"/><Relationship Id="rId302" Type="http://schemas.openxmlformats.org/officeDocument/2006/relationships/hyperlink" Target="http://www.wikidata.org/entity/Q1792450" TargetMode="External"/><Relationship Id="rId309" Type="http://schemas.openxmlformats.org/officeDocument/2006/relationships/hyperlink" Target="http://commons.wikimedia.org/wiki/Special:FilePath/Portret%20van%20Edmond%20Van%20der%20Straeten%201895%20barcode%20910000105444.jpg" TargetMode="External"/><Relationship Id="rId308" Type="http://schemas.openxmlformats.org/officeDocument/2006/relationships/hyperlink" Target="http://www.wikidata.org/entity/Q185351" TargetMode="External"/><Relationship Id="rId307" Type="http://schemas.openxmlformats.org/officeDocument/2006/relationships/hyperlink" Target="http://www.wikidata.org/entity/Q18533827" TargetMode="External"/><Relationship Id="rId306" Type="http://schemas.openxmlformats.org/officeDocument/2006/relationships/hyperlink" Target="http://commons.wikimedia.org/wiki/Special:FilePath/James%20Weale.jpg" TargetMode="External"/><Relationship Id="rId3551" Type="http://schemas.openxmlformats.org/officeDocument/2006/relationships/hyperlink" Target="http://www.wikidata.org/entity/Q250867" TargetMode="External"/><Relationship Id="rId2220" Type="http://schemas.openxmlformats.org/officeDocument/2006/relationships/hyperlink" Target="http://commons.wikimedia.org/wiki/Special:FilePath/J%20O%20Andries%201836.jpg" TargetMode="External"/><Relationship Id="rId3550" Type="http://schemas.openxmlformats.org/officeDocument/2006/relationships/hyperlink" Target="http://www.wikidata.org/entity/Q115818424" TargetMode="External"/><Relationship Id="rId301" Type="http://schemas.openxmlformats.org/officeDocument/2006/relationships/hyperlink" Target="http://www.wikidata.org/entity/Q2062803" TargetMode="External"/><Relationship Id="rId2221" Type="http://schemas.openxmlformats.org/officeDocument/2006/relationships/hyperlink" Target="http://www.wikidata.org/entity/Q1950196" TargetMode="External"/><Relationship Id="rId3553" Type="http://schemas.openxmlformats.org/officeDocument/2006/relationships/hyperlink" Target="http://www.wikidata.org/entity/Q589298" TargetMode="External"/><Relationship Id="rId300" Type="http://schemas.openxmlformats.org/officeDocument/2006/relationships/hyperlink" Target="http://www.wikidata.org/entity/Q82955" TargetMode="External"/><Relationship Id="rId2222" Type="http://schemas.openxmlformats.org/officeDocument/2006/relationships/hyperlink" Target="http://www.wikidata.org/entity/Q36180" TargetMode="External"/><Relationship Id="rId3552" Type="http://schemas.openxmlformats.org/officeDocument/2006/relationships/hyperlink" Target="http://www.wikidata.org/entity/Q115820635" TargetMode="External"/><Relationship Id="rId2223" Type="http://schemas.openxmlformats.org/officeDocument/2006/relationships/hyperlink" Target="http://www.wikidata.org/entity/Q3346571" TargetMode="External"/><Relationship Id="rId3555" Type="http://schemas.openxmlformats.org/officeDocument/2006/relationships/hyperlink" Target="http://www.wikidata.org/entity/Q955464" TargetMode="External"/><Relationship Id="rId2224" Type="http://schemas.openxmlformats.org/officeDocument/2006/relationships/hyperlink" Target="http://www.wikidata.org/entity/Q82955" TargetMode="External"/><Relationship Id="rId3554" Type="http://schemas.openxmlformats.org/officeDocument/2006/relationships/hyperlink" Target="http://www.wikidata.org/entity/Q80079104" TargetMode="External"/><Relationship Id="rId2214" Type="http://schemas.openxmlformats.org/officeDocument/2006/relationships/hyperlink" Target="http://commons.wikimedia.org/wiki/Special:FilePath/Alfons%20Siffer%201850-1941.jpg" TargetMode="External"/><Relationship Id="rId3546" Type="http://schemas.openxmlformats.org/officeDocument/2006/relationships/hyperlink" Target="http://www.wikidata.org/entity/Q115818168" TargetMode="External"/><Relationship Id="rId2215" Type="http://schemas.openxmlformats.org/officeDocument/2006/relationships/hyperlink" Target="http://www.wikidata.org/entity/Q20604626" TargetMode="External"/><Relationship Id="rId3545" Type="http://schemas.openxmlformats.org/officeDocument/2006/relationships/hyperlink" Target="http://www.wikidata.org/entity/Q219477" TargetMode="External"/><Relationship Id="rId2216" Type="http://schemas.openxmlformats.org/officeDocument/2006/relationships/hyperlink" Target="http://www.wikidata.org/entity/Q131512" TargetMode="External"/><Relationship Id="rId3548" Type="http://schemas.openxmlformats.org/officeDocument/2006/relationships/hyperlink" Target="http://www.wikidata.org/entity/Q115818424" TargetMode="External"/><Relationship Id="rId2217" Type="http://schemas.openxmlformats.org/officeDocument/2006/relationships/hyperlink" Target="http://commons.wikimedia.org/wiki/Special:FilePath/Jan%20van%20Wageningen%20thoe%20Dekema.jpg" TargetMode="External"/><Relationship Id="rId3547" Type="http://schemas.openxmlformats.org/officeDocument/2006/relationships/hyperlink" Target="http://www.wikidata.org/entity/Q250867" TargetMode="External"/><Relationship Id="rId2218" Type="http://schemas.openxmlformats.org/officeDocument/2006/relationships/hyperlink" Target="http://www.wikidata.org/entity/Q2306925" TargetMode="External"/><Relationship Id="rId2219" Type="http://schemas.openxmlformats.org/officeDocument/2006/relationships/hyperlink" Target="http://www.wikidata.org/entity/Q955464" TargetMode="External"/><Relationship Id="rId3549" Type="http://schemas.openxmlformats.org/officeDocument/2006/relationships/hyperlink" Target="http://www.wikidata.org/entity/Q1056391" TargetMode="External"/><Relationship Id="rId3540" Type="http://schemas.openxmlformats.org/officeDocument/2006/relationships/hyperlink" Target="http://www.wikidata.org/entity/Q955464" TargetMode="External"/><Relationship Id="rId2210" Type="http://schemas.openxmlformats.org/officeDocument/2006/relationships/hyperlink" Target="http://www.wikidata.org/entity/Q7190386" TargetMode="External"/><Relationship Id="rId3542" Type="http://schemas.openxmlformats.org/officeDocument/2006/relationships/hyperlink" Target="http://www.wikidata.org/entity/Q67205775" TargetMode="External"/><Relationship Id="rId2211" Type="http://schemas.openxmlformats.org/officeDocument/2006/relationships/hyperlink" Target="http://www.wikidata.org/entity/Q3043179" TargetMode="External"/><Relationship Id="rId3541" Type="http://schemas.openxmlformats.org/officeDocument/2006/relationships/hyperlink" Target="http://www.wikidata.org/entity/Q20902162" TargetMode="External"/><Relationship Id="rId2212" Type="http://schemas.openxmlformats.org/officeDocument/2006/relationships/hyperlink" Target="http://www.wikidata.org/entity/Q2539969" TargetMode="External"/><Relationship Id="rId3544" Type="http://schemas.openxmlformats.org/officeDocument/2006/relationships/hyperlink" Target="http://www.wikidata.org/entity/Q115818168" TargetMode="External"/><Relationship Id="rId2213" Type="http://schemas.openxmlformats.org/officeDocument/2006/relationships/hyperlink" Target="http://www.wikidata.org/entity/Q175151" TargetMode="External"/><Relationship Id="rId3543" Type="http://schemas.openxmlformats.org/officeDocument/2006/relationships/hyperlink" Target="http://commons.wikimedia.org/wiki/Special:FilePath/Foto%20van%20Louise%20Gezelle%20en%20Stijn%20Streuvels.jpg" TargetMode="External"/><Relationship Id="rId2247" Type="http://schemas.openxmlformats.org/officeDocument/2006/relationships/hyperlink" Target="http://www.wikidata.org/entity/Q4594605" TargetMode="External"/><Relationship Id="rId3579" Type="http://schemas.openxmlformats.org/officeDocument/2006/relationships/hyperlink" Target="http://www.wikidata.org/entity/Q1162163" TargetMode="External"/><Relationship Id="rId2248" Type="http://schemas.openxmlformats.org/officeDocument/2006/relationships/hyperlink" Target="http://commons.wikimedia.org/wiki/Special:FilePath/NapoleonDePauw.jpg" TargetMode="External"/><Relationship Id="rId3578" Type="http://schemas.openxmlformats.org/officeDocument/2006/relationships/hyperlink" Target="http://www.wikidata.org/entity/Q115826830" TargetMode="External"/><Relationship Id="rId2249" Type="http://schemas.openxmlformats.org/officeDocument/2006/relationships/hyperlink" Target="http://www.wikidata.org/entity/Q2306925" TargetMode="External"/><Relationship Id="rId327" Type="http://schemas.openxmlformats.org/officeDocument/2006/relationships/hyperlink" Target="http://www.wikidata.org/entity/Q1056391" TargetMode="External"/><Relationship Id="rId326" Type="http://schemas.openxmlformats.org/officeDocument/2006/relationships/hyperlink" Target="http://www.wikidata.org/entity/Q2450554" TargetMode="External"/><Relationship Id="rId325" Type="http://schemas.openxmlformats.org/officeDocument/2006/relationships/hyperlink" Target="http://www.wikidata.org/entity/Q201788" TargetMode="External"/><Relationship Id="rId324" Type="http://schemas.openxmlformats.org/officeDocument/2006/relationships/hyperlink" Target="http://www.wikidata.org/entity/Q2450554" TargetMode="External"/><Relationship Id="rId329" Type="http://schemas.openxmlformats.org/officeDocument/2006/relationships/hyperlink" Target="http://www.wikidata.org/entity/Q250867" TargetMode="External"/><Relationship Id="rId328" Type="http://schemas.openxmlformats.org/officeDocument/2006/relationships/hyperlink" Target="http://www.wikidata.org/entity/Q2450554" TargetMode="External"/><Relationship Id="rId3571" Type="http://schemas.openxmlformats.org/officeDocument/2006/relationships/hyperlink" Target="http://www.wikidata.org/entity/Q2251335" TargetMode="External"/><Relationship Id="rId2240" Type="http://schemas.openxmlformats.org/officeDocument/2006/relationships/hyperlink" Target="http://www.wikidata.org/entity/Q55911879" TargetMode="External"/><Relationship Id="rId3570" Type="http://schemas.openxmlformats.org/officeDocument/2006/relationships/hyperlink" Target="http://www.wikidata.org/entity/Q80079104" TargetMode="External"/><Relationship Id="rId2241" Type="http://schemas.openxmlformats.org/officeDocument/2006/relationships/hyperlink" Target="http://www.wikidata.org/entity/Q37226" TargetMode="External"/><Relationship Id="rId3573" Type="http://schemas.openxmlformats.org/officeDocument/2006/relationships/hyperlink" Target="http://www.wikidata.org/entity/Q1753370" TargetMode="External"/><Relationship Id="rId2242" Type="http://schemas.openxmlformats.org/officeDocument/2006/relationships/hyperlink" Target="http://www.wikidata.org/entity/Q55911879" TargetMode="External"/><Relationship Id="rId3572" Type="http://schemas.openxmlformats.org/officeDocument/2006/relationships/hyperlink" Target="http://www.wikidata.org/entity/Q56036067" TargetMode="External"/><Relationship Id="rId323" Type="http://schemas.openxmlformats.org/officeDocument/2006/relationships/hyperlink" Target="http://www.wikidata.org/entity/Q1162163" TargetMode="External"/><Relationship Id="rId2243" Type="http://schemas.openxmlformats.org/officeDocument/2006/relationships/hyperlink" Target="http://www.wikidata.org/entity/Q49757" TargetMode="External"/><Relationship Id="rId3575" Type="http://schemas.openxmlformats.org/officeDocument/2006/relationships/hyperlink" Target="http://www.wikidata.org/entity/Q2251335" TargetMode="External"/><Relationship Id="rId322" Type="http://schemas.openxmlformats.org/officeDocument/2006/relationships/hyperlink" Target="http://www.wikidata.org/entity/Q2450554" TargetMode="External"/><Relationship Id="rId2244" Type="http://schemas.openxmlformats.org/officeDocument/2006/relationships/hyperlink" Target="http://www.wikidata.org/entity/Q41885755" TargetMode="External"/><Relationship Id="rId3574" Type="http://schemas.openxmlformats.org/officeDocument/2006/relationships/hyperlink" Target="http://www.wikidata.org/entity/Q115821483" TargetMode="External"/><Relationship Id="rId321" Type="http://schemas.openxmlformats.org/officeDocument/2006/relationships/hyperlink" Target="http://commons.wikimedia.org/wiki/Special:FilePath/Ferdinand%20Van%20de%20Putte.jpg" TargetMode="External"/><Relationship Id="rId2245" Type="http://schemas.openxmlformats.org/officeDocument/2006/relationships/hyperlink" Target="http://www.wikidata.org/entity/Q1622272" TargetMode="External"/><Relationship Id="rId3577" Type="http://schemas.openxmlformats.org/officeDocument/2006/relationships/hyperlink" Target="http://www.wikidata.org/entity/Q2251335" TargetMode="External"/><Relationship Id="rId320" Type="http://schemas.openxmlformats.org/officeDocument/2006/relationships/hyperlink" Target="http://www.wikidata.org/entity/Q1056391" TargetMode="External"/><Relationship Id="rId2246" Type="http://schemas.openxmlformats.org/officeDocument/2006/relationships/hyperlink" Target="http://www.wikidata.org/entity/Q18655152" TargetMode="External"/><Relationship Id="rId3576" Type="http://schemas.openxmlformats.org/officeDocument/2006/relationships/hyperlink" Target="http://www.wikidata.org/entity/Q115821479" TargetMode="External"/><Relationship Id="rId2236" Type="http://schemas.openxmlformats.org/officeDocument/2006/relationships/hyperlink" Target="http://www.wikidata.org/entity/Q201788" TargetMode="External"/><Relationship Id="rId3568" Type="http://schemas.openxmlformats.org/officeDocument/2006/relationships/hyperlink" Target="http://www.wikidata.org/entity/Q115823191" TargetMode="External"/><Relationship Id="rId2237" Type="http://schemas.openxmlformats.org/officeDocument/2006/relationships/hyperlink" Target="http://commons.wikimedia.org/wiki/Special:FilePath/J%20O%20Andries%201836.jpg" TargetMode="External"/><Relationship Id="rId3567" Type="http://schemas.openxmlformats.org/officeDocument/2006/relationships/hyperlink" Target="http://www.wikidata.org/entity/Q955464" TargetMode="External"/><Relationship Id="rId2238" Type="http://schemas.openxmlformats.org/officeDocument/2006/relationships/hyperlink" Target="http://www.wikidata.org/entity/Q55911879" TargetMode="External"/><Relationship Id="rId2239" Type="http://schemas.openxmlformats.org/officeDocument/2006/relationships/hyperlink" Target="http://www.wikidata.org/entity/Q36180" TargetMode="External"/><Relationship Id="rId3569" Type="http://schemas.openxmlformats.org/officeDocument/2006/relationships/hyperlink" Target="http://www.wikidata.org/entity/Q250867" TargetMode="External"/><Relationship Id="rId316" Type="http://schemas.openxmlformats.org/officeDocument/2006/relationships/hyperlink" Target="http://www.wikidata.org/entity/Q36180" TargetMode="External"/><Relationship Id="rId315" Type="http://schemas.openxmlformats.org/officeDocument/2006/relationships/hyperlink" Target="http://www.wikidata.org/entity/Q21549953" TargetMode="External"/><Relationship Id="rId314" Type="http://schemas.openxmlformats.org/officeDocument/2006/relationships/hyperlink" Target="http://commons.wikimedia.org/wiki/Special:FilePath/Joseph%20van%20den%20Gheyn%20%281854-1913%29.jpg" TargetMode="External"/><Relationship Id="rId313" Type="http://schemas.openxmlformats.org/officeDocument/2006/relationships/hyperlink" Target="http://www.wikidata.org/entity/Q17166634" TargetMode="External"/><Relationship Id="rId319" Type="http://schemas.openxmlformats.org/officeDocument/2006/relationships/hyperlink" Target="http://www.wikidata.org/entity/Q2684959" TargetMode="External"/><Relationship Id="rId318" Type="http://schemas.openxmlformats.org/officeDocument/2006/relationships/hyperlink" Target="http://www.wikidata.org/entity/Q36180" TargetMode="External"/><Relationship Id="rId317" Type="http://schemas.openxmlformats.org/officeDocument/2006/relationships/hyperlink" Target="http://www.wikidata.org/entity/Q2580620" TargetMode="External"/><Relationship Id="rId3560" Type="http://schemas.openxmlformats.org/officeDocument/2006/relationships/hyperlink" Target="http://www.wikidata.org/entity/Q80079104" TargetMode="External"/><Relationship Id="rId2230" Type="http://schemas.openxmlformats.org/officeDocument/2006/relationships/hyperlink" Target="http://commons.wikimedia.org/wiki/Special:FilePath/Leonard%20Lodewijk%20De%20Bo.jpg" TargetMode="External"/><Relationship Id="rId3562" Type="http://schemas.openxmlformats.org/officeDocument/2006/relationships/hyperlink" Target="http://www.wikidata.org/entity/Q115821479" TargetMode="External"/><Relationship Id="rId2231" Type="http://schemas.openxmlformats.org/officeDocument/2006/relationships/hyperlink" Target="http://www.wikidata.org/entity/Q2617184" TargetMode="External"/><Relationship Id="rId3561" Type="http://schemas.openxmlformats.org/officeDocument/2006/relationships/hyperlink" Target="http://www.wikidata.org/entity/Q250867" TargetMode="External"/><Relationship Id="rId312" Type="http://schemas.openxmlformats.org/officeDocument/2006/relationships/hyperlink" Target="http://www.wikidata.org/entity/Q3185717" TargetMode="External"/><Relationship Id="rId2232" Type="http://schemas.openxmlformats.org/officeDocument/2006/relationships/hyperlink" Target="http://www.wikidata.org/entity/Q201788" TargetMode="External"/><Relationship Id="rId3564" Type="http://schemas.openxmlformats.org/officeDocument/2006/relationships/hyperlink" Target="http://www.wikidata.org/entity/Q115818424" TargetMode="External"/><Relationship Id="rId311" Type="http://schemas.openxmlformats.org/officeDocument/2006/relationships/hyperlink" Target="http://www.wikidata.org/entity/Q36180" TargetMode="External"/><Relationship Id="rId2233" Type="http://schemas.openxmlformats.org/officeDocument/2006/relationships/hyperlink" Target="http://www.wikidata.org/entity/Q41885755" TargetMode="External"/><Relationship Id="rId3563" Type="http://schemas.openxmlformats.org/officeDocument/2006/relationships/hyperlink" Target="http://www.wikidata.org/entity/Q250867" TargetMode="External"/><Relationship Id="rId310" Type="http://schemas.openxmlformats.org/officeDocument/2006/relationships/hyperlink" Target="http://www.wikidata.org/entity/Q3431564" TargetMode="External"/><Relationship Id="rId2234" Type="http://schemas.openxmlformats.org/officeDocument/2006/relationships/hyperlink" Target="http://www.wikidata.org/entity/Q212238" TargetMode="External"/><Relationship Id="rId3566" Type="http://schemas.openxmlformats.org/officeDocument/2006/relationships/hyperlink" Target="http://www.wikidata.org/entity/Q115823191" TargetMode="External"/><Relationship Id="rId2235" Type="http://schemas.openxmlformats.org/officeDocument/2006/relationships/hyperlink" Target="http://www.wikidata.org/entity/Q2306925" TargetMode="External"/><Relationship Id="rId3565" Type="http://schemas.openxmlformats.org/officeDocument/2006/relationships/hyperlink" Target="http://www.wikidata.org/entity/Q2251335" TargetMode="External"/><Relationship Id="rId4040" Type="http://schemas.openxmlformats.org/officeDocument/2006/relationships/hyperlink" Target="http://www.wikidata.org/entity/Q123055332" TargetMode="External"/><Relationship Id="rId4042" Type="http://schemas.openxmlformats.org/officeDocument/2006/relationships/hyperlink" Target="http://www.wikidata.org/entity/Q125538145" TargetMode="External"/><Relationship Id="rId4041" Type="http://schemas.openxmlformats.org/officeDocument/2006/relationships/hyperlink" Target="http://www.wikidata.org/entity/Q2251335" TargetMode="External"/><Relationship Id="rId4044" Type="http://schemas.openxmlformats.org/officeDocument/2006/relationships/hyperlink" Target="http://www.wikidata.org/entity/Q119039774" TargetMode="External"/><Relationship Id="rId4043" Type="http://schemas.openxmlformats.org/officeDocument/2006/relationships/hyperlink" Target="http://www.wikidata.org/entity/Q1469535" TargetMode="External"/><Relationship Id="rId4046" Type="http://schemas.openxmlformats.org/officeDocument/2006/relationships/hyperlink" Target="http://www.wikidata.org/entity/Q123050974" TargetMode="External"/><Relationship Id="rId4045" Type="http://schemas.openxmlformats.org/officeDocument/2006/relationships/hyperlink" Target="http://www.wikidata.org/entity/Q388338" TargetMode="External"/><Relationship Id="rId4048" Type="http://schemas.openxmlformats.org/officeDocument/2006/relationships/hyperlink" Target="http://www.wikidata.org/entity/Q125538145" TargetMode="External"/><Relationship Id="rId4047" Type="http://schemas.openxmlformats.org/officeDocument/2006/relationships/hyperlink" Target="http://www.wikidata.org/entity/Q833860" TargetMode="External"/><Relationship Id="rId4049" Type="http://schemas.openxmlformats.org/officeDocument/2006/relationships/hyperlink" Target="http://www.wikidata.org/entity/Q1753370" TargetMode="External"/><Relationship Id="rId4031" Type="http://schemas.openxmlformats.org/officeDocument/2006/relationships/hyperlink" Target="http://www.wikidata.org/entity/Q1753370" TargetMode="External"/><Relationship Id="rId4030" Type="http://schemas.openxmlformats.org/officeDocument/2006/relationships/hyperlink" Target="http://www.wikidata.org/entity/Q125535061" TargetMode="External"/><Relationship Id="rId297" Type="http://schemas.openxmlformats.org/officeDocument/2006/relationships/hyperlink" Target="http://www.wikidata.org/entity/Q37226" TargetMode="External"/><Relationship Id="rId4033" Type="http://schemas.openxmlformats.org/officeDocument/2006/relationships/hyperlink" Target="http://www.wikidata.org/entity/Q37226" TargetMode="External"/><Relationship Id="rId296" Type="http://schemas.openxmlformats.org/officeDocument/2006/relationships/hyperlink" Target="http://www.wikidata.org/entity/Q2159132" TargetMode="External"/><Relationship Id="rId4032" Type="http://schemas.openxmlformats.org/officeDocument/2006/relationships/hyperlink" Target="http://www.wikidata.org/entity/Q123697088" TargetMode="External"/><Relationship Id="rId295" Type="http://schemas.openxmlformats.org/officeDocument/2006/relationships/hyperlink" Target="http://commons.wikimedia.org/wiki/Special:FilePath/Pieter%20Lansens.jpg" TargetMode="External"/><Relationship Id="rId4035" Type="http://schemas.openxmlformats.org/officeDocument/2006/relationships/hyperlink" Target="http://www.wikidata.org/entity/Q191808" TargetMode="External"/><Relationship Id="rId294" Type="http://schemas.openxmlformats.org/officeDocument/2006/relationships/hyperlink" Target="http://www.wikidata.org/entity/Q36180" TargetMode="External"/><Relationship Id="rId4034" Type="http://schemas.openxmlformats.org/officeDocument/2006/relationships/hyperlink" Target="http://www.wikidata.org/entity/Q131957313" TargetMode="External"/><Relationship Id="rId4037" Type="http://schemas.openxmlformats.org/officeDocument/2006/relationships/hyperlink" Target="http://www.wikidata.org/entity/Q2113250" TargetMode="External"/><Relationship Id="rId4036" Type="http://schemas.openxmlformats.org/officeDocument/2006/relationships/hyperlink" Target="http://www.wikidata.org/entity/Q125535061" TargetMode="External"/><Relationship Id="rId299" Type="http://schemas.openxmlformats.org/officeDocument/2006/relationships/hyperlink" Target="http://www.wikidata.org/entity/Q1894475" TargetMode="External"/><Relationship Id="rId4039" Type="http://schemas.openxmlformats.org/officeDocument/2006/relationships/hyperlink" Target="http://www.wikidata.org/entity/Q1753370" TargetMode="External"/><Relationship Id="rId298" Type="http://schemas.openxmlformats.org/officeDocument/2006/relationships/hyperlink" Target="http://commons.wikimedia.org/wiki/Special:FilePath/Pieter%20Lansens.jpg" TargetMode="External"/><Relationship Id="rId4038" Type="http://schemas.openxmlformats.org/officeDocument/2006/relationships/hyperlink" Target="http://www.wikidata.org/entity/Q120829902" TargetMode="External"/><Relationship Id="rId4060" Type="http://schemas.openxmlformats.org/officeDocument/2006/relationships/hyperlink" Target="http://www.wikidata.org/entity/Q1162163" TargetMode="External"/><Relationship Id="rId4062" Type="http://schemas.openxmlformats.org/officeDocument/2006/relationships/hyperlink" Target="http://www.wikidata.org/entity/Q876864" TargetMode="External"/><Relationship Id="rId4061" Type="http://schemas.openxmlformats.org/officeDocument/2006/relationships/hyperlink" Target="http://www.wikidata.org/entity/Q122963358" TargetMode="External"/><Relationship Id="rId4064" Type="http://schemas.openxmlformats.org/officeDocument/2006/relationships/hyperlink" Target="http://www.wikidata.org/entity/Q2251335" TargetMode="External"/><Relationship Id="rId4063" Type="http://schemas.openxmlformats.org/officeDocument/2006/relationships/hyperlink" Target="http://www.wikidata.org/entity/Q125559890" TargetMode="External"/><Relationship Id="rId4066" Type="http://schemas.openxmlformats.org/officeDocument/2006/relationships/hyperlink" Target="http://www.wikidata.org/entity/Q876864" TargetMode="External"/><Relationship Id="rId4065" Type="http://schemas.openxmlformats.org/officeDocument/2006/relationships/hyperlink" Target="http://www.wikidata.org/entity/Q15461013" TargetMode="External"/><Relationship Id="rId4068" Type="http://schemas.openxmlformats.org/officeDocument/2006/relationships/hyperlink" Target="http://www.wikidata.org/entity/Q122963909" TargetMode="External"/><Relationship Id="rId4067" Type="http://schemas.openxmlformats.org/officeDocument/2006/relationships/hyperlink" Target="http://commons.wikimedia.org/wiki/Special:FilePath/De%20Potter%20Frans%20070512.png" TargetMode="External"/><Relationship Id="rId4069" Type="http://schemas.openxmlformats.org/officeDocument/2006/relationships/hyperlink" Target="http://www.wikidata.org/entity/Q1639239" TargetMode="External"/><Relationship Id="rId4051" Type="http://schemas.openxmlformats.org/officeDocument/2006/relationships/hyperlink" Target="http://www.wikidata.org/entity/Q589298" TargetMode="External"/><Relationship Id="rId4050" Type="http://schemas.openxmlformats.org/officeDocument/2006/relationships/hyperlink" Target="http://www.wikidata.org/entity/Q15461013" TargetMode="External"/><Relationship Id="rId4053" Type="http://schemas.openxmlformats.org/officeDocument/2006/relationships/hyperlink" Target="http://www.wikidata.org/entity/Q123050974" TargetMode="External"/><Relationship Id="rId4052" Type="http://schemas.openxmlformats.org/officeDocument/2006/relationships/hyperlink" Target="http://commons.wikimedia.org/wiki/Special:FilePath/De%20Potter%20Frans%20070512.png" TargetMode="External"/><Relationship Id="rId4055" Type="http://schemas.openxmlformats.org/officeDocument/2006/relationships/hyperlink" Target="http://www.wikidata.org/entity/Q125559890" TargetMode="External"/><Relationship Id="rId4054" Type="http://schemas.openxmlformats.org/officeDocument/2006/relationships/hyperlink" Target="http://www.wikidata.org/entity/Q1540278" TargetMode="External"/><Relationship Id="rId4057" Type="http://schemas.openxmlformats.org/officeDocument/2006/relationships/hyperlink" Target="http://www.wikidata.org/entity/Q125559890" TargetMode="External"/><Relationship Id="rId4056" Type="http://schemas.openxmlformats.org/officeDocument/2006/relationships/hyperlink" Target="http://www.wikidata.org/entity/Q121594" TargetMode="External"/><Relationship Id="rId4059" Type="http://schemas.openxmlformats.org/officeDocument/2006/relationships/hyperlink" Target="http://www.wikidata.org/entity/Q122963358" TargetMode="External"/><Relationship Id="rId4058" Type="http://schemas.openxmlformats.org/officeDocument/2006/relationships/hyperlink" Target="http://www.wikidata.org/entity/Q1162163" TargetMode="External"/><Relationship Id="rId4008" Type="http://schemas.openxmlformats.org/officeDocument/2006/relationships/hyperlink" Target="http://www.wikidata.org/entity/Q128903989" TargetMode="External"/><Relationship Id="rId4007" Type="http://schemas.openxmlformats.org/officeDocument/2006/relationships/hyperlink" Target="http://www.wikidata.org/entity/Q126113249" TargetMode="External"/><Relationship Id="rId4009" Type="http://schemas.openxmlformats.org/officeDocument/2006/relationships/hyperlink" Target="http://www.wikidata.org/entity/Q128904091" TargetMode="External"/><Relationship Id="rId271" Type="http://schemas.openxmlformats.org/officeDocument/2006/relationships/hyperlink" Target="http://www.wikidata.org/entity/Q3621491" TargetMode="External"/><Relationship Id="rId270" Type="http://schemas.openxmlformats.org/officeDocument/2006/relationships/hyperlink" Target="http://www.wikidata.org/entity/Q571426" TargetMode="External"/><Relationship Id="rId269" Type="http://schemas.openxmlformats.org/officeDocument/2006/relationships/hyperlink" Target="http://commons.wikimedia.org/wiki/Special:FilePath/Johan%20Hendrik%20Caspar%20Kern.jpg" TargetMode="External"/><Relationship Id="rId264" Type="http://schemas.openxmlformats.org/officeDocument/2006/relationships/hyperlink" Target="http://www.wikidata.org/entity/Q2684959" TargetMode="External"/><Relationship Id="rId4000" Type="http://schemas.openxmlformats.org/officeDocument/2006/relationships/hyperlink" Target="http://www.wikidata.org/entity/Q122987963" TargetMode="External"/><Relationship Id="rId263" Type="http://schemas.openxmlformats.org/officeDocument/2006/relationships/hyperlink" Target="http://commons.wikimedia.org/wiki/Special:FilePath/Rubio%20i%20ors.jpg" TargetMode="External"/><Relationship Id="rId262" Type="http://schemas.openxmlformats.org/officeDocument/2006/relationships/hyperlink" Target="http://www.wikidata.org/entity/Q49757" TargetMode="External"/><Relationship Id="rId4002" Type="http://schemas.openxmlformats.org/officeDocument/2006/relationships/hyperlink" Target="http://www.wikidata.org/entity/Q125257816" TargetMode="External"/><Relationship Id="rId261" Type="http://schemas.openxmlformats.org/officeDocument/2006/relationships/hyperlink" Target="http://www.wikidata.org/entity/Q3067739" TargetMode="External"/><Relationship Id="rId4001" Type="http://schemas.openxmlformats.org/officeDocument/2006/relationships/hyperlink" Target="http://www.wikidata.org/entity/Q37226" TargetMode="External"/><Relationship Id="rId268" Type="http://schemas.openxmlformats.org/officeDocument/2006/relationships/hyperlink" Target="http://www.wikidata.org/entity/Q121594" TargetMode="External"/><Relationship Id="rId4004" Type="http://schemas.openxmlformats.org/officeDocument/2006/relationships/hyperlink" Target="http://www.wikidata.org/entity/Q125352256" TargetMode="External"/><Relationship Id="rId267" Type="http://schemas.openxmlformats.org/officeDocument/2006/relationships/hyperlink" Target="http://www.wikidata.org/entity/Q571426" TargetMode="External"/><Relationship Id="rId4003" Type="http://schemas.openxmlformats.org/officeDocument/2006/relationships/hyperlink" Target="http://www.wikidata.org/entity/Q125342034" TargetMode="External"/><Relationship Id="rId266" Type="http://schemas.openxmlformats.org/officeDocument/2006/relationships/hyperlink" Target="http://commons.wikimedia.org/wiki/Special:FilePath/Ferdinand%20Van%20de%20Putte.jpg" TargetMode="External"/><Relationship Id="rId4006" Type="http://schemas.openxmlformats.org/officeDocument/2006/relationships/hyperlink" Target="http://www.wikidata.org/entity/Q125859018" TargetMode="External"/><Relationship Id="rId265" Type="http://schemas.openxmlformats.org/officeDocument/2006/relationships/hyperlink" Target="http://www.wikidata.org/entity/Q955464" TargetMode="External"/><Relationship Id="rId4005" Type="http://schemas.openxmlformats.org/officeDocument/2006/relationships/hyperlink" Target="http://www.wikidata.org/entity/Q125365471" TargetMode="External"/><Relationship Id="rId260" Type="http://schemas.openxmlformats.org/officeDocument/2006/relationships/hyperlink" Target="http://commons.wikimedia.org/wiki/Special:FilePath/Rubio%20i%20ors.jpg" TargetMode="External"/><Relationship Id="rId259" Type="http://schemas.openxmlformats.org/officeDocument/2006/relationships/hyperlink" Target="http://www.wikidata.org/entity/Q36180" TargetMode="External"/><Relationship Id="rId258" Type="http://schemas.openxmlformats.org/officeDocument/2006/relationships/hyperlink" Target="http://www.wikidata.org/entity/Q3067739" TargetMode="External"/><Relationship Id="rId2290" Type="http://schemas.openxmlformats.org/officeDocument/2006/relationships/hyperlink" Target="http://www.wikidata.org/entity/Q110039252" TargetMode="External"/><Relationship Id="rId2291" Type="http://schemas.openxmlformats.org/officeDocument/2006/relationships/hyperlink" Target="http://www.wikidata.org/entity/Q250867" TargetMode="External"/><Relationship Id="rId2292" Type="http://schemas.openxmlformats.org/officeDocument/2006/relationships/hyperlink" Target="http://www.wikidata.org/entity/Q3164253" TargetMode="External"/><Relationship Id="rId2293" Type="http://schemas.openxmlformats.org/officeDocument/2006/relationships/hyperlink" Target="http://www.wikidata.org/entity/Q182436" TargetMode="External"/><Relationship Id="rId253" Type="http://schemas.openxmlformats.org/officeDocument/2006/relationships/hyperlink" Target="http://www.wikidata.org/entity/Q250867" TargetMode="External"/><Relationship Id="rId2294" Type="http://schemas.openxmlformats.org/officeDocument/2006/relationships/hyperlink" Target="http://commons.wikimedia.org/wiki/Special:FilePath/Joannes%20Baptista%20Malou%20-%20Bishop%20of%20Bruges.jpg" TargetMode="External"/><Relationship Id="rId252" Type="http://schemas.openxmlformats.org/officeDocument/2006/relationships/hyperlink" Target="http://www.wikidata.org/entity/Q1877721" TargetMode="External"/><Relationship Id="rId2295" Type="http://schemas.openxmlformats.org/officeDocument/2006/relationships/hyperlink" Target="http://www.wikidata.org/entity/Q4423628" TargetMode="External"/><Relationship Id="rId251" Type="http://schemas.openxmlformats.org/officeDocument/2006/relationships/hyperlink" Target="http://commons.wikimedia.org/wiki/Special:FilePath/Brugge%20-%20Bisschop%20Faict%20%281864-1894%29%20-%20Brugge%20-%20Belgi%C3%AB.jpg" TargetMode="External"/><Relationship Id="rId2296" Type="http://schemas.openxmlformats.org/officeDocument/2006/relationships/hyperlink" Target="http://www.wikidata.org/entity/Q2251335" TargetMode="External"/><Relationship Id="rId250" Type="http://schemas.openxmlformats.org/officeDocument/2006/relationships/hyperlink" Target="http://www.wikidata.org/entity/Q1234713" TargetMode="External"/><Relationship Id="rId2297" Type="http://schemas.openxmlformats.org/officeDocument/2006/relationships/hyperlink" Target="http://www.wikidata.org/entity/Q2779054" TargetMode="External"/><Relationship Id="rId257" Type="http://schemas.openxmlformats.org/officeDocument/2006/relationships/hyperlink" Target="http://commons.wikimedia.org/wiki/Special:FilePath/James%20Weale.jpg" TargetMode="External"/><Relationship Id="rId2298" Type="http://schemas.openxmlformats.org/officeDocument/2006/relationships/hyperlink" Target="http://www.wikidata.org/entity/Q250867" TargetMode="External"/><Relationship Id="rId256" Type="http://schemas.openxmlformats.org/officeDocument/2006/relationships/hyperlink" Target="http://www.wikidata.org/entity/Q37226" TargetMode="External"/><Relationship Id="rId2299" Type="http://schemas.openxmlformats.org/officeDocument/2006/relationships/hyperlink" Target="http://commons.wikimedia.org/wiki/Special:FilePath/Leonard%20Lodewijk%20De%20Bo.jpg" TargetMode="External"/><Relationship Id="rId255" Type="http://schemas.openxmlformats.org/officeDocument/2006/relationships/hyperlink" Target="http://www.wikidata.org/entity/Q2062803" TargetMode="External"/><Relationship Id="rId254" Type="http://schemas.openxmlformats.org/officeDocument/2006/relationships/hyperlink" Target="http://commons.wikimedia.org/wiki/Special:FilePath/Charles%20Carton.jpg" TargetMode="External"/><Relationship Id="rId4029" Type="http://schemas.openxmlformats.org/officeDocument/2006/relationships/hyperlink" Target="http://www.wikidata.org/entity/Q1469535" TargetMode="External"/><Relationship Id="rId293" Type="http://schemas.openxmlformats.org/officeDocument/2006/relationships/hyperlink" Target="http://www.wikidata.org/entity/Q2159132" TargetMode="External"/><Relationship Id="rId292" Type="http://schemas.openxmlformats.org/officeDocument/2006/relationships/hyperlink" Target="http://commons.wikimedia.org/wiki/Special:FilePath/Ferdinand%20Van%20de%20Putte.jpg" TargetMode="External"/><Relationship Id="rId291" Type="http://schemas.openxmlformats.org/officeDocument/2006/relationships/hyperlink" Target="http://www.wikidata.org/entity/Q2251335" TargetMode="External"/><Relationship Id="rId290" Type="http://schemas.openxmlformats.org/officeDocument/2006/relationships/hyperlink" Target="http://www.wikidata.org/entity/Q2684959" TargetMode="External"/><Relationship Id="rId4020" Type="http://schemas.openxmlformats.org/officeDocument/2006/relationships/hyperlink" Target="http://www.wikidata.org/entity/Q80687" TargetMode="External"/><Relationship Id="rId286" Type="http://schemas.openxmlformats.org/officeDocument/2006/relationships/hyperlink" Target="http://commons.wikimedia.org/wiki/Special:FilePath/Ferdinand%20Van%20de%20Putte.jpg" TargetMode="External"/><Relationship Id="rId4022" Type="http://schemas.openxmlformats.org/officeDocument/2006/relationships/hyperlink" Target="http://www.wikidata.org/entity/Q39631" TargetMode="External"/><Relationship Id="rId285" Type="http://schemas.openxmlformats.org/officeDocument/2006/relationships/hyperlink" Target="http://www.wikidata.org/entity/Q201788" TargetMode="External"/><Relationship Id="rId4021" Type="http://schemas.openxmlformats.org/officeDocument/2006/relationships/hyperlink" Target="http://www.wikidata.org/entity/Q125819387" TargetMode="External"/><Relationship Id="rId284" Type="http://schemas.openxmlformats.org/officeDocument/2006/relationships/hyperlink" Target="http://www.wikidata.org/entity/Q2684959" TargetMode="External"/><Relationship Id="rId4024" Type="http://schemas.openxmlformats.org/officeDocument/2006/relationships/hyperlink" Target="http://www.wikidata.org/entity/Q435940" TargetMode="External"/><Relationship Id="rId283" Type="http://schemas.openxmlformats.org/officeDocument/2006/relationships/hyperlink" Target="http://commons.wikimedia.org/wiki/Special:FilePath/Pieter%20Lansens.jpg" TargetMode="External"/><Relationship Id="rId4023" Type="http://schemas.openxmlformats.org/officeDocument/2006/relationships/hyperlink" Target="http://www.wikidata.org/entity/Q125516501" TargetMode="External"/><Relationship Id="rId4026" Type="http://schemas.openxmlformats.org/officeDocument/2006/relationships/hyperlink" Target="http://www.wikidata.org/entity/Q13418253" TargetMode="External"/><Relationship Id="rId289" Type="http://schemas.openxmlformats.org/officeDocument/2006/relationships/hyperlink" Target="http://commons.wikimedia.org/wiki/Special:FilePath/Rubio%20i%20ors.jpg" TargetMode="External"/><Relationship Id="rId4025" Type="http://schemas.openxmlformats.org/officeDocument/2006/relationships/hyperlink" Target="http://www.wikidata.org/entity/Q961180" TargetMode="External"/><Relationship Id="rId288" Type="http://schemas.openxmlformats.org/officeDocument/2006/relationships/hyperlink" Target="http://www.wikidata.org/entity/Q1622272" TargetMode="External"/><Relationship Id="rId4028" Type="http://schemas.openxmlformats.org/officeDocument/2006/relationships/hyperlink" Target="http://www.wikidata.org/entity/Q120829902" TargetMode="External"/><Relationship Id="rId287" Type="http://schemas.openxmlformats.org/officeDocument/2006/relationships/hyperlink" Target="http://www.wikidata.org/entity/Q3067739" TargetMode="External"/><Relationship Id="rId4027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4019" Type="http://schemas.openxmlformats.org/officeDocument/2006/relationships/hyperlink" Target="http://www.wikidata.org/entity/Q119039774" TargetMode="External"/><Relationship Id="rId4018" Type="http://schemas.openxmlformats.org/officeDocument/2006/relationships/hyperlink" Target="http://www.wikidata.org/entity/Q830337" TargetMode="External"/><Relationship Id="rId282" Type="http://schemas.openxmlformats.org/officeDocument/2006/relationships/hyperlink" Target="http://www.wikidata.org/entity/Q1056391" TargetMode="External"/><Relationship Id="rId281" Type="http://schemas.openxmlformats.org/officeDocument/2006/relationships/hyperlink" Target="http://www.wikidata.org/entity/Q2159132" TargetMode="External"/><Relationship Id="rId280" Type="http://schemas.openxmlformats.org/officeDocument/2006/relationships/hyperlink" Target="http://www.wikidata.org/entity/Q49757" TargetMode="External"/><Relationship Id="rId275" Type="http://schemas.openxmlformats.org/officeDocument/2006/relationships/hyperlink" Target="http://www.wikidata.org/entity/Q18415039" TargetMode="External"/><Relationship Id="rId4011" Type="http://schemas.openxmlformats.org/officeDocument/2006/relationships/hyperlink" Target="http://www.wikidata.org/entity/Q131957313" TargetMode="External"/><Relationship Id="rId274" Type="http://schemas.openxmlformats.org/officeDocument/2006/relationships/hyperlink" Target="http://www.wikidata.org/entity/Q13418253" TargetMode="External"/><Relationship Id="rId4010" Type="http://schemas.openxmlformats.org/officeDocument/2006/relationships/hyperlink" Target="http://www.wikidata.org/entity/Q131928167" TargetMode="External"/><Relationship Id="rId273" Type="http://schemas.openxmlformats.org/officeDocument/2006/relationships/hyperlink" Target="http://www.wikidata.org/entity/Q18415039" TargetMode="External"/><Relationship Id="rId4013" Type="http://schemas.openxmlformats.org/officeDocument/2006/relationships/hyperlink" Target="http://www.wikidata.org/entity/Q125306156" TargetMode="External"/><Relationship Id="rId272" Type="http://schemas.openxmlformats.org/officeDocument/2006/relationships/hyperlink" Target="http://commons.wikimedia.org/wiki/Special:FilePath/Johan%20Hendrik%20Caspar%20Kern.jpg" TargetMode="External"/><Relationship Id="rId4012" Type="http://schemas.openxmlformats.org/officeDocument/2006/relationships/hyperlink" Target="http://www.wikidata.org/entity/Q1056391" TargetMode="External"/><Relationship Id="rId279" Type="http://schemas.openxmlformats.org/officeDocument/2006/relationships/hyperlink" Target="http://www.wikidata.org/entity/Q2542423" TargetMode="External"/><Relationship Id="rId4015" Type="http://schemas.openxmlformats.org/officeDocument/2006/relationships/hyperlink" Target="http://www.wikidata.org/entity/Q136734381" TargetMode="External"/><Relationship Id="rId278" Type="http://schemas.openxmlformats.org/officeDocument/2006/relationships/hyperlink" Target="http://www.wikidata.org/entity/Q39631" TargetMode="External"/><Relationship Id="rId4014" Type="http://schemas.openxmlformats.org/officeDocument/2006/relationships/hyperlink" Target="http://www.wikidata.org/entity/Q7313543" TargetMode="External"/><Relationship Id="rId277" Type="http://schemas.openxmlformats.org/officeDocument/2006/relationships/hyperlink" Target="http://www.wikidata.org/entity/Q2542423" TargetMode="External"/><Relationship Id="rId4017" Type="http://schemas.openxmlformats.org/officeDocument/2006/relationships/hyperlink" Target="http://www.wikidata.org/entity/Q131923924" TargetMode="External"/><Relationship Id="rId276" Type="http://schemas.openxmlformats.org/officeDocument/2006/relationships/hyperlink" Target="http://www.wikidata.org/entity/Q1642960" TargetMode="External"/><Relationship Id="rId4016" Type="http://schemas.openxmlformats.org/officeDocument/2006/relationships/hyperlink" Target="http://www.wikidata.org/entity/Q435940" TargetMode="External"/><Relationship Id="rId1851" Type="http://schemas.openxmlformats.org/officeDocument/2006/relationships/hyperlink" Target="http://www.wikidata.org/entity/Q119729450" TargetMode="External"/><Relationship Id="rId1852" Type="http://schemas.openxmlformats.org/officeDocument/2006/relationships/hyperlink" Target="http://www.wikidata.org/entity/Q215536" TargetMode="External"/><Relationship Id="rId1853" Type="http://schemas.openxmlformats.org/officeDocument/2006/relationships/hyperlink" Target="http://www.wikidata.org/entity/Q115840173" TargetMode="External"/><Relationship Id="rId1854" Type="http://schemas.openxmlformats.org/officeDocument/2006/relationships/hyperlink" Target="http://www.wikidata.org/entity/Q955464" TargetMode="External"/><Relationship Id="rId1855" Type="http://schemas.openxmlformats.org/officeDocument/2006/relationships/hyperlink" Target="http://www.wikidata.org/entity/Q115840173" TargetMode="External"/><Relationship Id="rId1856" Type="http://schemas.openxmlformats.org/officeDocument/2006/relationships/hyperlink" Target="http://www.wikidata.org/entity/Q219477" TargetMode="External"/><Relationship Id="rId1857" Type="http://schemas.openxmlformats.org/officeDocument/2006/relationships/hyperlink" Target="http://www.wikidata.org/entity/Q116672748" TargetMode="External"/><Relationship Id="rId1858" Type="http://schemas.openxmlformats.org/officeDocument/2006/relationships/hyperlink" Target="http://www.wikidata.org/entity/Q2664461" TargetMode="External"/><Relationship Id="rId1859" Type="http://schemas.openxmlformats.org/officeDocument/2006/relationships/hyperlink" Target="http://commons.wikimedia.org/wiki/Special:FilePath/Foto%20Caesar%20Gezelle%2C%20Philomena%20De%20Smet%20en%20Elisa%20Lateur.jpg" TargetMode="External"/><Relationship Id="rId1850" Type="http://schemas.openxmlformats.org/officeDocument/2006/relationships/hyperlink" Target="http://www.wikidata.org/entity/Q1639239" TargetMode="External"/><Relationship Id="rId1840" Type="http://schemas.openxmlformats.org/officeDocument/2006/relationships/hyperlink" Target="http://www.wikidata.org/entity/Q116672748" TargetMode="External"/><Relationship Id="rId1841" Type="http://schemas.openxmlformats.org/officeDocument/2006/relationships/hyperlink" Target="http://www.wikidata.org/entity/Q160131" TargetMode="External"/><Relationship Id="rId1842" Type="http://schemas.openxmlformats.org/officeDocument/2006/relationships/hyperlink" Target="http://commons.wikimedia.org/wiki/Special:FilePath/Foto%20Caesar%20Gezelle%2C%20Philomena%20De%20Smet%20en%20Elisa%20Lateur.jpg" TargetMode="External"/><Relationship Id="rId1843" Type="http://schemas.openxmlformats.org/officeDocument/2006/relationships/hyperlink" Target="http://www.wikidata.org/entity/Q120920568" TargetMode="External"/><Relationship Id="rId1844" Type="http://schemas.openxmlformats.org/officeDocument/2006/relationships/hyperlink" Target="http://www.wikidata.org/entity/Q3704253" TargetMode="External"/><Relationship Id="rId1845" Type="http://schemas.openxmlformats.org/officeDocument/2006/relationships/hyperlink" Target="http://www.wikidata.org/entity/Q115982426" TargetMode="External"/><Relationship Id="rId1846" Type="http://schemas.openxmlformats.org/officeDocument/2006/relationships/hyperlink" Target="http://www.wikidata.org/entity/Q36180" TargetMode="External"/><Relationship Id="rId1847" Type="http://schemas.openxmlformats.org/officeDocument/2006/relationships/hyperlink" Target="http://www.wikidata.org/entity/Q123422368" TargetMode="External"/><Relationship Id="rId1848" Type="http://schemas.openxmlformats.org/officeDocument/2006/relationships/hyperlink" Target="http://www.wikidata.org/entity/Q37226" TargetMode="External"/><Relationship Id="rId1849" Type="http://schemas.openxmlformats.org/officeDocument/2006/relationships/hyperlink" Target="http://www.wikidata.org/entity/Q122964092" TargetMode="External"/><Relationship Id="rId1873" Type="http://schemas.openxmlformats.org/officeDocument/2006/relationships/hyperlink" Target="http://www.wikidata.org/entity/Q7501153" TargetMode="External"/><Relationship Id="rId1874" Type="http://schemas.openxmlformats.org/officeDocument/2006/relationships/hyperlink" Target="http://commons.wikimedia.org/wiki/Special:FilePath/Foto%20Caesar%20Gezelle%2C%20Philomena%20De%20Smet%20en%20Elisa%20Lateur.jpg" TargetMode="External"/><Relationship Id="rId1875" Type="http://schemas.openxmlformats.org/officeDocument/2006/relationships/hyperlink" Target="http://www.wikidata.org/entity/Q115844668" TargetMode="External"/><Relationship Id="rId1876" Type="http://schemas.openxmlformats.org/officeDocument/2006/relationships/hyperlink" Target="http://www.wikidata.org/entity/Q955464" TargetMode="External"/><Relationship Id="rId1877" Type="http://schemas.openxmlformats.org/officeDocument/2006/relationships/hyperlink" Target="http://www.wikidata.org/entity/Q115844668" TargetMode="External"/><Relationship Id="rId1878" Type="http://schemas.openxmlformats.org/officeDocument/2006/relationships/hyperlink" Target="http://www.wikidata.org/entity/Q250867" TargetMode="External"/><Relationship Id="rId1879" Type="http://schemas.openxmlformats.org/officeDocument/2006/relationships/hyperlink" Target="http://www.wikidata.org/entity/Q125353522" TargetMode="External"/><Relationship Id="rId1870" Type="http://schemas.openxmlformats.org/officeDocument/2006/relationships/hyperlink" Target="http://www.wikidata.org/entity/Q125544971" TargetMode="External"/><Relationship Id="rId1871" Type="http://schemas.openxmlformats.org/officeDocument/2006/relationships/hyperlink" Target="http://www.wikidata.org/entity/Q618532" TargetMode="External"/><Relationship Id="rId1872" Type="http://schemas.openxmlformats.org/officeDocument/2006/relationships/hyperlink" Target="http://www.wikidata.org/entity/Q116672748" TargetMode="External"/><Relationship Id="rId1862" Type="http://schemas.openxmlformats.org/officeDocument/2006/relationships/hyperlink" Target="http://www.wikidata.org/entity/Q116509131" TargetMode="External"/><Relationship Id="rId1863" Type="http://schemas.openxmlformats.org/officeDocument/2006/relationships/hyperlink" Target="http://www.wikidata.org/entity/Q191808" TargetMode="External"/><Relationship Id="rId1864" Type="http://schemas.openxmlformats.org/officeDocument/2006/relationships/hyperlink" Target="http://www.wikidata.org/entity/Q116621699" TargetMode="External"/><Relationship Id="rId1865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1866" Type="http://schemas.openxmlformats.org/officeDocument/2006/relationships/hyperlink" Target="http://www.wikidata.org/entity/Q115838563" TargetMode="External"/><Relationship Id="rId1867" Type="http://schemas.openxmlformats.org/officeDocument/2006/relationships/hyperlink" Target="http://www.wikidata.org/entity/Q2251335" TargetMode="External"/><Relationship Id="rId1868" Type="http://schemas.openxmlformats.org/officeDocument/2006/relationships/hyperlink" Target="http://www.wikidata.org/entity/Q116509131" TargetMode="External"/><Relationship Id="rId1869" Type="http://schemas.openxmlformats.org/officeDocument/2006/relationships/hyperlink" Target="http://www.wikidata.org/entity/Q1776501" TargetMode="External"/><Relationship Id="rId1860" Type="http://schemas.openxmlformats.org/officeDocument/2006/relationships/hyperlink" Target="http://www.wikidata.org/entity/Q115840173" TargetMode="External"/><Relationship Id="rId1861" Type="http://schemas.openxmlformats.org/officeDocument/2006/relationships/hyperlink" Target="http://www.wikidata.org/entity/Q250867" TargetMode="External"/><Relationship Id="rId1810" Type="http://schemas.openxmlformats.org/officeDocument/2006/relationships/hyperlink" Target="http://www.wikidata.org/entity/Q120900509" TargetMode="External"/><Relationship Id="rId1811" Type="http://schemas.openxmlformats.org/officeDocument/2006/relationships/hyperlink" Target="http://www.wikidata.org/entity/Q326653" TargetMode="External"/><Relationship Id="rId1812" Type="http://schemas.openxmlformats.org/officeDocument/2006/relationships/hyperlink" Target="http://www.wikidata.org/entity/Q125544971" TargetMode="External"/><Relationship Id="rId1813" Type="http://schemas.openxmlformats.org/officeDocument/2006/relationships/hyperlink" Target="http://www.wikidata.org/entity/Q201788" TargetMode="External"/><Relationship Id="rId1814" Type="http://schemas.openxmlformats.org/officeDocument/2006/relationships/hyperlink" Target="http://www.wikidata.org/entity/Q123050722" TargetMode="External"/><Relationship Id="rId1815" Type="http://schemas.openxmlformats.org/officeDocument/2006/relationships/hyperlink" Target="http://www.wikidata.org/entity/Q685433" TargetMode="External"/><Relationship Id="rId1816" Type="http://schemas.openxmlformats.org/officeDocument/2006/relationships/hyperlink" Target="http://www.wikidata.org/entity/Q125541827" TargetMode="External"/><Relationship Id="rId1817" Type="http://schemas.openxmlformats.org/officeDocument/2006/relationships/hyperlink" Target="http://www.wikidata.org/entity/Q2251335" TargetMode="External"/><Relationship Id="rId1818" Type="http://schemas.openxmlformats.org/officeDocument/2006/relationships/hyperlink" Target="http://www.wikidata.org/entity/Q123050722" TargetMode="External"/><Relationship Id="rId1819" Type="http://schemas.openxmlformats.org/officeDocument/2006/relationships/hyperlink" Target="http://www.wikidata.org/entity/Q3704253" TargetMode="External"/><Relationship Id="rId4080" Type="http://schemas.openxmlformats.org/officeDocument/2006/relationships/hyperlink" Target="http://www.wikidata.org/entity/Q2496044" TargetMode="External"/><Relationship Id="rId4082" Type="http://schemas.openxmlformats.org/officeDocument/2006/relationships/hyperlink" Target="http://www.wikidata.org/entity/Q136703696" TargetMode="External"/><Relationship Id="rId4081" Type="http://schemas.openxmlformats.org/officeDocument/2006/relationships/hyperlink" Target="http://www.wikidata.org/entity/Q82955" TargetMode="External"/><Relationship Id="rId4084" Type="http://schemas.openxmlformats.org/officeDocument/2006/relationships/hyperlink" Target="http://www.wikidata.org/entity/Q2496044" TargetMode="External"/><Relationship Id="rId4083" Type="http://schemas.openxmlformats.org/officeDocument/2006/relationships/hyperlink" Target="http://www.wikidata.org/entity/Q2251335" TargetMode="External"/><Relationship Id="rId4086" Type="http://schemas.openxmlformats.org/officeDocument/2006/relationships/hyperlink" Target="http://www.wikidata.org/entity/Q125516501" TargetMode="External"/><Relationship Id="rId4085" Type="http://schemas.openxmlformats.org/officeDocument/2006/relationships/hyperlink" Target="http://www.wikidata.org/entity/Q214917" TargetMode="External"/><Relationship Id="rId4088" Type="http://schemas.openxmlformats.org/officeDocument/2006/relationships/hyperlink" Target="http://www.wikidata.org/entity/Q2496044" TargetMode="External"/><Relationship Id="rId4087" Type="http://schemas.openxmlformats.org/officeDocument/2006/relationships/hyperlink" Target="http://www.wikidata.org/entity/Q36834" TargetMode="External"/><Relationship Id="rId4089" Type="http://schemas.openxmlformats.org/officeDocument/2006/relationships/hyperlink" Target="http://www.wikidata.org/entity/Q250867" TargetMode="External"/><Relationship Id="rId1800" Type="http://schemas.openxmlformats.org/officeDocument/2006/relationships/hyperlink" Target="http://www.wikidata.org/entity/Q123414143" TargetMode="External"/><Relationship Id="rId1801" Type="http://schemas.openxmlformats.org/officeDocument/2006/relationships/hyperlink" Target="http://www.wikidata.org/entity/Q42855995" TargetMode="External"/><Relationship Id="rId1802" Type="http://schemas.openxmlformats.org/officeDocument/2006/relationships/hyperlink" Target="http://www.wikidata.org/entity/Q120900509" TargetMode="External"/><Relationship Id="rId1803" Type="http://schemas.openxmlformats.org/officeDocument/2006/relationships/hyperlink" Target="http://www.wikidata.org/entity/Q1930187" TargetMode="External"/><Relationship Id="rId1804" Type="http://schemas.openxmlformats.org/officeDocument/2006/relationships/hyperlink" Target="http://www.wikidata.org/entity/Q125541827" TargetMode="External"/><Relationship Id="rId1805" Type="http://schemas.openxmlformats.org/officeDocument/2006/relationships/hyperlink" Target="http://www.wikidata.org/entity/Q1162163" TargetMode="External"/><Relationship Id="rId1806" Type="http://schemas.openxmlformats.org/officeDocument/2006/relationships/hyperlink" Target="http://www.wikidata.org/entity/Q121002664" TargetMode="External"/><Relationship Id="rId1807" Type="http://schemas.openxmlformats.org/officeDocument/2006/relationships/hyperlink" Target="http://www.wikidata.org/entity/Q1753370" TargetMode="External"/><Relationship Id="rId1808" Type="http://schemas.openxmlformats.org/officeDocument/2006/relationships/hyperlink" Target="http://www.wikidata.org/entity/Q120900509" TargetMode="External"/><Relationship Id="rId1809" Type="http://schemas.openxmlformats.org/officeDocument/2006/relationships/hyperlink" Target="http://www.wikidata.org/entity/Q2251335" TargetMode="External"/><Relationship Id="rId4071" Type="http://schemas.openxmlformats.org/officeDocument/2006/relationships/hyperlink" Target="http://www.wikidata.org/entity/Q955464" TargetMode="External"/><Relationship Id="rId4070" Type="http://schemas.openxmlformats.org/officeDocument/2006/relationships/hyperlink" Target="http://www.wikidata.org/entity/Q136703696" TargetMode="External"/><Relationship Id="rId4073" Type="http://schemas.openxmlformats.org/officeDocument/2006/relationships/hyperlink" Target="http://www.wikidata.org/entity/Q1162163" TargetMode="External"/><Relationship Id="rId4072" Type="http://schemas.openxmlformats.org/officeDocument/2006/relationships/hyperlink" Target="http://www.wikidata.org/entity/Q136703696" TargetMode="External"/><Relationship Id="rId4075" Type="http://schemas.openxmlformats.org/officeDocument/2006/relationships/hyperlink" Target="http://www.wikidata.org/entity/Q250867" TargetMode="External"/><Relationship Id="rId4074" Type="http://schemas.openxmlformats.org/officeDocument/2006/relationships/hyperlink" Target="http://www.wikidata.org/entity/Q136703696" TargetMode="External"/><Relationship Id="rId4077" Type="http://schemas.openxmlformats.org/officeDocument/2006/relationships/hyperlink" Target="http://www.wikidata.org/entity/Q36180" TargetMode="External"/><Relationship Id="rId4076" Type="http://schemas.openxmlformats.org/officeDocument/2006/relationships/hyperlink" Target="http://www.wikidata.org/entity/Q125516501" TargetMode="External"/><Relationship Id="rId4079" Type="http://schemas.openxmlformats.org/officeDocument/2006/relationships/hyperlink" Target="http://www.wikidata.org/entity/Q955464" TargetMode="External"/><Relationship Id="rId4078" Type="http://schemas.openxmlformats.org/officeDocument/2006/relationships/hyperlink" Target="http://www.wikidata.org/entity/Q2496044" TargetMode="External"/><Relationship Id="rId1830" Type="http://schemas.openxmlformats.org/officeDocument/2006/relationships/hyperlink" Target="http://www.wikidata.org/entity/Q118555164" TargetMode="External"/><Relationship Id="rId1831" Type="http://schemas.openxmlformats.org/officeDocument/2006/relationships/hyperlink" Target="http://www.wikidata.org/entity/Q49757" TargetMode="External"/><Relationship Id="rId1832" Type="http://schemas.openxmlformats.org/officeDocument/2006/relationships/hyperlink" Target="http://www.wikidata.org/entity/Q119041487" TargetMode="External"/><Relationship Id="rId1833" Type="http://schemas.openxmlformats.org/officeDocument/2006/relationships/hyperlink" Target="http://www.wikidata.org/entity/Q1279568" TargetMode="External"/><Relationship Id="rId1834" Type="http://schemas.openxmlformats.org/officeDocument/2006/relationships/hyperlink" Target="http://www.wikidata.org/entity/Q119041487" TargetMode="External"/><Relationship Id="rId1835" Type="http://schemas.openxmlformats.org/officeDocument/2006/relationships/hyperlink" Target="http://www.wikidata.org/entity/Q7501153" TargetMode="External"/><Relationship Id="rId1836" Type="http://schemas.openxmlformats.org/officeDocument/2006/relationships/hyperlink" Target="http://www.wikidata.org/entity/Q122831276" TargetMode="External"/><Relationship Id="rId1837" Type="http://schemas.openxmlformats.org/officeDocument/2006/relationships/hyperlink" Target="http://www.wikidata.org/entity/Q1776501" TargetMode="External"/><Relationship Id="rId1838" Type="http://schemas.openxmlformats.org/officeDocument/2006/relationships/hyperlink" Target="http://www.wikidata.org/entity/Q120920568" TargetMode="External"/><Relationship Id="rId1839" Type="http://schemas.openxmlformats.org/officeDocument/2006/relationships/hyperlink" Target="http://www.wikidata.org/entity/Q1930187" TargetMode="External"/><Relationship Id="rId1820" Type="http://schemas.openxmlformats.org/officeDocument/2006/relationships/hyperlink" Target="http://www.wikidata.org/entity/Q120729190" TargetMode="External"/><Relationship Id="rId1821" Type="http://schemas.openxmlformats.org/officeDocument/2006/relationships/hyperlink" Target="http://www.wikidata.org/entity/Q36180" TargetMode="External"/><Relationship Id="rId1822" Type="http://schemas.openxmlformats.org/officeDocument/2006/relationships/hyperlink" Target="http://www.wikidata.org/entity/Q122842009" TargetMode="External"/><Relationship Id="rId1823" Type="http://schemas.openxmlformats.org/officeDocument/2006/relationships/hyperlink" Target="http://www.wikidata.org/entity/Q639669" TargetMode="External"/><Relationship Id="rId1824" Type="http://schemas.openxmlformats.org/officeDocument/2006/relationships/hyperlink" Target="http://www.wikidata.org/entity/Q122842009" TargetMode="External"/><Relationship Id="rId1825" Type="http://schemas.openxmlformats.org/officeDocument/2006/relationships/hyperlink" Target="http://www.wikidata.org/entity/Q2675537" TargetMode="External"/><Relationship Id="rId1826" Type="http://schemas.openxmlformats.org/officeDocument/2006/relationships/hyperlink" Target="http://www.wikidata.org/entity/Q122831276" TargetMode="External"/><Relationship Id="rId1827" Type="http://schemas.openxmlformats.org/officeDocument/2006/relationships/hyperlink" Target="http://www.wikidata.org/entity/Q191808" TargetMode="External"/><Relationship Id="rId1828" Type="http://schemas.openxmlformats.org/officeDocument/2006/relationships/hyperlink" Target="http://www.wikidata.org/entity/Q118555164" TargetMode="External"/><Relationship Id="rId1829" Type="http://schemas.openxmlformats.org/officeDocument/2006/relationships/hyperlink" Target="http://www.wikidata.org/entity/Q36180" TargetMode="External"/><Relationship Id="rId4091" Type="http://schemas.openxmlformats.org/officeDocument/2006/relationships/hyperlink" Target="http://www.wikidata.org/entity/Q121594" TargetMode="External"/><Relationship Id="rId4090" Type="http://schemas.openxmlformats.org/officeDocument/2006/relationships/hyperlink" Target="http://www.wikidata.org/entity/Q13769746" TargetMode="External"/><Relationship Id="rId4093" Type="http://schemas.openxmlformats.org/officeDocument/2006/relationships/hyperlink" Target="http://www.wikidata.org/entity/Q122753360" TargetMode="External"/><Relationship Id="rId4092" Type="http://schemas.openxmlformats.org/officeDocument/2006/relationships/hyperlink" Target="http://commons.wikimedia.org/wiki/Special:FilePath/GlasraamLodewijkScharpe.jpg" TargetMode="External"/><Relationship Id="rId4095" Type="http://schemas.openxmlformats.org/officeDocument/2006/relationships/hyperlink" Target="http://www.wikidata.org/entity/Q115982585" TargetMode="External"/><Relationship Id="rId4094" Type="http://schemas.openxmlformats.org/officeDocument/2006/relationships/hyperlink" Target="http://www.wikidata.org/entity/Q191808" TargetMode="External"/><Relationship Id="rId4097" Type="http://schemas.openxmlformats.org/officeDocument/2006/relationships/hyperlink" Target="http://www.wikidata.org/entity/Q13769746" TargetMode="External"/><Relationship Id="rId4096" Type="http://schemas.openxmlformats.org/officeDocument/2006/relationships/hyperlink" Target="http://www.wikidata.org/entity/Q49757" TargetMode="External"/><Relationship Id="rId4099" Type="http://schemas.openxmlformats.org/officeDocument/2006/relationships/hyperlink" Target="http://commons.wikimedia.org/wiki/Special:FilePath/GlasraamLodewijkScharpe.jpg" TargetMode="External"/><Relationship Id="rId4098" Type="http://schemas.openxmlformats.org/officeDocument/2006/relationships/hyperlink" Target="http://www.wikidata.org/entity/Q212238" TargetMode="External"/><Relationship Id="rId2302" Type="http://schemas.openxmlformats.org/officeDocument/2006/relationships/hyperlink" Target="http://commons.wikimedia.org/wiki/Special:FilePath/Leonard%20Lodewijk%20De%20Bo.jpg" TargetMode="External"/><Relationship Id="rId3634" Type="http://schemas.openxmlformats.org/officeDocument/2006/relationships/hyperlink" Target="http://www.wikidata.org/entity/Q115826830" TargetMode="External"/><Relationship Id="rId2303" Type="http://schemas.openxmlformats.org/officeDocument/2006/relationships/hyperlink" Target="http://www.wikidata.org/entity/Q2306925" TargetMode="External"/><Relationship Id="rId3633" Type="http://schemas.openxmlformats.org/officeDocument/2006/relationships/hyperlink" Target="http://www.wikidata.org/entity/Q1753370" TargetMode="External"/><Relationship Id="rId2304" Type="http://schemas.openxmlformats.org/officeDocument/2006/relationships/hyperlink" Target="http://www.wikidata.org/entity/Q250867" TargetMode="External"/><Relationship Id="rId3636" Type="http://schemas.openxmlformats.org/officeDocument/2006/relationships/hyperlink" Target="http://www.wikidata.org/entity/Q115827696" TargetMode="External"/><Relationship Id="rId2305" Type="http://schemas.openxmlformats.org/officeDocument/2006/relationships/hyperlink" Target="http://commons.wikimedia.org/wiki/Special:FilePath/J%20O%20Andries%201836.jpg" TargetMode="External"/><Relationship Id="rId3635" Type="http://schemas.openxmlformats.org/officeDocument/2006/relationships/hyperlink" Target="http://www.wikidata.org/entity/Q1469535" TargetMode="External"/><Relationship Id="rId2306" Type="http://schemas.openxmlformats.org/officeDocument/2006/relationships/hyperlink" Target="http://www.wikidata.org/entity/Q4423628" TargetMode="External"/><Relationship Id="rId3638" Type="http://schemas.openxmlformats.org/officeDocument/2006/relationships/hyperlink" Target="http://www.wikidata.org/entity/Q115823191" TargetMode="External"/><Relationship Id="rId2307" Type="http://schemas.openxmlformats.org/officeDocument/2006/relationships/hyperlink" Target="http://www.wikidata.org/entity/Q1365552" TargetMode="External"/><Relationship Id="rId3637" Type="http://schemas.openxmlformats.org/officeDocument/2006/relationships/hyperlink" Target="http://www.wikidata.org/entity/Q208762" TargetMode="External"/><Relationship Id="rId2308" Type="http://schemas.openxmlformats.org/officeDocument/2006/relationships/hyperlink" Target="http://www.wikidata.org/entity/Q2638823" TargetMode="External"/><Relationship Id="rId2309" Type="http://schemas.openxmlformats.org/officeDocument/2006/relationships/hyperlink" Target="http://www.wikidata.org/entity/Q6606110" TargetMode="External"/><Relationship Id="rId3639" Type="http://schemas.openxmlformats.org/officeDocument/2006/relationships/hyperlink" Target="http://www.wikidata.org/entity/Q1753370" TargetMode="External"/><Relationship Id="rId3630" Type="http://schemas.openxmlformats.org/officeDocument/2006/relationships/hyperlink" Target="http://www.wikidata.org/entity/Q115821483" TargetMode="External"/><Relationship Id="rId2300" Type="http://schemas.openxmlformats.org/officeDocument/2006/relationships/hyperlink" Target="http://www.wikidata.org/entity/Q2779054" TargetMode="External"/><Relationship Id="rId3632" Type="http://schemas.openxmlformats.org/officeDocument/2006/relationships/hyperlink" Target="http://www.wikidata.org/entity/Q115821479" TargetMode="External"/><Relationship Id="rId2301" Type="http://schemas.openxmlformats.org/officeDocument/2006/relationships/hyperlink" Target="http://www.wikidata.org/entity/Q36180" TargetMode="External"/><Relationship Id="rId3631" Type="http://schemas.openxmlformats.org/officeDocument/2006/relationships/hyperlink" Target="http://www.wikidata.org/entity/Q1753370" TargetMode="External"/><Relationship Id="rId3623" Type="http://schemas.openxmlformats.org/officeDocument/2006/relationships/hyperlink" Target="http://www.wikidata.org/entity/Q1056391" TargetMode="External"/><Relationship Id="rId3622" Type="http://schemas.openxmlformats.org/officeDocument/2006/relationships/hyperlink" Target="http://www.wikidata.org/entity/Q14331462" TargetMode="External"/><Relationship Id="rId3625" Type="http://schemas.openxmlformats.org/officeDocument/2006/relationships/hyperlink" Target="http://www.wikidata.org/entity/Q250867" TargetMode="External"/><Relationship Id="rId3624" Type="http://schemas.openxmlformats.org/officeDocument/2006/relationships/hyperlink" Target="http://www.wikidata.org/entity/Q14331462" TargetMode="External"/><Relationship Id="rId3627" Type="http://schemas.openxmlformats.org/officeDocument/2006/relationships/hyperlink" Target="http://www.wikidata.org/entity/Q1993192" TargetMode="External"/><Relationship Id="rId3626" Type="http://schemas.openxmlformats.org/officeDocument/2006/relationships/hyperlink" Target="http://www.wikidata.org/entity/Q115818424" TargetMode="External"/><Relationship Id="rId3629" Type="http://schemas.openxmlformats.org/officeDocument/2006/relationships/hyperlink" Target="http://www.wikidata.org/entity/Q1753370" TargetMode="External"/><Relationship Id="rId3628" Type="http://schemas.openxmlformats.org/officeDocument/2006/relationships/hyperlink" Target="http://www.wikidata.org/entity/Q80079104" TargetMode="External"/><Relationship Id="rId3621" Type="http://schemas.openxmlformats.org/officeDocument/2006/relationships/hyperlink" Target="http://www.wikidata.org/entity/Q955464" TargetMode="External"/><Relationship Id="rId3620" Type="http://schemas.openxmlformats.org/officeDocument/2006/relationships/hyperlink" Target="http://www.wikidata.org/entity/Q14331462" TargetMode="External"/><Relationship Id="rId2324" Type="http://schemas.openxmlformats.org/officeDocument/2006/relationships/hyperlink" Target="http://www.wikidata.org/entity/Q811620" TargetMode="External"/><Relationship Id="rId3656" Type="http://schemas.openxmlformats.org/officeDocument/2006/relationships/hyperlink" Target="http://www.wikidata.org/entity/Q191808" TargetMode="External"/><Relationship Id="rId2325" Type="http://schemas.openxmlformats.org/officeDocument/2006/relationships/hyperlink" Target="http://www.wikidata.org/entity/Q7343011" TargetMode="External"/><Relationship Id="rId3655" Type="http://schemas.openxmlformats.org/officeDocument/2006/relationships/hyperlink" Target="http://www.wikidata.org/entity/Q115835025" TargetMode="External"/><Relationship Id="rId2326" Type="http://schemas.openxmlformats.org/officeDocument/2006/relationships/hyperlink" Target="http://www.wikidata.org/entity/Q250867" TargetMode="External"/><Relationship Id="rId3658" Type="http://schemas.openxmlformats.org/officeDocument/2006/relationships/hyperlink" Target="http://www.wikidata.org/entity/Q175151" TargetMode="External"/><Relationship Id="rId2327" Type="http://schemas.openxmlformats.org/officeDocument/2006/relationships/hyperlink" Target="http://www.wikidata.org/entity/Q1286149" TargetMode="External"/><Relationship Id="rId3657" Type="http://schemas.openxmlformats.org/officeDocument/2006/relationships/hyperlink" Target="http://www.wikidata.org/entity/Q111342238" TargetMode="External"/><Relationship Id="rId2328" Type="http://schemas.openxmlformats.org/officeDocument/2006/relationships/hyperlink" Target="http://www.wikidata.org/entity/Q13424456" TargetMode="External"/><Relationship Id="rId2329" Type="http://schemas.openxmlformats.org/officeDocument/2006/relationships/hyperlink" Target="http://commons.wikimedia.org/wiki/Special:FilePath/Frederick%20William%20Faber.jpg" TargetMode="External"/><Relationship Id="rId3659" Type="http://schemas.openxmlformats.org/officeDocument/2006/relationships/hyperlink" Target="http://www.wikidata.org/entity/Q20902162" TargetMode="External"/><Relationship Id="rId3650" Type="http://schemas.openxmlformats.org/officeDocument/2006/relationships/hyperlink" Target="http://www.wikidata.org/entity/Q115820635" TargetMode="External"/><Relationship Id="rId2320" Type="http://schemas.openxmlformats.org/officeDocument/2006/relationships/hyperlink" Target="http://www.wikidata.org/entity/Q611644" TargetMode="External"/><Relationship Id="rId3652" Type="http://schemas.openxmlformats.org/officeDocument/2006/relationships/hyperlink" Target="http://www.wikidata.org/entity/Q5026719" TargetMode="External"/><Relationship Id="rId2321" Type="http://schemas.openxmlformats.org/officeDocument/2006/relationships/hyperlink" Target="http://www.wikidata.org/entity/Q7343011" TargetMode="External"/><Relationship Id="rId3651" Type="http://schemas.openxmlformats.org/officeDocument/2006/relationships/hyperlink" Target="http://www.wikidata.org/entity/Q435940" TargetMode="External"/><Relationship Id="rId2322" Type="http://schemas.openxmlformats.org/officeDocument/2006/relationships/hyperlink" Target="http://www.wikidata.org/entity/Q1056391" TargetMode="External"/><Relationship Id="rId3654" Type="http://schemas.openxmlformats.org/officeDocument/2006/relationships/hyperlink" Target="http://commons.wikimedia.org/wiki/Special:FilePath/Bishop%20Camillus%20Paul%20Maes.jpg" TargetMode="External"/><Relationship Id="rId2323" Type="http://schemas.openxmlformats.org/officeDocument/2006/relationships/hyperlink" Target="http://www.wikidata.org/entity/Q15982596" TargetMode="External"/><Relationship Id="rId3653" Type="http://schemas.openxmlformats.org/officeDocument/2006/relationships/hyperlink" Target="http://www.wikidata.org/entity/Q955464" TargetMode="External"/><Relationship Id="rId2313" Type="http://schemas.openxmlformats.org/officeDocument/2006/relationships/hyperlink" Target="http://commons.wikimedia.org/wiki/Special:FilePath/Alfons%20Janssens.jpg" TargetMode="External"/><Relationship Id="rId3645" Type="http://schemas.openxmlformats.org/officeDocument/2006/relationships/hyperlink" Target="http://www.wikidata.org/entity/Q1753370" TargetMode="External"/><Relationship Id="rId2314" Type="http://schemas.openxmlformats.org/officeDocument/2006/relationships/hyperlink" Target="http://www.wikidata.org/entity/Q2638823" TargetMode="External"/><Relationship Id="rId3644" Type="http://schemas.openxmlformats.org/officeDocument/2006/relationships/hyperlink" Target="http://www.wikidata.org/entity/Q115827696" TargetMode="External"/><Relationship Id="rId2315" Type="http://schemas.openxmlformats.org/officeDocument/2006/relationships/hyperlink" Target="http://www.wikidata.org/entity/Q47064" TargetMode="External"/><Relationship Id="rId3647" Type="http://schemas.openxmlformats.org/officeDocument/2006/relationships/hyperlink" Target="http://www.wikidata.org/entity/Q1753370" TargetMode="External"/><Relationship Id="rId2316" Type="http://schemas.openxmlformats.org/officeDocument/2006/relationships/hyperlink" Target="http://commons.wikimedia.org/wiki/Special:FilePath/Alfons%20Janssens.jpg" TargetMode="External"/><Relationship Id="rId3646" Type="http://schemas.openxmlformats.org/officeDocument/2006/relationships/hyperlink" Target="http://www.wikidata.org/entity/Q115831295" TargetMode="External"/><Relationship Id="rId2317" Type="http://schemas.openxmlformats.org/officeDocument/2006/relationships/hyperlink" Target="http://www.wikidata.org/entity/Q7343011" TargetMode="External"/><Relationship Id="rId3649" Type="http://schemas.openxmlformats.org/officeDocument/2006/relationships/hyperlink" Target="http://www.wikidata.org/entity/Q756215" TargetMode="External"/><Relationship Id="rId2318" Type="http://schemas.openxmlformats.org/officeDocument/2006/relationships/hyperlink" Target="http://www.wikidata.org/entity/Q333634" TargetMode="External"/><Relationship Id="rId3648" Type="http://schemas.openxmlformats.org/officeDocument/2006/relationships/hyperlink" Target="http://www.wikidata.org/entity/Q115827696" TargetMode="External"/><Relationship Id="rId2319" Type="http://schemas.openxmlformats.org/officeDocument/2006/relationships/hyperlink" Target="http://www.wikidata.org/entity/Q7343011" TargetMode="External"/><Relationship Id="rId3641" Type="http://schemas.openxmlformats.org/officeDocument/2006/relationships/hyperlink" Target="http://www.wikidata.org/entity/Q2251335" TargetMode="External"/><Relationship Id="rId2310" Type="http://schemas.openxmlformats.org/officeDocument/2006/relationships/hyperlink" Target="http://commons.wikimedia.org/wiki/Special:FilePath/Alfons%20Janssens.jpg" TargetMode="External"/><Relationship Id="rId3640" Type="http://schemas.openxmlformats.org/officeDocument/2006/relationships/hyperlink" Target="http://www.wikidata.org/entity/Q14331462" TargetMode="External"/><Relationship Id="rId2311" Type="http://schemas.openxmlformats.org/officeDocument/2006/relationships/hyperlink" Target="http://www.wikidata.org/entity/Q2638823" TargetMode="External"/><Relationship Id="rId3643" Type="http://schemas.openxmlformats.org/officeDocument/2006/relationships/hyperlink" Target="http://www.wikidata.org/entity/Q1753370" TargetMode="External"/><Relationship Id="rId2312" Type="http://schemas.openxmlformats.org/officeDocument/2006/relationships/hyperlink" Target="http://www.wikidata.org/entity/Q49757" TargetMode="External"/><Relationship Id="rId3642" Type="http://schemas.openxmlformats.org/officeDocument/2006/relationships/hyperlink" Target="http://www.wikidata.org/entity/Q115826830" TargetMode="External"/><Relationship Id="rId1895" Type="http://schemas.openxmlformats.org/officeDocument/2006/relationships/hyperlink" Target="http://www.wikidata.org/entity/Q122884053" TargetMode="External"/><Relationship Id="rId1896" Type="http://schemas.openxmlformats.org/officeDocument/2006/relationships/hyperlink" Target="http://www.wikidata.org/entity/Q1021658" TargetMode="External"/><Relationship Id="rId1897" Type="http://schemas.openxmlformats.org/officeDocument/2006/relationships/hyperlink" Target="http://www.wikidata.org/entity/Q119699762" TargetMode="External"/><Relationship Id="rId1898" Type="http://schemas.openxmlformats.org/officeDocument/2006/relationships/hyperlink" Target="http://www.wikidata.org/entity/Q39631" TargetMode="External"/><Relationship Id="rId1899" Type="http://schemas.openxmlformats.org/officeDocument/2006/relationships/hyperlink" Target="http://www.wikidata.org/entity/Q119013626" TargetMode="External"/><Relationship Id="rId1890" Type="http://schemas.openxmlformats.org/officeDocument/2006/relationships/hyperlink" Target="http://www.wikidata.org/entity/Q191808" TargetMode="External"/><Relationship Id="rId1891" Type="http://schemas.openxmlformats.org/officeDocument/2006/relationships/hyperlink" Target="http://www.wikidata.org/entity/Q119797432" TargetMode="External"/><Relationship Id="rId1892" Type="http://schemas.openxmlformats.org/officeDocument/2006/relationships/hyperlink" Target="http://www.wikidata.org/entity/Q39631" TargetMode="External"/><Relationship Id="rId1893" Type="http://schemas.openxmlformats.org/officeDocument/2006/relationships/hyperlink" Target="http://www.wikidata.org/entity/Q122775600" TargetMode="External"/><Relationship Id="rId1894" Type="http://schemas.openxmlformats.org/officeDocument/2006/relationships/hyperlink" Target="http://www.wikidata.org/entity/Q486748" TargetMode="External"/><Relationship Id="rId1884" Type="http://schemas.openxmlformats.org/officeDocument/2006/relationships/hyperlink" Target="http://www.wikidata.org/entity/Q2251335" TargetMode="External"/><Relationship Id="rId1885" Type="http://schemas.openxmlformats.org/officeDocument/2006/relationships/hyperlink" Target="http://www.wikidata.org/entity/Q115840173" TargetMode="External"/><Relationship Id="rId1886" Type="http://schemas.openxmlformats.org/officeDocument/2006/relationships/hyperlink" Target="http://www.wikidata.org/entity/Q1657500" TargetMode="External"/><Relationship Id="rId1887" Type="http://schemas.openxmlformats.org/officeDocument/2006/relationships/hyperlink" Target="http://www.wikidata.org/entity/Q119011751" TargetMode="External"/><Relationship Id="rId1888" Type="http://schemas.openxmlformats.org/officeDocument/2006/relationships/hyperlink" Target="http://www.wikidata.org/entity/Q336221" TargetMode="External"/><Relationship Id="rId1889" Type="http://schemas.openxmlformats.org/officeDocument/2006/relationships/hyperlink" Target="http://www.wikidata.org/entity/Q125359350" TargetMode="External"/><Relationship Id="rId1880" Type="http://schemas.openxmlformats.org/officeDocument/2006/relationships/hyperlink" Target="http://www.wikidata.org/entity/Q836904" TargetMode="External"/><Relationship Id="rId1881" Type="http://schemas.openxmlformats.org/officeDocument/2006/relationships/hyperlink" Target="http://www.wikidata.org/entity/Q119621396" TargetMode="External"/><Relationship Id="rId1882" Type="http://schemas.openxmlformats.org/officeDocument/2006/relationships/hyperlink" Target="http://www.wikidata.org/entity/Q2903406" TargetMode="External"/><Relationship Id="rId1883" Type="http://schemas.openxmlformats.org/officeDocument/2006/relationships/hyperlink" Target="http://www.wikidata.org/entity/Q115844668" TargetMode="External"/><Relationship Id="rId3612" Type="http://schemas.openxmlformats.org/officeDocument/2006/relationships/hyperlink" Target="http://www.wikidata.org/entity/Q115829884" TargetMode="External"/><Relationship Id="rId3611" Type="http://schemas.openxmlformats.org/officeDocument/2006/relationships/hyperlink" Target="http://www.wikidata.org/entity/Q1753370" TargetMode="External"/><Relationship Id="rId3614" Type="http://schemas.openxmlformats.org/officeDocument/2006/relationships/hyperlink" Target="http://www.wikidata.org/entity/Q115818168" TargetMode="External"/><Relationship Id="rId3613" Type="http://schemas.openxmlformats.org/officeDocument/2006/relationships/hyperlink" Target="http://www.wikidata.org/entity/Q4958876" TargetMode="External"/><Relationship Id="rId3616" Type="http://schemas.openxmlformats.org/officeDocument/2006/relationships/hyperlink" Target="http://www.wikidata.org/entity/Q115818424" TargetMode="External"/><Relationship Id="rId3615" Type="http://schemas.openxmlformats.org/officeDocument/2006/relationships/hyperlink" Target="http://www.wikidata.org/entity/Q1753370" TargetMode="External"/><Relationship Id="rId3618" Type="http://schemas.openxmlformats.org/officeDocument/2006/relationships/hyperlink" Target="http://www.wikidata.org/entity/Q115829884" TargetMode="External"/><Relationship Id="rId3617" Type="http://schemas.openxmlformats.org/officeDocument/2006/relationships/hyperlink" Target="http://www.wikidata.org/entity/Q1753370" TargetMode="External"/><Relationship Id="rId3619" Type="http://schemas.openxmlformats.org/officeDocument/2006/relationships/hyperlink" Target="http://www.wikidata.org/entity/Q2251335" TargetMode="External"/><Relationship Id="rId3610" Type="http://schemas.openxmlformats.org/officeDocument/2006/relationships/hyperlink" Target="http://www.wikidata.org/entity/Q115815852" TargetMode="External"/><Relationship Id="rId3601" Type="http://schemas.openxmlformats.org/officeDocument/2006/relationships/hyperlink" Target="http://www.wikidata.org/entity/Q36180" TargetMode="External"/><Relationship Id="rId3600" Type="http://schemas.openxmlformats.org/officeDocument/2006/relationships/hyperlink" Target="http://www.wikidata.org/entity/Q75320317" TargetMode="External"/><Relationship Id="rId3603" Type="http://schemas.openxmlformats.org/officeDocument/2006/relationships/hyperlink" Target="http://www.wikidata.org/entity/Q955464" TargetMode="External"/><Relationship Id="rId3602" Type="http://schemas.openxmlformats.org/officeDocument/2006/relationships/hyperlink" Target="http://www.wikidata.org/entity/Q115829884" TargetMode="External"/><Relationship Id="rId3605" Type="http://schemas.openxmlformats.org/officeDocument/2006/relationships/hyperlink" Target="http://www.wikidata.org/entity/Q208762" TargetMode="External"/><Relationship Id="rId3604" Type="http://schemas.openxmlformats.org/officeDocument/2006/relationships/hyperlink" Target="http://www.wikidata.org/entity/Q115818168" TargetMode="External"/><Relationship Id="rId3607" Type="http://schemas.openxmlformats.org/officeDocument/2006/relationships/hyperlink" Target="http://www.wikidata.org/entity/Q1162163" TargetMode="External"/><Relationship Id="rId3606" Type="http://schemas.openxmlformats.org/officeDocument/2006/relationships/hyperlink" Target="http://www.wikidata.org/entity/Q115829884" TargetMode="External"/><Relationship Id="rId3609" Type="http://schemas.openxmlformats.org/officeDocument/2006/relationships/hyperlink" Target="http://www.wikidata.org/entity/Q250867" TargetMode="External"/><Relationship Id="rId3608" Type="http://schemas.openxmlformats.org/officeDocument/2006/relationships/hyperlink" Target="http://www.wikidata.org/entity/Q115829884" TargetMode="External"/><Relationship Id="rId1059" Type="http://schemas.openxmlformats.org/officeDocument/2006/relationships/hyperlink" Target="http://www.wikidata.org/entity/Q1231906" TargetMode="External"/><Relationship Id="rId228" Type="http://schemas.openxmlformats.org/officeDocument/2006/relationships/hyperlink" Target="http://www.wikidata.org/entity/Q82955" TargetMode="External"/><Relationship Id="rId227" Type="http://schemas.openxmlformats.org/officeDocument/2006/relationships/hyperlink" Target="http://www.wikidata.org/entity/Q1334711" TargetMode="External"/><Relationship Id="rId226" Type="http://schemas.openxmlformats.org/officeDocument/2006/relationships/hyperlink" Target="http://www.wikidata.org/entity/Q2516866" TargetMode="External"/><Relationship Id="rId225" Type="http://schemas.openxmlformats.org/officeDocument/2006/relationships/hyperlink" Target="http://www.wikidata.org/entity/Q2087117" TargetMode="External"/><Relationship Id="rId2380" Type="http://schemas.openxmlformats.org/officeDocument/2006/relationships/hyperlink" Target="http://www.wikidata.org/entity/Q1930187" TargetMode="External"/><Relationship Id="rId229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050" Type="http://schemas.openxmlformats.org/officeDocument/2006/relationships/hyperlink" Target="http://www.wikidata.org/entity/Q115833316" TargetMode="External"/><Relationship Id="rId2381" Type="http://schemas.openxmlformats.org/officeDocument/2006/relationships/hyperlink" Target="http://commons.wikimedia.org/wiki/Special:FilePath/Johan%20Winkler.jpg" TargetMode="External"/><Relationship Id="rId220" Type="http://schemas.openxmlformats.org/officeDocument/2006/relationships/hyperlink" Target="http://www.wikidata.org/entity/Q2087117" TargetMode="External"/><Relationship Id="rId1051" Type="http://schemas.openxmlformats.org/officeDocument/2006/relationships/hyperlink" Target="http://www.wikidata.org/entity/Q114371470" TargetMode="External"/><Relationship Id="rId2382" Type="http://schemas.openxmlformats.org/officeDocument/2006/relationships/hyperlink" Target="http://www.wikidata.org/entity/Q2491266" TargetMode="External"/><Relationship Id="rId1052" Type="http://schemas.openxmlformats.org/officeDocument/2006/relationships/hyperlink" Target="http://www.wikidata.org/entity/Q110039178" TargetMode="External"/><Relationship Id="rId2383" Type="http://schemas.openxmlformats.org/officeDocument/2006/relationships/hyperlink" Target="http://www.wikidata.org/entity/Q14467526" TargetMode="External"/><Relationship Id="rId1053" Type="http://schemas.openxmlformats.org/officeDocument/2006/relationships/hyperlink" Target="http://www.wikidata.org/entity/Q2251335" TargetMode="External"/><Relationship Id="rId2384" Type="http://schemas.openxmlformats.org/officeDocument/2006/relationships/hyperlink" Target="http://commons.wikimedia.org/wiki/Special:FilePath/Johan%20Winkler.jpg" TargetMode="External"/><Relationship Id="rId1054" Type="http://schemas.openxmlformats.org/officeDocument/2006/relationships/hyperlink" Target="http://www.wikidata.org/entity/Q76019711" TargetMode="External"/><Relationship Id="rId2385" Type="http://schemas.openxmlformats.org/officeDocument/2006/relationships/hyperlink" Target="http://www.wikidata.org/entity/Q2675588" TargetMode="External"/><Relationship Id="rId224" Type="http://schemas.openxmlformats.org/officeDocument/2006/relationships/hyperlink" Target="http://commons.wikimedia.org/wiki/Special:FilePath/Brugge%20-%20Bisschop%20Faict%20%281864-1894%29%20-%20Brugge%20-%20Belgi%C3%AB.jpg" TargetMode="External"/><Relationship Id="rId1055" Type="http://schemas.openxmlformats.org/officeDocument/2006/relationships/hyperlink" Target="http://www.wikidata.org/entity/Q7313543" TargetMode="External"/><Relationship Id="rId2386" Type="http://schemas.openxmlformats.org/officeDocument/2006/relationships/hyperlink" Target="http://www.wikidata.org/entity/Q1753370" TargetMode="External"/><Relationship Id="rId223" Type="http://schemas.openxmlformats.org/officeDocument/2006/relationships/hyperlink" Target="http://www.wikidata.org/entity/Q250867" TargetMode="External"/><Relationship Id="rId1056" Type="http://schemas.openxmlformats.org/officeDocument/2006/relationships/hyperlink" Target="http://www.wikidata.org/entity/Q115809938" TargetMode="External"/><Relationship Id="rId2387" Type="http://schemas.openxmlformats.org/officeDocument/2006/relationships/hyperlink" Target="http://www.wikidata.org/entity/Q55911879" TargetMode="External"/><Relationship Id="rId222" Type="http://schemas.openxmlformats.org/officeDocument/2006/relationships/hyperlink" Target="http://www.wikidata.org/entity/Q3166510" TargetMode="External"/><Relationship Id="rId1057" Type="http://schemas.openxmlformats.org/officeDocument/2006/relationships/hyperlink" Target="http://www.wikidata.org/entity/Q1993192" TargetMode="External"/><Relationship Id="rId2388" Type="http://schemas.openxmlformats.org/officeDocument/2006/relationships/hyperlink" Target="http://www.wikidata.org/entity/Q2251335" TargetMode="External"/><Relationship Id="rId221" Type="http://schemas.openxmlformats.org/officeDocument/2006/relationships/hyperlink" Target="http://www.wikidata.org/entity/Q685433" TargetMode="External"/><Relationship Id="rId1058" Type="http://schemas.openxmlformats.org/officeDocument/2006/relationships/hyperlink" Target="http://www.wikidata.org/entity/Q115814591" TargetMode="External"/><Relationship Id="rId2389" Type="http://schemas.openxmlformats.org/officeDocument/2006/relationships/hyperlink" Target="http://www.wikidata.org/entity/Q18655152" TargetMode="External"/><Relationship Id="rId1048" Type="http://schemas.openxmlformats.org/officeDocument/2006/relationships/hyperlink" Target="http://www.wikidata.org/entity/Q113627806" TargetMode="External"/><Relationship Id="rId2379" Type="http://schemas.openxmlformats.org/officeDocument/2006/relationships/hyperlink" Target="http://www.wikidata.org/entity/Q2491266" TargetMode="External"/><Relationship Id="rId1049" Type="http://schemas.openxmlformats.org/officeDocument/2006/relationships/hyperlink" Target="http://www.wikidata.org/entity/Q1753370" TargetMode="External"/><Relationship Id="rId217" Type="http://schemas.openxmlformats.org/officeDocument/2006/relationships/hyperlink" Target="http://commons.wikimedia.org/wiki/Special:FilePath/Brugge%20-%20Bisschop%20Faict%20%281864-1894%29%20-%20Brugge%20-%20Belgi%C3%AB.jpg" TargetMode="External"/><Relationship Id="rId216" Type="http://schemas.openxmlformats.org/officeDocument/2006/relationships/hyperlink" Target="http://www.wikidata.org/entity/Q1056391" TargetMode="External"/><Relationship Id="rId215" Type="http://schemas.openxmlformats.org/officeDocument/2006/relationships/hyperlink" Target="http://www.wikidata.org/entity/Q3166510" TargetMode="External"/><Relationship Id="rId214" Type="http://schemas.openxmlformats.org/officeDocument/2006/relationships/hyperlink" Target="http://commons.wikimedia.org/wiki/Special:FilePath/PM%20161806%20B%20Loppem%20%28Charles%20van%20Caloen%29.jpg" TargetMode="External"/><Relationship Id="rId219" Type="http://schemas.openxmlformats.org/officeDocument/2006/relationships/hyperlink" Target="http://www.wikidata.org/entity/Q214917" TargetMode="External"/><Relationship Id="rId218" Type="http://schemas.openxmlformats.org/officeDocument/2006/relationships/hyperlink" Target="http://www.wikidata.org/entity/Q2087117" TargetMode="External"/><Relationship Id="rId2370" Type="http://schemas.openxmlformats.org/officeDocument/2006/relationships/hyperlink" Target="http://www.wikidata.org/entity/Q1950196" TargetMode="External"/><Relationship Id="rId1040" Type="http://schemas.openxmlformats.org/officeDocument/2006/relationships/hyperlink" Target="http://www.wikidata.org/entity/Q110039178" TargetMode="External"/><Relationship Id="rId2371" Type="http://schemas.openxmlformats.org/officeDocument/2006/relationships/hyperlink" Target="http://www.wikidata.org/entity/Q250867" TargetMode="External"/><Relationship Id="rId1041" Type="http://schemas.openxmlformats.org/officeDocument/2006/relationships/hyperlink" Target="http://www.wikidata.org/entity/Q1622272" TargetMode="External"/><Relationship Id="rId2372" Type="http://schemas.openxmlformats.org/officeDocument/2006/relationships/hyperlink" Target="http://www.wikidata.org/entity/Q784390" TargetMode="External"/><Relationship Id="rId1042" Type="http://schemas.openxmlformats.org/officeDocument/2006/relationships/hyperlink" Target="http://www.wikidata.org/entity/Q76019711" TargetMode="External"/><Relationship Id="rId2373" Type="http://schemas.openxmlformats.org/officeDocument/2006/relationships/hyperlink" Target="http://www.wikidata.org/entity/Q2251335" TargetMode="External"/><Relationship Id="rId1043" Type="http://schemas.openxmlformats.org/officeDocument/2006/relationships/hyperlink" Target="http://www.wikidata.org/entity/Q3409375" TargetMode="External"/><Relationship Id="rId2374" Type="http://schemas.openxmlformats.org/officeDocument/2006/relationships/hyperlink" Target="http://commons.wikimedia.org/wiki/Special:FilePath/Portret%20van%20Paul%20Alberdingk%20Thijm.jpg" TargetMode="External"/><Relationship Id="rId213" Type="http://schemas.openxmlformats.org/officeDocument/2006/relationships/hyperlink" Target="http://www.wikidata.org/entity/Q82955" TargetMode="External"/><Relationship Id="rId1044" Type="http://schemas.openxmlformats.org/officeDocument/2006/relationships/hyperlink" Target="http://www.wikidata.org/entity/Q111744944" TargetMode="External"/><Relationship Id="rId2375" Type="http://schemas.openxmlformats.org/officeDocument/2006/relationships/hyperlink" Target="http://www.wikidata.org/entity/Q1950196" TargetMode="External"/><Relationship Id="rId212" Type="http://schemas.openxmlformats.org/officeDocument/2006/relationships/hyperlink" Target="http://www.wikidata.org/entity/Q3538623" TargetMode="External"/><Relationship Id="rId1045" Type="http://schemas.openxmlformats.org/officeDocument/2006/relationships/hyperlink" Target="http://www.wikidata.org/entity/Q40881196" TargetMode="External"/><Relationship Id="rId2376" Type="http://schemas.openxmlformats.org/officeDocument/2006/relationships/hyperlink" Target="http://www.wikidata.org/entity/Q2251335" TargetMode="External"/><Relationship Id="rId211" Type="http://schemas.openxmlformats.org/officeDocument/2006/relationships/hyperlink" Target="http://commons.wikimedia.org/wiki/Special:FilePath/Charles%20Carton.jpg" TargetMode="External"/><Relationship Id="rId1046" Type="http://schemas.openxmlformats.org/officeDocument/2006/relationships/hyperlink" Target="http://www.wikidata.org/entity/Q115820195" TargetMode="External"/><Relationship Id="rId2377" Type="http://schemas.openxmlformats.org/officeDocument/2006/relationships/hyperlink" Target="http://www.wikidata.org/entity/Q7790140" TargetMode="External"/><Relationship Id="rId210" Type="http://schemas.openxmlformats.org/officeDocument/2006/relationships/hyperlink" Target="http://www.wikidata.org/entity/Q201788" TargetMode="External"/><Relationship Id="rId1047" Type="http://schemas.openxmlformats.org/officeDocument/2006/relationships/hyperlink" Target="http://www.wikidata.org/entity/Q2251335" TargetMode="External"/><Relationship Id="rId2378" Type="http://schemas.openxmlformats.org/officeDocument/2006/relationships/hyperlink" Target="http://www.wikidata.org/entity/Q25393460" TargetMode="External"/><Relationship Id="rId4107" Type="http://schemas.openxmlformats.org/officeDocument/2006/relationships/hyperlink" Target="http://www.wikidata.org/entity/Q122753360" TargetMode="External"/><Relationship Id="rId4106" Type="http://schemas.openxmlformats.org/officeDocument/2006/relationships/hyperlink" Target="http://www.wikidata.org/entity/Q1469535" TargetMode="External"/><Relationship Id="rId4109" Type="http://schemas.openxmlformats.org/officeDocument/2006/relationships/hyperlink" Target="http://www.wikidata.org/entity/Q122971101" TargetMode="External"/><Relationship Id="rId4108" Type="http://schemas.openxmlformats.org/officeDocument/2006/relationships/hyperlink" Target="http://www.wikidata.org/entity/Q1776501" TargetMode="External"/><Relationship Id="rId249" Type="http://schemas.openxmlformats.org/officeDocument/2006/relationships/hyperlink" Target="http://www.wikidata.org/entity/Q3166510" TargetMode="External"/><Relationship Id="rId248" Type="http://schemas.openxmlformats.org/officeDocument/2006/relationships/hyperlink" Target="http://commons.wikimedia.org/wiki/Special:FilePath/Brugge%20-%20Bisschop%20Faict%20%281864-1894%29%20-%20Brugge%20-%20Belgi%C3%AB.jpg" TargetMode="External"/><Relationship Id="rId247" Type="http://schemas.openxmlformats.org/officeDocument/2006/relationships/hyperlink" Target="http://www.wikidata.org/entity/Q1622272" TargetMode="External"/><Relationship Id="rId1070" Type="http://schemas.openxmlformats.org/officeDocument/2006/relationships/hyperlink" Target="http://www.wikidata.org/entity/Q219477" TargetMode="External"/><Relationship Id="rId1071" Type="http://schemas.openxmlformats.org/officeDocument/2006/relationships/hyperlink" Target="http://www.wikidata.org/entity/Q115833316" TargetMode="External"/><Relationship Id="rId1072" Type="http://schemas.openxmlformats.org/officeDocument/2006/relationships/hyperlink" Target="http://www.wikidata.org/entity/Q955464" TargetMode="External"/><Relationship Id="rId242" Type="http://schemas.openxmlformats.org/officeDocument/2006/relationships/hyperlink" Target="http://www.wikidata.org/entity/Q285759" TargetMode="External"/><Relationship Id="rId1073" Type="http://schemas.openxmlformats.org/officeDocument/2006/relationships/hyperlink" Target="http://www.wikidata.org/entity/Q115831919" TargetMode="External"/><Relationship Id="rId241" Type="http://schemas.openxmlformats.org/officeDocument/2006/relationships/hyperlink" Target="http://www.wikidata.org/entity/Q2087117" TargetMode="External"/><Relationship Id="rId1074" Type="http://schemas.openxmlformats.org/officeDocument/2006/relationships/hyperlink" Target="http://www.wikidata.org/entity/Q250867" TargetMode="External"/><Relationship Id="rId240" Type="http://schemas.openxmlformats.org/officeDocument/2006/relationships/hyperlink" Target="http://commons.wikimedia.org/wiki/Special:FilePath/Stijn%20Streuvels%20by%20Modest%20Huys.jpg" TargetMode="External"/><Relationship Id="rId1075" Type="http://schemas.openxmlformats.org/officeDocument/2006/relationships/hyperlink" Target="http://www.wikidata.org/entity/Q115833316" TargetMode="External"/><Relationship Id="rId4101" Type="http://schemas.openxmlformats.org/officeDocument/2006/relationships/hyperlink" Target="http://www.wikidata.org/entity/Q2251335" TargetMode="External"/><Relationship Id="rId1076" Type="http://schemas.openxmlformats.org/officeDocument/2006/relationships/hyperlink" Target="http://www.wikidata.org/entity/Q250867" TargetMode="External"/><Relationship Id="rId4100" Type="http://schemas.openxmlformats.org/officeDocument/2006/relationships/hyperlink" Target="http://www.wikidata.org/entity/Q2496044" TargetMode="External"/><Relationship Id="rId246" Type="http://schemas.openxmlformats.org/officeDocument/2006/relationships/hyperlink" Target="http://www.wikidata.org/entity/Q3166510" TargetMode="External"/><Relationship Id="rId1077" Type="http://schemas.openxmlformats.org/officeDocument/2006/relationships/hyperlink" Target="http://www.wikidata.org/entity/Q110039260" TargetMode="External"/><Relationship Id="rId4103" Type="http://schemas.openxmlformats.org/officeDocument/2006/relationships/hyperlink" Target="http://www.wikidata.org/entity/Q36180" TargetMode="External"/><Relationship Id="rId245" Type="http://schemas.openxmlformats.org/officeDocument/2006/relationships/hyperlink" Target="http://commons.wikimedia.org/wiki/Special:FilePath/Charles%20Carton.jpg" TargetMode="External"/><Relationship Id="rId1078" Type="http://schemas.openxmlformats.org/officeDocument/2006/relationships/hyperlink" Target="http://www.wikidata.org/entity/Q208762" TargetMode="External"/><Relationship Id="rId4102" Type="http://schemas.openxmlformats.org/officeDocument/2006/relationships/hyperlink" Target="http://www.wikidata.org/entity/Q15461013" TargetMode="External"/><Relationship Id="rId244" Type="http://schemas.openxmlformats.org/officeDocument/2006/relationships/hyperlink" Target="http://www.wikidata.org/entity/Q208762" TargetMode="External"/><Relationship Id="rId1079" Type="http://schemas.openxmlformats.org/officeDocument/2006/relationships/hyperlink" Target="http://www.wikidata.org/entity/Q115834868" TargetMode="External"/><Relationship Id="rId4105" Type="http://schemas.openxmlformats.org/officeDocument/2006/relationships/hyperlink" Target="http://www.wikidata.org/entity/Q125559890" TargetMode="External"/><Relationship Id="rId243" Type="http://schemas.openxmlformats.org/officeDocument/2006/relationships/hyperlink" Target="http://www.wikidata.org/entity/Q1877721" TargetMode="External"/><Relationship Id="rId4104" Type="http://schemas.openxmlformats.org/officeDocument/2006/relationships/hyperlink" Target="http://commons.wikimedia.org/wiki/Special:FilePath/De%20Potter%20Frans%20070512.png" TargetMode="External"/><Relationship Id="rId239" Type="http://schemas.openxmlformats.org/officeDocument/2006/relationships/hyperlink" Target="http://www.wikidata.org/entity/Q36180" TargetMode="External"/><Relationship Id="rId238" Type="http://schemas.openxmlformats.org/officeDocument/2006/relationships/hyperlink" Target="http://www.wikidata.org/entity/Q175669" TargetMode="External"/><Relationship Id="rId237" Type="http://schemas.openxmlformats.org/officeDocument/2006/relationships/hyperlink" Target="http://commons.wikimedia.org/wiki/Special:FilePath/Brugge%20-%20Bisschop%20Faict%20%281864-1894%29%20-%20Brugge%20-%20Belgi%C3%AB.jpg" TargetMode="External"/><Relationship Id="rId236" Type="http://schemas.openxmlformats.org/officeDocument/2006/relationships/hyperlink" Target="http://www.wikidata.org/entity/Q45684" TargetMode="External"/><Relationship Id="rId2390" Type="http://schemas.openxmlformats.org/officeDocument/2006/relationships/hyperlink" Target="http://www.wikidata.org/entity/Q40348" TargetMode="External"/><Relationship Id="rId1060" Type="http://schemas.openxmlformats.org/officeDocument/2006/relationships/hyperlink" Target="http://www.wikidata.org/entity/Q110039180" TargetMode="External"/><Relationship Id="rId2391" Type="http://schemas.openxmlformats.org/officeDocument/2006/relationships/hyperlink" Target="http://commons.wikimedia.org/wiki/Special:FilePath/NapoleonDePauw.jpg" TargetMode="External"/><Relationship Id="rId1061" Type="http://schemas.openxmlformats.org/officeDocument/2006/relationships/hyperlink" Target="http://www.wikidata.org/entity/Q1553123" TargetMode="External"/><Relationship Id="rId2392" Type="http://schemas.openxmlformats.org/officeDocument/2006/relationships/hyperlink" Target="http://www.wikidata.org/entity/Q18655152" TargetMode="External"/><Relationship Id="rId231" Type="http://schemas.openxmlformats.org/officeDocument/2006/relationships/hyperlink" Target="http://www.wikidata.org/entity/Q36180" TargetMode="External"/><Relationship Id="rId1062" Type="http://schemas.openxmlformats.org/officeDocument/2006/relationships/hyperlink" Target="http://www.wikidata.org/entity/Q56036018" TargetMode="External"/><Relationship Id="rId2393" Type="http://schemas.openxmlformats.org/officeDocument/2006/relationships/hyperlink" Target="http://www.wikidata.org/entity/Q36180" TargetMode="External"/><Relationship Id="rId230" Type="http://schemas.openxmlformats.org/officeDocument/2006/relationships/hyperlink" Target="http://www.wikidata.org/entity/Q2457997" TargetMode="External"/><Relationship Id="rId1063" Type="http://schemas.openxmlformats.org/officeDocument/2006/relationships/hyperlink" Target="http://www.wikidata.org/entity/Q36180" TargetMode="External"/><Relationship Id="rId2394" Type="http://schemas.openxmlformats.org/officeDocument/2006/relationships/hyperlink" Target="http://commons.wikimedia.org/wiki/Special:FilePath/NapoleonDePauw.jpg" TargetMode="External"/><Relationship Id="rId1064" Type="http://schemas.openxmlformats.org/officeDocument/2006/relationships/hyperlink" Target="http://commons.wikimedia.org/wiki/Special:FilePath/Alexandre%20Bonvarlet%20by%20Michel%20Berthaud.jpg" TargetMode="External"/><Relationship Id="rId2395" Type="http://schemas.openxmlformats.org/officeDocument/2006/relationships/hyperlink" Target="http://www.wikidata.org/entity/Q2491266" TargetMode="External"/><Relationship Id="rId1065" Type="http://schemas.openxmlformats.org/officeDocument/2006/relationships/hyperlink" Target="http://www.wikidata.org/entity/Q115814591" TargetMode="External"/><Relationship Id="rId2396" Type="http://schemas.openxmlformats.org/officeDocument/2006/relationships/hyperlink" Target="http://www.wikidata.org/entity/Q39631" TargetMode="External"/><Relationship Id="rId235" Type="http://schemas.openxmlformats.org/officeDocument/2006/relationships/hyperlink" Target="http://www.wikidata.org/entity/Q3166510" TargetMode="External"/><Relationship Id="rId1066" Type="http://schemas.openxmlformats.org/officeDocument/2006/relationships/hyperlink" Target="http://www.wikidata.org/entity/Q1776501" TargetMode="External"/><Relationship Id="rId2397" Type="http://schemas.openxmlformats.org/officeDocument/2006/relationships/hyperlink" Target="http://commons.wikimedia.org/wiki/Special:FilePath/Johan%20Winkler.jpg" TargetMode="External"/><Relationship Id="rId234" Type="http://schemas.openxmlformats.org/officeDocument/2006/relationships/hyperlink" Target="http://www.wikidata.org/entity/Q998550" TargetMode="External"/><Relationship Id="rId1067" Type="http://schemas.openxmlformats.org/officeDocument/2006/relationships/hyperlink" Target="http://www.wikidata.org/entity/Q115831919" TargetMode="External"/><Relationship Id="rId2398" Type="http://schemas.openxmlformats.org/officeDocument/2006/relationships/hyperlink" Target="http://www.wikidata.org/entity/Q2491266" TargetMode="External"/><Relationship Id="rId233" Type="http://schemas.openxmlformats.org/officeDocument/2006/relationships/hyperlink" Target="http://www.wikidata.org/entity/Q2087117" TargetMode="External"/><Relationship Id="rId1068" Type="http://schemas.openxmlformats.org/officeDocument/2006/relationships/hyperlink" Target="http://www.wikidata.org/entity/Q955464" TargetMode="External"/><Relationship Id="rId2399" Type="http://schemas.openxmlformats.org/officeDocument/2006/relationships/hyperlink" Target="http://www.wikidata.org/entity/Q36180" TargetMode="External"/><Relationship Id="rId232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069" Type="http://schemas.openxmlformats.org/officeDocument/2006/relationships/hyperlink" Target="http://www.wikidata.org/entity/Q115831919" TargetMode="External"/><Relationship Id="rId1015" Type="http://schemas.openxmlformats.org/officeDocument/2006/relationships/hyperlink" Target="http://www.wikidata.org/entity/Q1657500" TargetMode="External"/><Relationship Id="rId2346" Type="http://schemas.openxmlformats.org/officeDocument/2006/relationships/hyperlink" Target="http://www.wikidata.org/entity/Q2675588" TargetMode="External"/><Relationship Id="rId3678" Type="http://schemas.openxmlformats.org/officeDocument/2006/relationships/hyperlink" Target="http://www.wikidata.org/entity/Q42603" TargetMode="External"/><Relationship Id="rId1016" Type="http://schemas.openxmlformats.org/officeDocument/2006/relationships/hyperlink" Target="http://www.wikidata.org/entity/Q115820195" TargetMode="External"/><Relationship Id="rId2347" Type="http://schemas.openxmlformats.org/officeDocument/2006/relationships/hyperlink" Target="http://www.wikidata.org/entity/Q250867" TargetMode="External"/><Relationship Id="rId3677" Type="http://schemas.openxmlformats.org/officeDocument/2006/relationships/hyperlink" Target="http://www.wikidata.org/entity/Q115821483" TargetMode="External"/><Relationship Id="rId1017" Type="http://schemas.openxmlformats.org/officeDocument/2006/relationships/hyperlink" Target="http://www.wikidata.org/entity/Q250867" TargetMode="External"/><Relationship Id="rId2348" Type="http://schemas.openxmlformats.org/officeDocument/2006/relationships/hyperlink" Target="http://www.wikidata.org/entity/Q7343011" TargetMode="External"/><Relationship Id="rId1018" Type="http://schemas.openxmlformats.org/officeDocument/2006/relationships/hyperlink" Target="http://www.wikidata.org/entity/Q110039219" TargetMode="External"/><Relationship Id="rId2349" Type="http://schemas.openxmlformats.org/officeDocument/2006/relationships/hyperlink" Target="http://www.wikidata.org/entity/Q14467526" TargetMode="External"/><Relationship Id="rId3679" Type="http://schemas.openxmlformats.org/officeDocument/2006/relationships/hyperlink" Target="http://www.wikidata.org/entity/Q115831295" TargetMode="External"/><Relationship Id="rId1019" Type="http://schemas.openxmlformats.org/officeDocument/2006/relationships/hyperlink" Target="http://www.wikidata.org/entity/Q955464" TargetMode="External"/><Relationship Id="rId3670" Type="http://schemas.openxmlformats.org/officeDocument/2006/relationships/hyperlink" Target="http://commons.wikimedia.org/wiki/Special:FilePath/Bishop%20Camillus%20Paul%20Maes.jpg" TargetMode="External"/><Relationship Id="rId2340" Type="http://schemas.openxmlformats.org/officeDocument/2006/relationships/hyperlink" Target="http://commons.wikimedia.org/wiki/Special:FilePath/NapoleonDePauw.jpg" TargetMode="External"/><Relationship Id="rId3672" Type="http://schemas.openxmlformats.org/officeDocument/2006/relationships/hyperlink" Target="http://www.wikidata.org/entity/Q39631" TargetMode="External"/><Relationship Id="rId1010" Type="http://schemas.openxmlformats.org/officeDocument/2006/relationships/hyperlink" Target="http://www.wikidata.org/entity/Q37766220" TargetMode="External"/><Relationship Id="rId2341" Type="http://schemas.openxmlformats.org/officeDocument/2006/relationships/hyperlink" Target="http://www.wikidata.org/entity/Q3164253" TargetMode="External"/><Relationship Id="rId3671" Type="http://schemas.openxmlformats.org/officeDocument/2006/relationships/hyperlink" Target="http://www.wikidata.org/entity/Q57197744" TargetMode="External"/><Relationship Id="rId1011" Type="http://schemas.openxmlformats.org/officeDocument/2006/relationships/hyperlink" Target="http://www.wikidata.org/entity/Q36180" TargetMode="External"/><Relationship Id="rId2342" Type="http://schemas.openxmlformats.org/officeDocument/2006/relationships/hyperlink" Target="http://www.wikidata.org/entity/Q250867" TargetMode="External"/><Relationship Id="rId3674" Type="http://schemas.openxmlformats.org/officeDocument/2006/relationships/hyperlink" Target="http://www.wikidata.org/entity/Q36180" TargetMode="External"/><Relationship Id="rId1012" Type="http://schemas.openxmlformats.org/officeDocument/2006/relationships/hyperlink" Target="http://www.wikidata.org/entity/Q37766220" TargetMode="External"/><Relationship Id="rId2343" Type="http://schemas.openxmlformats.org/officeDocument/2006/relationships/hyperlink" Target="http://commons.wikimedia.org/wiki/Special:FilePath/Joannes%20Baptista%20Malou%20-%20Bishop%20of%20Bruges.jpg" TargetMode="External"/><Relationship Id="rId3673" Type="http://schemas.openxmlformats.org/officeDocument/2006/relationships/hyperlink" Target="http://www.wikidata.org/entity/Q80079104" TargetMode="External"/><Relationship Id="rId1013" Type="http://schemas.openxmlformats.org/officeDocument/2006/relationships/hyperlink" Target="http://www.wikidata.org/entity/Q49757" TargetMode="External"/><Relationship Id="rId2344" Type="http://schemas.openxmlformats.org/officeDocument/2006/relationships/hyperlink" Target="http://www.wikidata.org/entity/Q2675588" TargetMode="External"/><Relationship Id="rId3676" Type="http://schemas.openxmlformats.org/officeDocument/2006/relationships/hyperlink" Target="http://www.wikidata.org/entity/Q42603" TargetMode="External"/><Relationship Id="rId1014" Type="http://schemas.openxmlformats.org/officeDocument/2006/relationships/hyperlink" Target="http://www.wikidata.org/entity/Q115809938" TargetMode="External"/><Relationship Id="rId2345" Type="http://schemas.openxmlformats.org/officeDocument/2006/relationships/hyperlink" Target="http://www.wikidata.org/entity/Q955464" TargetMode="External"/><Relationship Id="rId3675" Type="http://schemas.openxmlformats.org/officeDocument/2006/relationships/hyperlink" Target="http://www.wikidata.org/entity/Q115820635" TargetMode="External"/><Relationship Id="rId1004" Type="http://schemas.openxmlformats.org/officeDocument/2006/relationships/hyperlink" Target="http://www.wikidata.org/entity/Q115818009" TargetMode="External"/><Relationship Id="rId2335" Type="http://schemas.openxmlformats.org/officeDocument/2006/relationships/hyperlink" Target="http://www.wikidata.org/entity/Q250867" TargetMode="External"/><Relationship Id="rId3667" Type="http://schemas.openxmlformats.org/officeDocument/2006/relationships/hyperlink" Target="http://www.wikidata.org/entity/Q998550" TargetMode="External"/><Relationship Id="rId1005" Type="http://schemas.openxmlformats.org/officeDocument/2006/relationships/hyperlink" Target="http://www.wikidata.org/entity/Q639669" TargetMode="External"/><Relationship Id="rId2336" Type="http://schemas.openxmlformats.org/officeDocument/2006/relationships/hyperlink" Target="http://www.wikidata.org/entity/Q7790140" TargetMode="External"/><Relationship Id="rId3666" Type="http://schemas.openxmlformats.org/officeDocument/2006/relationships/hyperlink" Target="http://www.wikidata.org/entity/Q111342238" TargetMode="External"/><Relationship Id="rId1006" Type="http://schemas.openxmlformats.org/officeDocument/2006/relationships/hyperlink" Target="http://www.wikidata.org/entity/Q115818009" TargetMode="External"/><Relationship Id="rId2337" Type="http://schemas.openxmlformats.org/officeDocument/2006/relationships/hyperlink" Target="http://www.wikidata.org/entity/Q80687" TargetMode="External"/><Relationship Id="rId3669" Type="http://schemas.openxmlformats.org/officeDocument/2006/relationships/hyperlink" Target="http://www.wikidata.org/entity/Q611644" TargetMode="External"/><Relationship Id="rId1007" Type="http://schemas.openxmlformats.org/officeDocument/2006/relationships/hyperlink" Target="http://www.wikidata.org/entity/Q250867" TargetMode="External"/><Relationship Id="rId2338" Type="http://schemas.openxmlformats.org/officeDocument/2006/relationships/hyperlink" Target="http://www.wikidata.org/entity/Q18655152" TargetMode="External"/><Relationship Id="rId3668" Type="http://schemas.openxmlformats.org/officeDocument/2006/relationships/hyperlink" Target="http://www.wikidata.org/entity/Q5026719" TargetMode="External"/><Relationship Id="rId1008" Type="http://schemas.openxmlformats.org/officeDocument/2006/relationships/hyperlink" Target="http://www.wikidata.org/entity/Q115814591" TargetMode="External"/><Relationship Id="rId2339" Type="http://schemas.openxmlformats.org/officeDocument/2006/relationships/hyperlink" Target="http://www.wikidata.org/entity/Q201788" TargetMode="External"/><Relationship Id="rId1009" Type="http://schemas.openxmlformats.org/officeDocument/2006/relationships/hyperlink" Target="http://www.wikidata.org/entity/Q2251335" TargetMode="External"/><Relationship Id="rId3661" Type="http://schemas.openxmlformats.org/officeDocument/2006/relationships/hyperlink" Target="http://commons.wikimedia.org/wiki/Special:FilePath/Foto%20van%20Louise%20Gezelle%20en%20Stijn%20Streuvels.jpg" TargetMode="External"/><Relationship Id="rId2330" Type="http://schemas.openxmlformats.org/officeDocument/2006/relationships/hyperlink" Target="http://www.wikidata.org/entity/Q7790140" TargetMode="External"/><Relationship Id="rId3660" Type="http://schemas.openxmlformats.org/officeDocument/2006/relationships/hyperlink" Target="http://www.wikidata.org/entity/Q37226" TargetMode="External"/><Relationship Id="rId1000" Type="http://schemas.openxmlformats.org/officeDocument/2006/relationships/hyperlink" Target="http://www.wikidata.org/entity/Q115814591" TargetMode="External"/><Relationship Id="rId2331" Type="http://schemas.openxmlformats.org/officeDocument/2006/relationships/hyperlink" Target="http://www.wikidata.org/entity/Q611644" TargetMode="External"/><Relationship Id="rId3663" Type="http://schemas.openxmlformats.org/officeDocument/2006/relationships/hyperlink" Target="http://www.wikidata.org/entity/Q2516866" TargetMode="External"/><Relationship Id="rId1001" Type="http://schemas.openxmlformats.org/officeDocument/2006/relationships/hyperlink" Target="http://www.wikidata.org/entity/Q121594" TargetMode="External"/><Relationship Id="rId2332" Type="http://schemas.openxmlformats.org/officeDocument/2006/relationships/hyperlink" Target="http://www.wikidata.org/entity/Q7790140" TargetMode="External"/><Relationship Id="rId3662" Type="http://schemas.openxmlformats.org/officeDocument/2006/relationships/hyperlink" Target="http://www.wikidata.org/entity/Q111342238" TargetMode="External"/><Relationship Id="rId1002" Type="http://schemas.openxmlformats.org/officeDocument/2006/relationships/hyperlink" Target="http://www.wikidata.org/entity/Q115814591" TargetMode="External"/><Relationship Id="rId2333" Type="http://schemas.openxmlformats.org/officeDocument/2006/relationships/hyperlink" Target="http://www.wikidata.org/entity/Q1056391" TargetMode="External"/><Relationship Id="rId3665" Type="http://schemas.openxmlformats.org/officeDocument/2006/relationships/hyperlink" Target="http://www.wikidata.org/entity/Q3391743" TargetMode="External"/><Relationship Id="rId1003" Type="http://schemas.openxmlformats.org/officeDocument/2006/relationships/hyperlink" Target="http://www.wikidata.org/entity/Q219477" TargetMode="External"/><Relationship Id="rId2334" Type="http://schemas.openxmlformats.org/officeDocument/2006/relationships/hyperlink" Target="http://www.wikidata.org/entity/Q7790140" TargetMode="External"/><Relationship Id="rId3664" Type="http://schemas.openxmlformats.org/officeDocument/2006/relationships/hyperlink" Target="http://www.wikidata.org/entity/Q111342238" TargetMode="External"/><Relationship Id="rId1037" Type="http://schemas.openxmlformats.org/officeDocument/2006/relationships/hyperlink" Target="http://www.wikidata.org/entity/Q250867" TargetMode="External"/><Relationship Id="rId2368" Type="http://schemas.openxmlformats.org/officeDocument/2006/relationships/hyperlink" Target="http://www.wikidata.org/entity/Q1950196" TargetMode="External"/><Relationship Id="rId1038" Type="http://schemas.openxmlformats.org/officeDocument/2006/relationships/hyperlink" Target="http://www.wikidata.org/entity/Q110039260" TargetMode="External"/><Relationship Id="rId2369" Type="http://schemas.openxmlformats.org/officeDocument/2006/relationships/hyperlink" Target="http://www.wikidata.org/entity/Q955464" TargetMode="External"/><Relationship Id="rId3699" Type="http://schemas.openxmlformats.org/officeDocument/2006/relationships/hyperlink" Target="http://www.wikidata.org/entity/Q115836783" TargetMode="External"/><Relationship Id="rId1039" Type="http://schemas.openxmlformats.org/officeDocument/2006/relationships/hyperlink" Target="http://www.wikidata.org/entity/Q250867" TargetMode="External"/><Relationship Id="rId206" Type="http://schemas.openxmlformats.org/officeDocument/2006/relationships/hyperlink" Target="http://www.wikidata.org/entity/Q1877721" TargetMode="External"/><Relationship Id="rId205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204" Type="http://schemas.openxmlformats.org/officeDocument/2006/relationships/hyperlink" Target="http://www.wikidata.org/entity/Q1044528" TargetMode="External"/><Relationship Id="rId203" Type="http://schemas.openxmlformats.org/officeDocument/2006/relationships/hyperlink" Target="http://www.wikidata.org/entity/Q2191260" TargetMode="External"/><Relationship Id="rId209" Type="http://schemas.openxmlformats.org/officeDocument/2006/relationships/hyperlink" Target="http://www.wikidata.org/entity/Q1877721" TargetMode="External"/><Relationship Id="rId208" Type="http://schemas.openxmlformats.org/officeDocument/2006/relationships/hyperlink" Target="http://commons.wikimedia.org/wiki/Special:FilePath/Charles%20Carton.jpg" TargetMode="External"/><Relationship Id="rId3690" Type="http://schemas.openxmlformats.org/officeDocument/2006/relationships/hyperlink" Target="http://www.wikidata.org/entity/Q49757" TargetMode="External"/><Relationship Id="rId207" Type="http://schemas.openxmlformats.org/officeDocument/2006/relationships/hyperlink" Target="http://www.wikidata.org/entity/Q1162163" TargetMode="External"/><Relationship Id="rId2360" Type="http://schemas.openxmlformats.org/officeDocument/2006/relationships/hyperlink" Target="http://www.wikidata.org/entity/Q15982596" TargetMode="External"/><Relationship Id="rId3692" Type="http://schemas.openxmlformats.org/officeDocument/2006/relationships/hyperlink" Target="http://www.wikidata.org/entity/Q114371470" TargetMode="External"/><Relationship Id="rId1030" Type="http://schemas.openxmlformats.org/officeDocument/2006/relationships/hyperlink" Target="http://www.wikidata.org/entity/Q115818009" TargetMode="External"/><Relationship Id="rId2361" Type="http://schemas.openxmlformats.org/officeDocument/2006/relationships/hyperlink" Target="http://www.wikidata.org/entity/Q36180" TargetMode="External"/><Relationship Id="rId3691" Type="http://schemas.openxmlformats.org/officeDocument/2006/relationships/hyperlink" Target="http://www.wikidata.org/entity/Q115818541" TargetMode="External"/><Relationship Id="rId1031" Type="http://schemas.openxmlformats.org/officeDocument/2006/relationships/hyperlink" Target="http://www.wikidata.org/entity/Q2251335" TargetMode="External"/><Relationship Id="rId2362" Type="http://schemas.openxmlformats.org/officeDocument/2006/relationships/hyperlink" Target="http://www.wikidata.org/entity/Q1286149" TargetMode="External"/><Relationship Id="rId3694" Type="http://schemas.openxmlformats.org/officeDocument/2006/relationships/hyperlink" Target="http://www.wikidata.org/entity/Q250867" TargetMode="External"/><Relationship Id="rId1032" Type="http://schemas.openxmlformats.org/officeDocument/2006/relationships/hyperlink" Target="http://www.wikidata.org/entity/Q110039219" TargetMode="External"/><Relationship Id="rId2363" Type="http://schemas.openxmlformats.org/officeDocument/2006/relationships/hyperlink" Target="http://www.wikidata.org/entity/Q17166634" TargetMode="External"/><Relationship Id="rId3693" Type="http://schemas.openxmlformats.org/officeDocument/2006/relationships/hyperlink" Target="http://www.wikidata.org/entity/Q115818541" TargetMode="External"/><Relationship Id="rId202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033" Type="http://schemas.openxmlformats.org/officeDocument/2006/relationships/hyperlink" Target="http://www.wikidata.org/entity/Q250867" TargetMode="External"/><Relationship Id="rId2364" Type="http://schemas.openxmlformats.org/officeDocument/2006/relationships/hyperlink" Target="http://commons.wikimedia.org/wiki/Special:FilePath/Frederick%20William%20Faber.jpg" TargetMode="External"/><Relationship Id="rId3696" Type="http://schemas.openxmlformats.org/officeDocument/2006/relationships/hyperlink" Target="http://www.wikidata.org/entity/Q114371470" TargetMode="External"/><Relationship Id="rId201" Type="http://schemas.openxmlformats.org/officeDocument/2006/relationships/hyperlink" Target="http://www.wikidata.org/entity/Q1930187" TargetMode="External"/><Relationship Id="rId1034" Type="http://schemas.openxmlformats.org/officeDocument/2006/relationships/hyperlink" Target="http://www.wikidata.org/entity/Q110039178" TargetMode="External"/><Relationship Id="rId2365" Type="http://schemas.openxmlformats.org/officeDocument/2006/relationships/hyperlink" Target="http://www.wikidata.org/entity/Q784390" TargetMode="External"/><Relationship Id="rId3695" Type="http://schemas.openxmlformats.org/officeDocument/2006/relationships/hyperlink" Target="http://www.wikidata.org/entity/Q115836217" TargetMode="External"/><Relationship Id="rId200" Type="http://schemas.openxmlformats.org/officeDocument/2006/relationships/hyperlink" Target="http://www.wikidata.org/entity/Q2457997" TargetMode="External"/><Relationship Id="rId1035" Type="http://schemas.openxmlformats.org/officeDocument/2006/relationships/hyperlink" Target="http://www.wikidata.org/entity/Q1056391" TargetMode="External"/><Relationship Id="rId2366" Type="http://schemas.openxmlformats.org/officeDocument/2006/relationships/hyperlink" Target="http://www.wikidata.org/entity/Q201788" TargetMode="External"/><Relationship Id="rId3698" Type="http://schemas.openxmlformats.org/officeDocument/2006/relationships/hyperlink" Target="http://www.wikidata.org/entity/Q114371470" TargetMode="External"/><Relationship Id="rId1036" Type="http://schemas.openxmlformats.org/officeDocument/2006/relationships/hyperlink" Target="http://www.wikidata.org/entity/Q110039178" TargetMode="External"/><Relationship Id="rId2367" Type="http://schemas.openxmlformats.org/officeDocument/2006/relationships/hyperlink" Target="http://commons.wikimedia.org/wiki/Special:FilePath/Portret%20van%20Paul%20Alberdingk%20Thijm.jpg" TargetMode="External"/><Relationship Id="rId3697" Type="http://schemas.openxmlformats.org/officeDocument/2006/relationships/hyperlink" Target="http://www.wikidata.org/entity/Q115836783" TargetMode="External"/><Relationship Id="rId1026" Type="http://schemas.openxmlformats.org/officeDocument/2006/relationships/hyperlink" Target="http://www.wikidata.org/entity/Q110039180" TargetMode="External"/><Relationship Id="rId2357" Type="http://schemas.openxmlformats.org/officeDocument/2006/relationships/hyperlink" Target="http://commons.wikimedia.org/wiki/Special:FilePath/Joseph%20Ryelandt.jpg" TargetMode="External"/><Relationship Id="rId3689" Type="http://schemas.openxmlformats.org/officeDocument/2006/relationships/hyperlink" Target="http://www.wikidata.org/entity/Q14331462" TargetMode="External"/><Relationship Id="rId1027" Type="http://schemas.openxmlformats.org/officeDocument/2006/relationships/hyperlink" Target="http://www.wikidata.org/entity/Q333634" TargetMode="External"/><Relationship Id="rId2358" Type="http://schemas.openxmlformats.org/officeDocument/2006/relationships/hyperlink" Target="http://www.wikidata.org/entity/Q55770641" TargetMode="External"/><Relationship Id="rId3688" Type="http://schemas.openxmlformats.org/officeDocument/2006/relationships/hyperlink" Target="http://www.wikidata.org/entity/Q36180" TargetMode="External"/><Relationship Id="rId1028" Type="http://schemas.openxmlformats.org/officeDocument/2006/relationships/hyperlink" Target="http://www.wikidata.org/entity/Q42196616" TargetMode="External"/><Relationship Id="rId2359" Type="http://schemas.openxmlformats.org/officeDocument/2006/relationships/hyperlink" Target="http://www.wikidata.org/entity/Q64747274" TargetMode="External"/><Relationship Id="rId1029" Type="http://schemas.openxmlformats.org/officeDocument/2006/relationships/hyperlink" Target="http://www.wikidata.org/entity/Q36180" TargetMode="External"/><Relationship Id="rId3681" Type="http://schemas.openxmlformats.org/officeDocument/2006/relationships/hyperlink" Target="http://www.wikidata.org/entity/Q115821483" TargetMode="External"/><Relationship Id="rId2350" Type="http://schemas.openxmlformats.org/officeDocument/2006/relationships/hyperlink" Target="http://www.wikidata.org/entity/Q1707941" TargetMode="External"/><Relationship Id="rId3680" Type="http://schemas.openxmlformats.org/officeDocument/2006/relationships/hyperlink" Target="http://www.wikidata.org/entity/Q42603" TargetMode="External"/><Relationship Id="rId1020" Type="http://schemas.openxmlformats.org/officeDocument/2006/relationships/hyperlink" Target="http://www.wikidata.org/entity/Q110039260" TargetMode="External"/><Relationship Id="rId2351" Type="http://schemas.openxmlformats.org/officeDocument/2006/relationships/hyperlink" Target="http://www.wikidata.org/entity/Q1056391" TargetMode="External"/><Relationship Id="rId3683" Type="http://schemas.openxmlformats.org/officeDocument/2006/relationships/hyperlink" Target="http://www.wikidata.org/entity/Q75320317" TargetMode="External"/><Relationship Id="rId1021" Type="http://schemas.openxmlformats.org/officeDocument/2006/relationships/hyperlink" Target="http://www.wikidata.org/entity/Q955464" TargetMode="External"/><Relationship Id="rId2352" Type="http://schemas.openxmlformats.org/officeDocument/2006/relationships/hyperlink" Target="http://commons.wikimedia.org/wiki/Special:FilePath/Joseph%20Ryelandt.jpg" TargetMode="External"/><Relationship Id="rId3682" Type="http://schemas.openxmlformats.org/officeDocument/2006/relationships/hyperlink" Target="http://www.wikidata.org/entity/Q45684" TargetMode="External"/><Relationship Id="rId1022" Type="http://schemas.openxmlformats.org/officeDocument/2006/relationships/hyperlink" Target="http://www.wikidata.org/entity/Q110039180" TargetMode="External"/><Relationship Id="rId2353" Type="http://schemas.openxmlformats.org/officeDocument/2006/relationships/hyperlink" Target="http://www.wikidata.org/entity/Q2675588" TargetMode="External"/><Relationship Id="rId3685" Type="http://schemas.openxmlformats.org/officeDocument/2006/relationships/hyperlink" Target="http://www.wikidata.org/entity/Q115823191" TargetMode="External"/><Relationship Id="rId1023" Type="http://schemas.openxmlformats.org/officeDocument/2006/relationships/hyperlink" Target="http://www.wikidata.org/entity/Q1072363" TargetMode="External"/><Relationship Id="rId2354" Type="http://schemas.openxmlformats.org/officeDocument/2006/relationships/hyperlink" Target="http://www.wikidata.org/entity/Q2251335" TargetMode="External"/><Relationship Id="rId3684" Type="http://schemas.openxmlformats.org/officeDocument/2006/relationships/hyperlink" Target="http://www.wikidata.org/entity/Q121594" TargetMode="External"/><Relationship Id="rId1024" Type="http://schemas.openxmlformats.org/officeDocument/2006/relationships/hyperlink" Target="http://www.wikidata.org/entity/Q110039178" TargetMode="External"/><Relationship Id="rId2355" Type="http://schemas.openxmlformats.org/officeDocument/2006/relationships/hyperlink" Target="http://www.wikidata.org/entity/Q1707941" TargetMode="External"/><Relationship Id="rId3687" Type="http://schemas.openxmlformats.org/officeDocument/2006/relationships/hyperlink" Target="http://www.wikidata.org/entity/Q115829884" TargetMode="External"/><Relationship Id="rId1025" Type="http://schemas.openxmlformats.org/officeDocument/2006/relationships/hyperlink" Target="http://www.wikidata.org/entity/Q1162163" TargetMode="External"/><Relationship Id="rId2356" Type="http://schemas.openxmlformats.org/officeDocument/2006/relationships/hyperlink" Target="http://www.wikidata.org/entity/Q16145150" TargetMode="External"/><Relationship Id="rId3686" Type="http://schemas.openxmlformats.org/officeDocument/2006/relationships/hyperlink" Target="http://www.wikidata.org/entity/Q45684" TargetMode="External"/><Relationship Id="rId4161" Type="http://schemas.openxmlformats.org/officeDocument/2006/relationships/hyperlink" Target="http://www.wikidata.org/entity/Q128034737" TargetMode="External"/><Relationship Id="rId4160" Type="http://schemas.openxmlformats.org/officeDocument/2006/relationships/hyperlink" Target="http://commons.wikimedia.org/wiki/Special:FilePath/Foto%20Marie%20Sophie%20Bruneel-Delva.jpg" TargetMode="External"/><Relationship Id="rId4163" Type="http://schemas.openxmlformats.org/officeDocument/2006/relationships/hyperlink" Target="http://www.wikidata.org/entity/Q123742237" TargetMode="External"/><Relationship Id="rId4162" Type="http://schemas.openxmlformats.org/officeDocument/2006/relationships/hyperlink" Target="http://www.wikidata.org/entity/Q1776501" TargetMode="External"/><Relationship Id="rId4165" Type="http://schemas.openxmlformats.org/officeDocument/2006/relationships/hyperlink" Target="http://www.wikidata.org/entity/Q125274323" TargetMode="External"/><Relationship Id="rId4164" Type="http://schemas.openxmlformats.org/officeDocument/2006/relationships/hyperlink" Target="http://www.wikidata.org/entity/Q39631" TargetMode="External"/><Relationship Id="rId4167" Type="http://schemas.openxmlformats.org/officeDocument/2006/relationships/hyperlink" Target="http://www.wikidata.org/entity/Q120729903" TargetMode="External"/><Relationship Id="rId4166" Type="http://schemas.openxmlformats.org/officeDocument/2006/relationships/hyperlink" Target="http://www.wikidata.org/entity/Q105186" TargetMode="External"/><Relationship Id="rId4169" Type="http://schemas.openxmlformats.org/officeDocument/2006/relationships/hyperlink" Target="http://www.wikidata.org/entity/Q136735429" TargetMode="External"/><Relationship Id="rId4168" Type="http://schemas.openxmlformats.org/officeDocument/2006/relationships/hyperlink" Target="http://www.wikidata.org/entity/Q1056391" TargetMode="External"/><Relationship Id="rId4150" Type="http://schemas.openxmlformats.org/officeDocument/2006/relationships/hyperlink" Target="http://commons.wikimedia.org/wiki/Special:FilePath/GlasraamLodewijkScharpe.jpg" TargetMode="External"/><Relationship Id="rId4152" Type="http://schemas.openxmlformats.org/officeDocument/2006/relationships/hyperlink" Target="http://www.wikidata.org/entity/Q191808" TargetMode="External"/><Relationship Id="rId4151" Type="http://schemas.openxmlformats.org/officeDocument/2006/relationships/hyperlink" Target="http://www.wikidata.org/entity/Q128034737" TargetMode="External"/><Relationship Id="rId4154" Type="http://schemas.openxmlformats.org/officeDocument/2006/relationships/hyperlink" Target="http://www.wikidata.org/entity/Q635734" TargetMode="External"/><Relationship Id="rId4153" Type="http://schemas.openxmlformats.org/officeDocument/2006/relationships/hyperlink" Target="http://www.wikidata.org/entity/Q13575404" TargetMode="External"/><Relationship Id="rId4156" Type="http://schemas.openxmlformats.org/officeDocument/2006/relationships/hyperlink" Target="http://www.wikidata.org/entity/Q125360612" TargetMode="External"/><Relationship Id="rId4155" Type="http://schemas.openxmlformats.org/officeDocument/2006/relationships/hyperlink" Target="http://commons.wikimedia.org/wiki/Special:FilePath/EdwardVanEven.jpg" TargetMode="External"/><Relationship Id="rId4158" Type="http://schemas.openxmlformats.org/officeDocument/2006/relationships/hyperlink" Target="http://www.wikidata.org/entity/Q123399726" TargetMode="External"/><Relationship Id="rId4157" Type="http://schemas.openxmlformats.org/officeDocument/2006/relationships/hyperlink" Target="http://www.wikidata.org/entity/Q1776501" TargetMode="External"/><Relationship Id="rId4159" Type="http://schemas.openxmlformats.org/officeDocument/2006/relationships/hyperlink" Target="http://www.wikidata.org/entity/Q618532" TargetMode="External"/><Relationship Id="rId1910" Type="http://schemas.openxmlformats.org/officeDocument/2006/relationships/hyperlink" Target="http://www.wikidata.org/entity/Q92204276" TargetMode="External"/><Relationship Id="rId1911" Type="http://schemas.openxmlformats.org/officeDocument/2006/relationships/hyperlink" Target="http://www.wikidata.org/entity/Q115840173" TargetMode="External"/><Relationship Id="rId1912" Type="http://schemas.openxmlformats.org/officeDocument/2006/relationships/hyperlink" Target="http://www.wikidata.org/entity/Q435940" TargetMode="External"/><Relationship Id="rId1913" Type="http://schemas.openxmlformats.org/officeDocument/2006/relationships/hyperlink" Target="http://www.wikidata.org/entity/Q120729190" TargetMode="External"/><Relationship Id="rId1914" Type="http://schemas.openxmlformats.org/officeDocument/2006/relationships/hyperlink" Target="http://www.wikidata.org/entity/Q333634" TargetMode="External"/><Relationship Id="rId1915" Type="http://schemas.openxmlformats.org/officeDocument/2006/relationships/hyperlink" Target="http://www.wikidata.org/entity/Q120729190" TargetMode="External"/><Relationship Id="rId1916" Type="http://schemas.openxmlformats.org/officeDocument/2006/relationships/hyperlink" Target="http://www.wikidata.org/entity/Q214917" TargetMode="External"/><Relationship Id="rId1917" Type="http://schemas.openxmlformats.org/officeDocument/2006/relationships/hyperlink" Target="http://www.wikidata.org/entity/Q116509131" TargetMode="External"/><Relationship Id="rId1918" Type="http://schemas.openxmlformats.org/officeDocument/2006/relationships/hyperlink" Target="http://www.wikidata.org/entity/Q37226" TargetMode="External"/><Relationship Id="rId1919" Type="http://schemas.openxmlformats.org/officeDocument/2006/relationships/hyperlink" Target="http://www.wikidata.org/entity/Q119003821" TargetMode="External"/><Relationship Id="rId4181" Type="http://schemas.openxmlformats.org/officeDocument/2006/relationships/hyperlink" Target="http://www.wikidata.org/entity/Q123416074" TargetMode="External"/><Relationship Id="rId4180" Type="http://schemas.openxmlformats.org/officeDocument/2006/relationships/hyperlink" Target="http://www.wikidata.org/entity/Q37226" TargetMode="External"/><Relationship Id="rId4183" Type="http://schemas.openxmlformats.org/officeDocument/2006/relationships/hyperlink" Target="http://www.wikidata.org/entity/Q2059291" TargetMode="External"/><Relationship Id="rId4182" Type="http://schemas.openxmlformats.org/officeDocument/2006/relationships/hyperlink" Target="http://www.wikidata.org/entity/Q219477" TargetMode="External"/><Relationship Id="rId4185" Type="http://schemas.openxmlformats.org/officeDocument/2006/relationships/hyperlink" Target="http://www.wikidata.org/entity/Q1280942" TargetMode="External"/><Relationship Id="rId4184" Type="http://schemas.openxmlformats.org/officeDocument/2006/relationships/hyperlink" Target="http://www.wikidata.org/entity/Q215793" TargetMode="External"/><Relationship Id="rId4187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4186" Type="http://schemas.openxmlformats.org/officeDocument/2006/relationships/hyperlink" Target="http://www.wikidata.org/entity/Q82955" TargetMode="External"/><Relationship Id="rId4189" Type="http://schemas.openxmlformats.org/officeDocument/2006/relationships/hyperlink" Target="http://www.wikidata.org/entity/Q36834" TargetMode="External"/><Relationship Id="rId4188" Type="http://schemas.openxmlformats.org/officeDocument/2006/relationships/hyperlink" Target="http://www.wikidata.org/entity/Q2059291" TargetMode="External"/><Relationship Id="rId1900" Type="http://schemas.openxmlformats.org/officeDocument/2006/relationships/hyperlink" Target="http://www.wikidata.org/entity/Q212238" TargetMode="External"/><Relationship Id="rId1901" Type="http://schemas.openxmlformats.org/officeDocument/2006/relationships/hyperlink" Target="http://www.wikidata.org/entity/Q120900509" TargetMode="External"/><Relationship Id="rId1902" Type="http://schemas.openxmlformats.org/officeDocument/2006/relationships/hyperlink" Target="http://www.wikidata.org/entity/Q36180" TargetMode="External"/><Relationship Id="rId1903" Type="http://schemas.openxmlformats.org/officeDocument/2006/relationships/hyperlink" Target="http://www.wikidata.org/entity/Q122831276" TargetMode="External"/><Relationship Id="rId1904" Type="http://schemas.openxmlformats.org/officeDocument/2006/relationships/hyperlink" Target="http://www.wikidata.org/entity/Q37226" TargetMode="External"/><Relationship Id="rId1905" Type="http://schemas.openxmlformats.org/officeDocument/2006/relationships/hyperlink" Target="http://www.wikidata.org/entity/Q122884053" TargetMode="External"/><Relationship Id="rId1906" Type="http://schemas.openxmlformats.org/officeDocument/2006/relationships/hyperlink" Target="http://www.wikidata.org/entity/Q81710" TargetMode="External"/><Relationship Id="rId1907" Type="http://schemas.openxmlformats.org/officeDocument/2006/relationships/hyperlink" Target="http://www.wikidata.org/entity/Q115844668" TargetMode="External"/><Relationship Id="rId1908" Type="http://schemas.openxmlformats.org/officeDocument/2006/relationships/hyperlink" Target="http://www.wikidata.org/entity/Q1753370" TargetMode="External"/><Relationship Id="rId1909" Type="http://schemas.openxmlformats.org/officeDocument/2006/relationships/hyperlink" Target="http://www.wikidata.org/entity/Q122884053" TargetMode="External"/><Relationship Id="rId4170" Type="http://schemas.openxmlformats.org/officeDocument/2006/relationships/hyperlink" Target="http://www.wikidata.org/entity/Q109925431" TargetMode="External"/><Relationship Id="rId4172" Type="http://schemas.openxmlformats.org/officeDocument/2006/relationships/hyperlink" Target="http://www.wikidata.org/entity/Q6606110" TargetMode="External"/><Relationship Id="rId4171" Type="http://schemas.openxmlformats.org/officeDocument/2006/relationships/hyperlink" Target="http://www.wikidata.org/entity/Q121078208" TargetMode="External"/><Relationship Id="rId4174" Type="http://schemas.openxmlformats.org/officeDocument/2006/relationships/hyperlink" Target="http://www.wikidata.org/entity/Q42855995" TargetMode="External"/><Relationship Id="rId4173" Type="http://schemas.openxmlformats.org/officeDocument/2006/relationships/hyperlink" Target="http://www.wikidata.org/entity/Q122872984" TargetMode="External"/><Relationship Id="rId4176" Type="http://schemas.openxmlformats.org/officeDocument/2006/relationships/hyperlink" Target="http://www.wikidata.org/entity/Q833860" TargetMode="External"/><Relationship Id="rId4175" Type="http://schemas.openxmlformats.org/officeDocument/2006/relationships/hyperlink" Target="http://www.wikidata.org/entity/Q126734623" TargetMode="External"/><Relationship Id="rId4178" Type="http://schemas.openxmlformats.org/officeDocument/2006/relationships/hyperlink" Target="http://www.wikidata.org/entity/Q36180" TargetMode="External"/><Relationship Id="rId4177" Type="http://schemas.openxmlformats.org/officeDocument/2006/relationships/hyperlink" Target="http://www.wikidata.org/entity/Q122853878" TargetMode="External"/><Relationship Id="rId4179" Type="http://schemas.openxmlformats.org/officeDocument/2006/relationships/hyperlink" Target="http://www.wikidata.org/entity/Q122853878" TargetMode="External"/><Relationship Id="rId4129" Type="http://schemas.openxmlformats.org/officeDocument/2006/relationships/hyperlink" Target="http://www.wikidata.org/entity/Q125359798" TargetMode="External"/><Relationship Id="rId4128" Type="http://schemas.openxmlformats.org/officeDocument/2006/relationships/hyperlink" Target="http://www.wikidata.org/entity/Q191808" TargetMode="External"/><Relationship Id="rId1090" Type="http://schemas.openxmlformats.org/officeDocument/2006/relationships/hyperlink" Target="http://www.wikidata.org/entity/Q1753370" TargetMode="External"/><Relationship Id="rId1091" Type="http://schemas.openxmlformats.org/officeDocument/2006/relationships/hyperlink" Target="http://www.wikidata.org/entity/Q115834868" TargetMode="External"/><Relationship Id="rId1092" Type="http://schemas.openxmlformats.org/officeDocument/2006/relationships/hyperlink" Target="http://www.wikidata.org/entity/Q2251335" TargetMode="External"/><Relationship Id="rId1093" Type="http://schemas.openxmlformats.org/officeDocument/2006/relationships/hyperlink" Target="http://www.wikidata.org/entity/Q110039178" TargetMode="External"/><Relationship Id="rId1094" Type="http://schemas.openxmlformats.org/officeDocument/2006/relationships/hyperlink" Target="http://www.wikidata.org/entity/Q11977377" TargetMode="External"/><Relationship Id="rId1095" Type="http://schemas.openxmlformats.org/officeDocument/2006/relationships/hyperlink" Target="http://www.wikidata.org/entity/Q42306892" TargetMode="External"/><Relationship Id="rId4121" Type="http://schemas.openxmlformats.org/officeDocument/2006/relationships/hyperlink" Target="http://www.wikidata.org/entity/Q125351404" TargetMode="External"/><Relationship Id="rId1096" Type="http://schemas.openxmlformats.org/officeDocument/2006/relationships/hyperlink" Target="http://www.wikidata.org/entity/Q56036018" TargetMode="External"/><Relationship Id="rId4120" Type="http://schemas.openxmlformats.org/officeDocument/2006/relationships/hyperlink" Target="http://www.wikidata.org/entity/Q36180" TargetMode="External"/><Relationship Id="rId1097" Type="http://schemas.openxmlformats.org/officeDocument/2006/relationships/hyperlink" Target="http://www.wikidata.org/entity/Q207978" TargetMode="External"/><Relationship Id="rId4123" Type="http://schemas.openxmlformats.org/officeDocument/2006/relationships/hyperlink" Target="http://www.wikidata.org/entity/Q125357784" TargetMode="External"/><Relationship Id="rId1098" Type="http://schemas.openxmlformats.org/officeDocument/2006/relationships/hyperlink" Target="http://commons.wikimedia.org/wiki/Special:FilePath/Alexandre%20Bonvarlet%20by%20Michel%20Berthaud.jpg" TargetMode="External"/><Relationship Id="rId4122" Type="http://schemas.openxmlformats.org/officeDocument/2006/relationships/hyperlink" Target="http://www.wikidata.org/entity/Q12049274" TargetMode="External"/><Relationship Id="rId1099" Type="http://schemas.openxmlformats.org/officeDocument/2006/relationships/hyperlink" Target="http://www.wikidata.org/entity/Q115831919" TargetMode="External"/><Relationship Id="rId4125" Type="http://schemas.openxmlformats.org/officeDocument/2006/relationships/hyperlink" Target="http://www.wikidata.org/entity/Q136703696" TargetMode="External"/><Relationship Id="rId4124" Type="http://schemas.openxmlformats.org/officeDocument/2006/relationships/hyperlink" Target="http://www.wikidata.org/entity/Q191808" TargetMode="External"/><Relationship Id="rId4127" Type="http://schemas.openxmlformats.org/officeDocument/2006/relationships/hyperlink" Target="http://www.wikidata.org/entity/Q116620970" TargetMode="External"/><Relationship Id="rId4126" Type="http://schemas.openxmlformats.org/officeDocument/2006/relationships/hyperlink" Target="http://www.wikidata.org/entity/Q1753370" TargetMode="External"/><Relationship Id="rId4118" Type="http://schemas.openxmlformats.org/officeDocument/2006/relationships/hyperlink" Target="http://www.wikidata.org/entity/Q27349" TargetMode="External"/><Relationship Id="rId4117" Type="http://schemas.openxmlformats.org/officeDocument/2006/relationships/hyperlink" Target="http://www.wikidata.org/entity/Q1978131" TargetMode="External"/><Relationship Id="rId4119" Type="http://schemas.openxmlformats.org/officeDocument/2006/relationships/hyperlink" Target="http://www.wikidata.org/entity/Q1978131" TargetMode="External"/><Relationship Id="rId1080" Type="http://schemas.openxmlformats.org/officeDocument/2006/relationships/hyperlink" Target="http://www.wikidata.org/entity/Q955464" TargetMode="External"/><Relationship Id="rId1081" Type="http://schemas.openxmlformats.org/officeDocument/2006/relationships/hyperlink" Target="http://www.wikidata.org/entity/Q115834868" TargetMode="External"/><Relationship Id="rId1082" Type="http://schemas.openxmlformats.org/officeDocument/2006/relationships/hyperlink" Target="http://www.wikidata.org/entity/Q1162163" TargetMode="External"/><Relationship Id="rId1083" Type="http://schemas.openxmlformats.org/officeDocument/2006/relationships/hyperlink" Target="http://www.wikidata.org/entity/Q115835156" TargetMode="External"/><Relationship Id="rId1084" Type="http://schemas.openxmlformats.org/officeDocument/2006/relationships/hyperlink" Target="http://www.wikidata.org/entity/Q250867" TargetMode="External"/><Relationship Id="rId4110" Type="http://schemas.openxmlformats.org/officeDocument/2006/relationships/hyperlink" Target="http://www.wikidata.org/entity/Q638172" TargetMode="External"/><Relationship Id="rId1085" Type="http://schemas.openxmlformats.org/officeDocument/2006/relationships/hyperlink" Target="http://www.wikidata.org/entity/Q110039219" TargetMode="External"/><Relationship Id="rId1086" Type="http://schemas.openxmlformats.org/officeDocument/2006/relationships/hyperlink" Target="http://www.wikidata.org/entity/Q1753370" TargetMode="External"/><Relationship Id="rId4112" Type="http://schemas.openxmlformats.org/officeDocument/2006/relationships/hyperlink" Target="http://www.wikidata.org/entity/Q8963721" TargetMode="External"/><Relationship Id="rId1087" Type="http://schemas.openxmlformats.org/officeDocument/2006/relationships/hyperlink" Target="http://www.wikidata.org/entity/Q110039260" TargetMode="External"/><Relationship Id="rId4111" Type="http://schemas.openxmlformats.org/officeDocument/2006/relationships/hyperlink" Target="http://www.wikidata.org/entity/Q122971209" TargetMode="External"/><Relationship Id="rId1088" Type="http://schemas.openxmlformats.org/officeDocument/2006/relationships/hyperlink" Target="http://www.wikidata.org/entity/Q1753370" TargetMode="External"/><Relationship Id="rId4114" Type="http://schemas.openxmlformats.org/officeDocument/2006/relationships/hyperlink" Target="http://www.wikidata.org/entity/Q1753370" TargetMode="External"/><Relationship Id="rId1089" Type="http://schemas.openxmlformats.org/officeDocument/2006/relationships/hyperlink" Target="http://www.wikidata.org/entity/Q110039180" TargetMode="External"/><Relationship Id="rId4113" Type="http://schemas.openxmlformats.org/officeDocument/2006/relationships/hyperlink" Target="http://www.wikidata.org/entity/Q125559890" TargetMode="External"/><Relationship Id="rId4116" Type="http://schemas.openxmlformats.org/officeDocument/2006/relationships/hyperlink" Target="http://www.wikidata.org/entity/Q738142" TargetMode="External"/><Relationship Id="rId4115" Type="http://schemas.openxmlformats.org/officeDocument/2006/relationships/hyperlink" Target="http://www.wikidata.org/entity/Q125472556" TargetMode="External"/><Relationship Id="rId4141" Type="http://schemas.openxmlformats.org/officeDocument/2006/relationships/hyperlink" Target="http://www.wikidata.org/entity/Q219477" TargetMode="External"/><Relationship Id="rId4140" Type="http://schemas.openxmlformats.org/officeDocument/2006/relationships/hyperlink" Target="http://www.wikidata.org/entity/Q121078001" TargetMode="External"/><Relationship Id="rId4143" Type="http://schemas.openxmlformats.org/officeDocument/2006/relationships/hyperlink" Target="http://www.wikidata.org/entity/Q37226" TargetMode="External"/><Relationship Id="rId4142" Type="http://schemas.openxmlformats.org/officeDocument/2006/relationships/hyperlink" Target="http://www.wikidata.org/entity/Q131957313" TargetMode="External"/><Relationship Id="rId4145" Type="http://schemas.openxmlformats.org/officeDocument/2006/relationships/hyperlink" Target="http://www.wikidata.org/entity/Q191808" TargetMode="External"/><Relationship Id="rId4144" Type="http://schemas.openxmlformats.org/officeDocument/2006/relationships/hyperlink" Target="http://www.wikidata.org/entity/Q125360612" TargetMode="External"/><Relationship Id="rId4147" Type="http://schemas.openxmlformats.org/officeDocument/2006/relationships/hyperlink" Target="http://www.wikidata.org/entity/Q49757" TargetMode="External"/><Relationship Id="rId4146" Type="http://schemas.openxmlformats.org/officeDocument/2006/relationships/hyperlink" Target="http://www.wikidata.org/entity/Q125538145" TargetMode="External"/><Relationship Id="rId4149" Type="http://schemas.openxmlformats.org/officeDocument/2006/relationships/hyperlink" Target="http://www.wikidata.org/entity/Q82955" TargetMode="External"/><Relationship Id="rId4148" Type="http://schemas.openxmlformats.org/officeDocument/2006/relationships/hyperlink" Target="http://www.wikidata.org/entity/Q13769746" TargetMode="External"/><Relationship Id="rId4139" Type="http://schemas.openxmlformats.org/officeDocument/2006/relationships/hyperlink" Target="http://www.wikidata.org/entity/Q20814940" TargetMode="External"/><Relationship Id="rId4130" Type="http://schemas.openxmlformats.org/officeDocument/2006/relationships/hyperlink" Target="http://www.wikidata.org/entity/Q191808" TargetMode="External"/><Relationship Id="rId4132" Type="http://schemas.openxmlformats.org/officeDocument/2006/relationships/hyperlink" Target="http://www.wikidata.org/entity/Q82955" TargetMode="External"/><Relationship Id="rId4131" Type="http://schemas.openxmlformats.org/officeDocument/2006/relationships/hyperlink" Target="http://www.wikidata.org/entity/Q122987963" TargetMode="External"/><Relationship Id="rId4134" Type="http://schemas.openxmlformats.org/officeDocument/2006/relationships/hyperlink" Target="http://www.wikidata.org/entity/Q1622272" TargetMode="External"/><Relationship Id="rId4133" Type="http://schemas.openxmlformats.org/officeDocument/2006/relationships/hyperlink" Target="http://www.wikidata.org/entity/Q961180" TargetMode="External"/><Relationship Id="rId4136" Type="http://schemas.openxmlformats.org/officeDocument/2006/relationships/hyperlink" Target="http://www.wikidata.org/entity/Q2496044" TargetMode="External"/><Relationship Id="rId4135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4138" Type="http://schemas.openxmlformats.org/officeDocument/2006/relationships/hyperlink" Target="http://www.wikidata.org/entity/Q122963909" TargetMode="External"/><Relationship Id="rId4137" Type="http://schemas.openxmlformats.org/officeDocument/2006/relationships/hyperlink" Target="http://www.wikidata.org/entity/Q1753370" TargetMode="External"/><Relationship Id="rId1972" Type="http://schemas.openxmlformats.org/officeDocument/2006/relationships/hyperlink" Target="http://www.wikidata.org/entity/Q1753370" TargetMode="External"/><Relationship Id="rId1973" Type="http://schemas.openxmlformats.org/officeDocument/2006/relationships/hyperlink" Target="http://www.wikidata.org/entity/Q120491424" TargetMode="External"/><Relationship Id="rId1974" Type="http://schemas.openxmlformats.org/officeDocument/2006/relationships/hyperlink" Target="http://www.wikidata.org/entity/Q115979996" TargetMode="External"/><Relationship Id="rId1975" Type="http://schemas.openxmlformats.org/officeDocument/2006/relationships/hyperlink" Target="http://www.wikidata.org/entity/Q1753370" TargetMode="External"/><Relationship Id="rId1976" Type="http://schemas.openxmlformats.org/officeDocument/2006/relationships/hyperlink" Target="http://www.wikidata.org/entity/Q120855780" TargetMode="External"/><Relationship Id="rId1977" Type="http://schemas.openxmlformats.org/officeDocument/2006/relationships/hyperlink" Target="http://www.wikidata.org/entity/Q121002664" TargetMode="External"/><Relationship Id="rId1978" Type="http://schemas.openxmlformats.org/officeDocument/2006/relationships/hyperlink" Target="http://www.wikidata.org/entity/Q2251335" TargetMode="External"/><Relationship Id="rId1979" Type="http://schemas.openxmlformats.org/officeDocument/2006/relationships/hyperlink" Target="http://www.wikidata.org/entity/Q11029222" TargetMode="External"/><Relationship Id="rId1970" Type="http://schemas.openxmlformats.org/officeDocument/2006/relationships/hyperlink" Target="http://www.wikidata.org/entity/Q119627464" TargetMode="External"/><Relationship Id="rId1971" Type="http://schemas.openxmlformats.org/officeDocument/2006/relationships/hyperlink" Target="http://www.wikidata.org/entity/Q115979130" TargetMode="External"/><Relationship Id="rId1961" Type="http://schemas.openxmlformats.org/officeDocument/2006/relationships/hyperlink" Target="http://www.wikidata.org/entity/Q116620896" TargetMode="External"/><Relationship Id="rId1962" Type="http://schemas.openxmlformats.org/officeDocument/2006/relationships/hyperlink" Target="http://www.wikidata.org/entity/Q116688354" TargetMode="External"/><Relationship Id="rId1963" Type="http://schemas.openxmlformats.org/officeDocument/2006/relationships/hyperlink" Target="http://www.wikidata.org/entity/Q117227189" TargetMode="External"/><Relationship Id="rId1964" Type="http://schemas.openxmlformats.org/officeDocument/2006/relationships/hyperlink" Target="http://www.wikidata.org/entity/Q121002664" TargetMode="External"/><Relationship Id="rId1965" Type="http://schemas.openxmlformats.org/officeDocument/2006/relationships/hyperlink" Target="http://www.wikidata.org/entity/Q955464" TargetMode="External"/><Relationship Id="rId1966" Type="http://schemas.openxmlformats.org/officeDocument/2006/relationships/hyperlink" Target="http://www.wikidata.org/entity/Q121002664" TargetMode="External"/><Relationship Id="rId1967" Type="http://schemas.openxmlformats.org/officeDocument/2006/relationships/hyperlink" Target="http://www.wikidata.org/entity/Q250867" TargetMode="External"/><Relationship Id="rId1968" Type="http://schemas.openxmlformats.org/officeDocument/2006/relationships/hyperlink" Target="http://www.wikidata.org/entity/Q115982426" TargetMode="External"/><Relationship Id="rId1969" Type="http://schemas.openxmlformats.org/officeDocument/2006/relationships/hyperlink" Target="http://www.wikidata.org/entity/Q208762" TargetMode="External"/><Relationship Id="rId1960" Type="http://schemas.openxmlformats.org/officeDocument/2006/relationships/hyperlink" Target="http://www.wikidata.org/entity/Q2251335" TargetMode="External"/><Relationship Id="rId1994" Type="http://schemas.openxmlformats.org/officeDocument/2006/relationships/hyperlink" Target="http://commons.wikimedia.org/wiki/Special:FilePath/Adrianus%20Bogaers.jpg" TargetMode="External"/><Relationship Id="rId1995" Type="http://schemas.openxmlformats.org/officeDocument/2006/relationships/hyperlink" Target="http://www.wikidata.org/entity/Q5580544" TargetMode="External"/><Relationship Id="rId1996" Type="http://schemas.openxmlformats.org/officeDocument/2006/relationships/hyperlink" Target="http://www.wikidata.org/entity/Q49757" TargetMode="External"/><Relationship Id="rId1997" Type="http://schemas.openxmlformats.org/officeDocument/2006/relationships/hyperlink" Target="http://commons.wikimedia.org/wiki/Special:FilePath/Adrianus%20Bogaers.jpg" TargetMode="External"/><Relationship Id="rId1998" Type="http://schemas.openxmlformats.org/officeDocument/2006/relationships/hyperlink" Target="http://www.wikidata.org/entity/Q43129301" TargetMode="External"/><Relationship Id="rId1999" Type="http://schemas.openxmlformats.org/officeDocument/2006/relationships/hyperlink" Target="http://www.wikidata.org/entity/Q483501" TargetMode="External"/><Relationship Id="rId1990" Type="http://schemas.openxmlformats.org/officeDocument/2006/relationships/hyperlink" Target="http://www.wikidata.org/entity/Q16533" TargetMode="External"/><Relationship Id="rId1991" Type="http://schemas.openxmlformats.org/officeDocument/2006/relationships/hyperlink" Target="http://commons.wikimedia.org/wiki/Special:FilePath/Adrianus%20Bogaers.jpg" TargetMode="External"/><Relationship Id="rId1992" Type="http://schemas.openxmlformats.org/officeDocument/2006/relationships/hyperlink" Target="http://www.wikidata.org/entity/Q5580544" TargetMode="External"/><Relationship Id="rId1993" Type="http://schemas.openxmlformats.org/officeDocument/2006/relationships/hyperlink" Target="http://www.wikidata.org/entity/Q36180" TargetMode="External"/><Relationship Id="rId1983" Type="http://schemas.openxmlformats.org/officeDocument/2006/relationships/hyperlink" Target="http://www.wikidata.org/entity/Q1753370" TargetMode="External"/><Relationship Id="rId1984" Type="http://schemas.openxmlformats.org/officeDocument/2006/relationships/hyperlink" Target="http://www.wikidata.org/entity/Q7190386" TargetMode="External"/><Relationship Id="rId1985" Type="http://schemas.openxmlformats.org/officeDocument/2006/relationships/hyperlink" Target="http://www.wikidata.org/entity/Q435940" TargetMode="External"/><Relationship Id="rId1986" Type="http://schemas.openxmlformats.org/officeDocument/2006/relationships/hyperlink" Target="http://www.wikidata.org/entity/Q5580544" TargetMode="External"/><Relationship Id="rId1987" Type="http://schemas.openxmlformats.org/officeDocument/2006/relationships/hyperlink" Target="http://www.wikidata.org/entity/Q40348" TargetMode="External"/><Relationship Id="rId1988" Type="http://schemas.openxmlformats.org/officeDocument/2006/relationships/hyperlink" Target="http://commons.wikimedia.org/wiki/Special:FilePath/Adrianus%20Bogaers.jpg" TargetMode="External"/><Relationship Id="rId1989" Type="http://schemas.openxmlformats.org/officeDocument/2006/relationships/hyperlink" Target="http://www.wikidata.org/entity/Q5580544" TargetMode="External"/><Relationship Id="rId1980" Type="http://schemas.openxmlformats.org/officeDocument/2006/relationships/hyperlink" Target="http://www.wikidata.org/entity/Q2251335" TargetMode="External"/><Relationship Id="rId1981" Type="http://schemas.openxmlformats.org/officeDocument/2006/relationships/hyperlink" Target="http://commons.wikimedia.org/wiki/Special:FilePath/Hendrik%20Pickery%20gedenkteken%20R03.jpg" TargetMode="External"/><Relationship Id="rId1982" Type="http://schemas.openxmlformats.org/officeDocument/2006/relationships/hyperlink" Target="http://www.wikidata.org/entity/Q2215154" TargetMode="External"/><Relationship Id="rId1930" Type="http://schemas.openxmlformats.org/officeDocument/2006/relationships/hyperlink" Target="http://www.wikidata.org/entity/Q955464" TargetMode="External"/><Relationship Id="rId1931" Type="http://schemas.openxmlformats.org/officeDocument/2006/relationships/hyperlink" Target="http://www.wikidata.org/entity/Q115979996" TargetMode="External"/><Relationship Id="rId1932" Type="http://schemas.openxmlformats.org/officeDocument/2006/relationships/hyperlink" Target="http://www.wikidata.org/entity/Q955464" TargetMode="External"/><Relationship Id="rId1933" Type="http://schemas.openxmlformats.org/officeDocument/2006/relationships/hyperlink" Target="http://www.wikidata.org/entity/Q115979130" TargetMode="External"/><Relationship Id="rId1934" Type="http://schemas.openxmlformats.org/officeDocument/2006/relationships/hyperlink" Target="http://www.wikidata.org/entity/Q250867" TargetMode="External"/><Relationship Id="rId1935" Type="http://schemas.openxmlformats.org/officeDocument/2006/relationships/hyperlink" Target="http://www.wikidata.org/entity/Q123414143" TargetMode="External"/><Relationship Id="rId1936" Type="http://schemas.openxmlformats.org/officeDocument/2006/relationships/hyperlink" Target="http://www.wikidata.org/entity/Q2462658" TargetMode="External"/><Relationship Id="rId1937" Type="http://schemas.openxmlformats.org/officeDocument/2006/relationships/hyperlink" Target="http://www.wikidata.org/entity/Q115979996" TargetMode="External"/><Relationship Id="rId1938" Type="http://schemas.openxmlformats.org/officeDocument/2006/relationships/hyperlink" Target="http://www.wikidata.org/entity/Q250867" TargetMode="External"/><Relationship Id="rId1939" Type="http://schemas.openxmlformats.org/officeDocument/2006/relationships/hyperlink" Target="http://www.wikidata.org/entity/Q115982426" TargetMode="External"/><Relationship Id="rId1920" Type="http://schemas.openxmlformats.org/officeDocument/2006/relationships/hyperlink" Target="http://www.wikidata.org/entity/Q182436" TargetMode="External"/><Relationship Id="rId1921" Type="http://schemas.openxmlformats.org/officeDocument/2006/relationships/hyperlink" Target="http://www.wikidata.org/entity/Q118555164" TargetMode="External"/><Relationship Id="rId1922" Type="http://schemas.openxmlformats.org/officeDocument/2006/relationships/hyperlink" Target="http://www.wikidata.org/entity/Q2251335" TargetMode="External"/><Relationship Id="rId1923" Type="http://schemas.openxmlformats.org/officeDocument/2006/relationships/hyperlink" Target="http://www.wikidata.org/entity/Q120920568" TargetMode="External"/><Relationship Id="rId1924" Type="http://schemas.openxmlformats.org/officeDocument/2006/relationships/hyperlink" Target="http://www.wikidata.org/entity/Q36180" TargetMode="External"/><Relationship Id="rId1925" Type="http://schemas.openxmlformats.org/officeDocument/2006/relationships/hyperlink" Target="http://www.wikidata.org/entity/Q119003821" TargetMode="External"/><Relationship Id="rId1926" Type="http://schemas.openxmlformats.org/officeDocument/2006/relationships/hyperlink" Target="http://www.wikidata.org/entity/Q635734" TargetMode="External"/><Relationship Id="rId1927" Type="http://schemas.openxmlformats.org/officeDocument/2006/relationships/hyperlink" Target="http://www.wikidata.org/entity/Q119003821" TargetMode="External"/><Relationship Id="rId1928" Type="http://schemas.openxmlformats.org/officeDocument/2006/relationships/hyperlink" Target="http://www.wikidata.org/entity/Q80687" TargetMode="External"/><Relationship Id="rId1929" Type="http://schemas.openxmlformats.org/officeDocument/2006/relationships/hyperlink" Target="http://www.wikidata.org/entity/Q115979130" TargetMode="External"/><Relationship Id="rId4190" Type="http://schemas.openxmlformats.org/officeDocument/2006/relationships/hyperlink" Target="http://www.wikidata.org/entity/Q1280942" TargetMode="External"/><Relationship Id="rId4192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4191" Type="http://schemas.openxmlformats.org/officeDocument/2006/relationships/hyperlink" Target="http://www.wikidata.org/entity/Q811620" TargetMode="External"/><Relationship Id="rId4194" Type="http://schemas.openxmlformats.org/officeDocument/2006/relationships/hyperlink" Target="http://www.wikidata.org/entity/Q40348" TargetMode="External"/><Relationship Id="rId4193" Type="http://schemas.openxmlformats.org/officeDocument/2006/relationships/hyperlink" Target="http://www.wikidata.org/entity/Q1280942" TargetMode="External"/><Relationship Id="rId4196" Type="http://schemas.openxmlformats.org/officeDocument/2006/relationships/hyperlink" Target="http://www.wikidata.org/entity/Q2059291" TargetMode="External"/><Relationship Id="rId4195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4198" Type="http://schemas.openxmlformats.org/officeDocument/2006/relationships/hyperlink" Target="http://www.wikidata.org/entity/Q2059291" TargetMode="External"/><Relationship Id="rId4197" Type="http://schemas.openxmlformats.org/officeDocument/2006/relationships/hyperlink" Target="http://www.wikidata.org/entity/Q2516866" TargetMode="External"/><Relationship Id="rId4199" Type="http://schemas.openxmlformats.org/officeDocument/2006/relationships/hyperlink" Target="http://www.wikidata.org/entity/Q2675537" TargetMode="External"/><Relationship Id="rId1950" Type="http://schemas.openxmlformats.org/officeDocument/2006/relationships/hyperlink" Target="http://www.wikidata.org/entity/Q955464" TargetMode="External"/><Relationship Id="rId1951" Type="http://schemas.openxmlformats.org/officeDocument/2006/relationships/hyperlink" Target="http://www.wikidata.org/entity/Q119013873" TargetMode="External"/><Relationship Id="rId1952" Type="http://schemas.openxmlformats.org/officeDocument/2006/relationships/hyperlink" Target="http://www.wikidata.org/entity/Q1162163" TargetMode="External"/><Relationship Id="rId1953" Type="http://schemas.openxmlformats.org/officeDocument/2006/relationships/hyperlink" Target="http://www.wikidata.org/entity/Q120639934" TargetMode="External"/><Relationship Id="rId1954" Type="http://schemas.openxmlformats.org/officeDocument/2006/relationships/hyperlink" Target="http://www.wikidata.org/entity/Q82955" TargetMode="External"/><Relationship Id="rId1955" Type="http://schemas.openxmlformats.org/officeDocument/2006/relationships/hyperlink" Target="http://www.wikidata.org/entity/Q119013873" TargetMode="External"/><Relationship Id="rId1956" Type="http://schemas.openxmlformats.org/officeDocument/2006/relationships/hyperlink" Target="http://www.wikidata.org/entity/Q250867" TargetMode="External"/><Relationship Id="rId1957" Type="http://schemas.openxmlformats.org/officeDocument/2006/relationships/hyperlink" Target="http://www.wikidata.org/entity/Q120639934" TargetMode="External"/><Relationship Id="rId1958" Type="http://schemas.openxmlformats.org/officeDocument/2006/relationships/hyperlink" Target="http://www.wikidata.org/entity/Q3704253" TargetMode="External"/><Relationship Id="rId1959" Type="http://schemas.openxmlformats.org/officeDocument/2006/relationships/hyperlink" Target="http://www.wikidata.org/entity/Q119013873" TargetMode="External"/><Relationship Id="rId1940" Type="http://schemas.openxmlformats.org/officeDocument/2006/relationships/hyperlink" Target="http://www.wikidata.org/entity/Q250867" TargetMode="External"/><Relationship Id="rId1941" Type="http://schemas.openxmlformats.org/officeDocument/2006/relationships/hyperlink" Target="http://www.wikidata.org/entity/Q115979130" TargetMode="External"/><Relationship Id="rId1942" Type="http://schemas.openxmlformats.org/officeDocument/2006/relationships/hyperlink" Target="http://www.wikidata.org/entity/Q2251335" TargetMode="External"/><Relationship Id="rId1943" Type="http://schemas.openxmlformats.org/officeDocument/2006/relationships/hyperlink" Target="http://www.wikidata.org/entity/Q115979996" TargetMode="External"/><Relationship Id="rId1944" Type="http://schemas.openxmlformats.org/officeDocument/2006/relationships/hyperlink" Target="http://www.wikidata.org/entity/Q2251335" TargetMode="External"/><Relationship Id="rId1945" Type="http://schemas.openxmlformats.org/officeDocument/2006/relationships/hyperlink" Target="http://www.wikidata.org/entity/Q115839088" TargetMode="External"/><Relationship Id="rId1946" Type="http://schemas.openxmlformats.org/officeDocument/2006/relationships/hyperlink" Target="http://www.wikidata.org/entity/Q39631" TargetMode="External"/><Relationship Id="rId1947" Type="http://schemas.openxmlformats.org/officeDocument/2006/relationships/hyperlink" Target="http://www.wikidata.org/entity/Q115982426" TargetMode="External"/><Relationship Id="rId1948" Type="http://schemas.openxmlformats.org/officeDocument/2006/relationships/hyperlink" Target="http://www.wikidata.org/entity/Q2251335" TargetMode="External"/><Relationship Id="rId1949" Type="http://schemas.openxmlformats.org/officeDocument/2006/relationships/hyperlink" Target="http://www.wikidata.org/entity/Q119013873" TargetMode="External"/><Relationship Id="rId2423" Type="http://schemas.openxmlformats.org/officeDocument/2006/relationships/hyperlink" Target="http://www.wikidata.org/entity/Q219477" TargetMode="External"/><Relationship Id="rId3755" Type="http://schemas.openxmlformats.org/officeDocument/2006/relationships/hyperlink" Target="http://www.wikidata.org/entity/Q215536" TargetMode="External"/><Relationship Id="rId2424" Type="http://schemas.openxmlformats.org/officeDocument/2006/relationships/hyperlink" Target="http://commons.wikimedia.org/wiki/Special:FilePath/%28Baumg1889%29%20Bernard%20Bernard%20%28Kathol.%20Missionar%20auf%20Island%29.jpg" TargetMode="External"/><Relationship Id="rId3754" Type="http://schemas.openxmlformats.org/officeDocument/2006/relationships/hyperlink" Target="http://www.wikidata.org/entity/Q118495679" TargetMode="External"/><Relationship Id="rId2425" Type="http://schemas.openxmlformats.org/officeDocument/2006/relationships/hyperlink" Target="http://www.wikidata.org/entity/Q1286149" TargetMode="External"/><Relationship Id="rId3757" Type="http://schemas.openxmlformats.org/officeDocument/2006/relationships/hyperlink" Target="http://www.wikidata.org/entity/Q1162163" TargetMode="External"/><Relationship Id="rId2426" Type="http://schemas.openxmlformats.org/officeDocument/2006/relationships/hyperlink" Target="http://www.wikidata.org/entity/Q250867" TargetMode="External"/><Relationship Id="rId3756" Type="http://schemas.openxmlformats.org/officeDocument/2006/relationships/hyperlink" Target="http://www.wikidata.org/entity/Q118136722" TargetMode="External"/><Relationship Id="rId2427" Type="http://schemas.openxmlformats.org/officeDocument/2006/relationships/hyperlink" Target="http://commons.wikimedia.org/wiki/Special:FilePath/Frederick%20William%20Faber.jpg" TargetMode="External"/><Relationship Id="rId3759" Type="http://schemas.openxmlformats.org/officeDocument/2006/relationships/hyperlink" Target="http://www.wikidata.org/entity/Q250867" TargetMode="External"/><Relationship Id="rId2428" Type="http://schemas.openxmlformats.org/officeDocument/2006/relationships/hyperlink" Target="http://www.wikidata.org/entity/Q2491266" TargetMode="External"/><Relationship Id="rId3758" Type="http://schemas.openxmlformats.org/officeDocument/2006/relationships/hyperlink" Target="http://www.wikidata.org/entity/Q118136722" TargetMode="External"/><Relationship Id="rId2429" Type="http://schemas.openxmlformats.org/officeDocument/2006/relationships/hyperlink" Target="http://www.wikidata.org/entity/Q1371378" TargetMode="External"/><Relationship Id="rId509" Type="http://schemas.openxmlformats.org/officeDocument/2006/relationships/hyperlink" Target="http://commons.wikimedia.org/wiki/Special:FilePath/Rubio%20i%20ors.jpg" TargetMode="External"/><Relationship Id="rId508" Type="http://schemas.openxmlformats.org/officeDocument/2006/relationships/hyperlink" Target="http://www.wikidata.org/entity/Q1266283" TargetMode="External"/><Relationship Id="rId503" Type="http://schemas.openxmlformats.org/officeDocument/2006/relationships/hyperlink" Target="http://commons.wikimedia.org/wiki/Special:FilePath/Portret%20van%20Jan%20Nolet%20de%20Brauwere%20van%20Steeland%2C%20RP-P-1906-1206.jpg" TargetMode="External"/><Relationship Id="rId502" Type="http://schemas.openxmlformats.org/officeDocument/2006/relationships/hyperlink" Target="http://www.wikidata.org/entity/Q36180" TargetMode="External"/><Relationship Id="rId501" Type="http://schemas.openxmlformats.org/officeDocument/2006/relationships/hyperlink" Target="http://www.wikidata.org/entity/Q329468" TargetMode="External"/><Relationship Id="rId500" Type="http://schemas.openxmlformats.org/officeDocument/2006/relationships/hyperlink" Target="http://commons.wikimedia.org/wiki/Special:FilePath/James%20Weale.jpg" TargetMode="External"/><Relationship Id="rId507" Type="http://schemas.openxmlformats.org/officeDocument/2006/relationships/hyperlink" Target="http://www.wikidata.org/entity/Q3067739" TargetMode="External"/><Relationship Id="rId506" Type="http://schemas.openxmlformats.org/officeDocument/2006/relationships/hyperlink" Target="http://commons.wikimedia.org/wiki/Special:FilePath/Portret%20van%20Jan%20Nolet%20de%20Brauwere%20van%20Steeland%2C%20RP-P-1906-1206.jpg" TargetMode="External"/><Relationship Id="rId505" Type="http://schemas.openxmlformats.org/officeDocument/2006/relationships/hyperlink" Target="http://www.wikidata.org/entity/Q49757" TargetMode="External"/><Relationship Id="rId504" Type="http://schemas.openxmlformats.org/officeDocument/2006/relationships/hyperlink" Target="http://www.wikidata.org/entity/Q329468" TargetMode="External"/><Relationship Id="rId3751" Type="http://schemas.openxmlformats.org/officeDocument/2006/relationships/hyperlink" Target="http://www.wikidata.org/entity/Q435940" TargetMode="External"/><Relationship Id="rId2420" Type="http://schemas.openxmlformats.org/officeDocument/2006/relationships/hyperlink" Target="http://www.wikidata.org/entity/Q36180" TargetMode="External"/><Relationship Id="rId3750" Type="http://schemas.openxmlformats.org/officeDocument/2006/relationships/hyperlink" Target="http://www.wikidata.org/entity/Q120999228" TargetMode="External"/><Relationship Id="rId2421" Type="http://schemas.openxmlformats.org/officeDocument/2006/relationships/hyperlink" Target="http://commons.wikimedia.org/wiki/Special:FilePath/Portret%20van%20Paul%20Alberdingk%20Thijm.jpg" TargetMode="External"/><Relationship Id="rId3753" Type="http://schemas.openxmlformats.org/officeDocument/2006/relationships/hyperlink" Target="http://www.wikidata.org/entity/Q955464" TargetMode="External"/><Relationship Id="rId2422" Type="http://schemas.openxmlformats.org/officeDocument/2006/relationships/hyperlink" Target="http://www.wikidata.org/entity/Q822307" TargetMode="External"/><Relationship Id="rId3752" Type="http://schemas.openxmlformats.org/officeDocument/2006/relationships/hyperlink" Target="http://www.wikidata.org/entity/Q118136722" TargetMode="External"/><Relationship Id="rId2412" Type="http://schemas.openxmlformats.org/officeDocument/2006/relationships/hyperlink" Target="http://www.wikidata.org/entity/Q14915627" TargetMode="External"/><Relationship Id="rId3744" Type="http://schemas.openxmlformats.org/officeDocument/2006/relationships/hyperlink" Target="http://www.wikidata.org/entity/Q119041387" TargetMode="External"/><Relationship Id="rId2413" Type="http://schemas.openxmlformats.org/officeDocument/2006/relationships/hyperlink" Target="http://commons.wikimedia.org/wiki/Special:FilePath/Joseph%20Ryelandt.jpg" TargetMode="External"/><Relationship Id="rId3743" Type="http://schemas.openxmlformats.org/officeDocument/2006/relationships/hyperlink" Target="http://www.wikidata.org/entity/Q774306" TargetMode="External"/><Relationship Id="rId2414" Type="http://schemas.openxmlformats.org/officeDocument/2006/relationships/hyperlink" Target="http://www.wikidata.org/entity/Q1851297" TargetMode="External"/><Relationship Id="rId3746" Type="http://schemas.openxmlformats.org/officeDocument/2006/relationships/hyperlink" Target="http://www.wikidata.org/entity/Q120884878" TargetMode="External"/><Relationship Id="rId2415" Type="http://schemas.openxmlformats.org/officeDocument/2006/relationships/hyperlink" Target="http://www.wikidata.org/entity/Q82955" TargetMode="External"/><Relationship Id="rId3745" Type="http://schemas.openxmlformats.org/officeDocument/2006/relationships/hyperlink" Target="http://www.wikidata.org/entity/Q82955" TargetMode="External"/><Relationship Id="rId2416" Type="http://schemas.openxmlformats.org/officeDocument/2006/relationships/hyperlink" Target="http://www.wikidata.org/entity/Q1707941" TargetMode="External"/><Relationship Id="rId3748" Type="http://schemas.openxmlformats.org/officeDocument/2006/relationships/hyperlink" Target="http://www.wikidata.org/entity/Q122791049" TargetMode="External"/><Relationship Id="rId2417" Type="http://schemas.openxmlformats.org/officeDocument/2006/relationships/hyperlink" Target="http://www.wikidata.org/entity/Q36834" TargetMode="External"/><Relationship Id="rId3747" Type="http://schemas.openxmlformats.org/officeDocument/2006/relationships/hyperlink" Target="http://www.wikidata.org/entity/Q1753370" TargetMode="External"/><Relationship Id="rId2418" Type="http://schemas.openxmlformats.org/officeDocument/2006/relationships/hyperlink" Target="http://commons.wikimedia.org/wiki/Special:FilePath/Joseph%20Ryelandt.jpg" TargetMode="External"/><Relationship Id="rId2419" Type="http://schemas.openxmlformats.org/officeDocument/2006/relationships/hyperlink" Target="http://www.wikidata.org/entity/Q784390" TargetMode="External"/><Relationship Id="rId3749" Type="http://schemas.openxmlformats.org/officeDocument/2006/relationships/hyperlink" Target="http://www.wikidata.org/entity/Q49757" TargetMode="External"/><Relationship Id="rId3740" Type="http://schemas.openxmlformats.org/officeDocument/2006/relationships/hyperlink" Target="http://www.wikidata.org/entity/Q120884878" TargetMode="External"/><Relationship Id="rId2410" Type="http://schemas.openxmlformats.org/officeDocument/2006/relationships/hyperlink" Target="http://www.wikidata.org/entity/Q1028181" TargetMode="External"/><Relationship Id="rId3742" Type="http://schemas.openxmlformats.org/officeDocument/2006/relationships/hyperlink" Target="http://www.wikidata.org/entity/Q119040262" TargetMode="External"/><Relationship Id="rId2411" Type="http://schemas.openxmlformats.org/officeDocument/2006/relationships/hyperlink" Target="http://www.wikidata.org/entity/Q1707941" TargetMode="External"/><Relationship Id="rId3741" Type="http://schemas.openxmlformats.org/officeDocument/2006/relationships/hyperlink" Target="http://www.wikidata.org/entity/Q2251335" TargetMode="External"/><Relationship Id="rId1114" Type="http://schemas.openxmlformats.org/officeDocument/2006/relationships/hyperlink" Target="http://www.wikidata.org/entity/Q1056391" TargetMode="External"/><Relationship Id="rId2445" Type="http://schemas.openxmlformats.org/officeDocument/2006/relationships/hyperlink" Target="http://commons.wikimedia.org/wiki/Special:FilePath/Portret%20van%20Paul%20Alberdingk%20Thijm.jpg" TargetMode="External"/><Relationship Id="rId3777" Type="http://schemas.openxmlformats.org/officeDocument/2006/relationships/hyperlink" Target="http://www.wikidata.org/entity/Q119794240" TargetMode="External"/><Relationship Id="rId1115" Type="http://schemas.openxmlformats.org/officeDocument/2006/relationships/hyperlink" Target="http://www.wikidata.org/entity/Q101627274" TargetMode="External"/><Relationship Id="rId2446" Type="http://schemas.openxmlformats.org/officeDocument/2006/relationships/hyperlink" Target="http://www.wikidata.org/entity/Q55770641" TargetMode="External"/><Relationship Id="rId3776" Type="http://schemas.openxmlformats.org/officeDocument/2006/relationships/hyperlink" Target="http://www.wikidata.org/entity/Q250867" TargetMode="External"/><Relationship Id="rId1116" Type="http://schemas.openxmlformats.org/officeDocument/2006/relationships/hyperlink" Target="http://www.wikidata.org/entity/Q3621491" TargetMode="External"/><Relationship Id="rId2447" Type="http://schemas.openxmlformats.org/officeDocument/2006/relationships/hyperlink" Target="http://www.wikidata.org/entity/Q2114844" TargetMode="External"/><Relationship Id="rId3779" Type="http://schemas.openxmlformats.org/officeDocument/2006/relationships/hyperlink" Target="http://www.wikidata.org/entity/Q120333083" TargetMode="External"/><Relationship Id="rId1117" Type="http://schemas.openxmlformats.org/officeDocument/2006/relationships/hyperlink" Target="http://www.wikidata.org/entity/Q101627274" TargetMode="External"/><Relationship Id="rId2448" Type="http://schemas.openxmlformats.org/officeDocument/2006/relationships/hyperlink" Target="http://www.wikidata.org/entity/Q822307" TargetMode="External"/><Relationship Id="rId3778" Type="http://schemas.openxmlformats.org/officeDocument/2006/relationships/hyperlink" Target="http://www.wikidata.org/entity/Q435940" TargetMode="External"/><Relationship Id="rId1118" Type="http://schemas.openxmlformats.org/officeDocument/2006/relationships/hyperlink" Target="http://www.wikidata.org/entity/Q2251335" TargetMode="External"/><Relationship Id="rId2449" Type="http://schemas.openxmlformats.org/officeDocument/2006/relationships/hyperlink" Target="http://www.wikidata.org/entity/Q108800792" TargetMode="External"/><Relationship Id="rId1119" Type="http://schemas.openxmlformats.org/officeDocument/2006/relationships/hyperlink" Target="http://www.wikidata.org/entity/Q56036059" TargetMode="External"/><Relationship Id="rId525" Type="http://schemas.openxmlformats.org/officeDocument/2006/relationships/hyperlink" Target="http://www.wikidata.org/entity/Q37793252" TargetMode="External"/><Relationship Id="rId524" Type="http://schemas.openxmlformats.org/officeDocument/2006/relationships/hyperlink" Target="http://www.wikidata.org/entity/Q114371470" TargetMode="External"/><Relationship Id="rId523" Type="http://schemas.openxmlformats.org/officeDocument/2006/relationships/hyperlink" Target="http://www.wikidata.org/entity/Q115813641" TargetMode="External"/><Relationship Id="rId522" Type="http://schemas.openxmlformats.org/officeDocument/2006/relationships/hyperlink" Target="http://www.wikidata.org/entity/Q864380" TargetMode="External"/><Relationship Id="rId529" Type="http://schemas.openxmlformats.org/officeDocument/2006/relationships/hyperlink" Target="http://www.wikidata.org/entity/Q115819139" TargetMode="External"/><Relationship Id="rId528" Type="http://schemas.openxmlformats.org/officeDocument/2006/relationships/hyperlink" Target="http://www.wikidata.org/entity/Q250867" TargetMode="External"/><Relationship Id="rId527" Type="http://schemas.openxmlformats.org/officeDocument/2006/relationships/hyperlink" Target="http://www.wikidata.org/entity/Q115809464" TargetMode="External"/><Relationship Id="rId526" Type="http://schemas.openxmlformats.org/officeDocument/2006/relationships/hyperlink" Target="http://www.wikidata.org/entity/Q12347522" TargetMode="External"/><Relationship Id="rId3771" Type="http://schemas.openxmlformats.org/officeDocument/2006/relationships/hyperlink" Target="http://www.wikidata.org/entity/Q120333083" TargetMode="External"/><Relationship Id="rId2440" Type="http://schemas.openxmlformats.org/officeDocument/2006/relationships/hyperlink" Target="http://www.wikidata.org/entity/Q2779054" TargetMode="External"/><Relationship Id="rId3770" Type="http://schemas.openxmlformats.org/officeDocument/2006/relationships/hyperlink" Target="http://www.wikidata.org/entity/Q2251335" TargetMode="External"/><Relationship Id="rId521" Type="http://schemas.openxmlformats.org/officeDocument/2006/relationships/hyperlink" Target="http://www.wikidata.org/entity/Q37793252" TargetMode="External"/><Relationship Id="rId1110" Type="http://schemas.openxmlformats.org/officeDocument/2006/relationships/hyperlink" Target="http://www.wikidata.org/entity/Q1753370" TargetMode="External"/><Relationship Id="rId2441" Type="http://schemas.openxmlformats.org/officeDocument/2006/relationships/hyperlink" Target="http://www.wikidata.org/entity/Q114371470" TargetMode="External"/><Relationship Id="rId3773" Type="http://schemas.openxmlformats.org/officeDocument/2006/relationships/hyperlink" Target="http://www.wikidata.org/entity/Q118136722" TargetMode="External"/><Relationship Id="rId520" Type="http://schemas.openxmlformats.org/officeDocument/2006/relationships/hyperlink" Target="http://www.wikidata.org/entity/Q6673651" TargetMode="External"/><Relationship Id="rId1111" Type="http://schemas.openxmlformats.org/officeDocument/2006/relationships/hyperlink" Target="http://www.wikidata.org/entity/Q101627274" TargetMode="External"/><Relationship Id="rId2442" Type="http://schemas.openxmlformats.org/officeDocument/2006/relationships/hyperlink" Target="http://commons.wikimedia.org/wiki/Special:FilePath/Leonard%20Lodewijk%20De%20Bo.jpg" TargetMode="External"/><Relationship Id="rId3772" Type="http://schemas.openxmlformats.org/officeDocument/2006/relationships/hyperlink" Target="http://www.wikidata.org/entity/Q1056391" TargetMode="External"/><Relationship Id="rId1112" Type="http://schemas.openxmlformats.org/officeDocument/2006/relationships/hyperlink" Target="http://www.wikidata.org/entity/Q955464" TargetMode="External"/><Relationship Id="rId2443" Type="http://schemas.openxmlformats.org/officeDocument/2006/relationships/hyperlink" Target="http://www.wikidata.org/entity/Q784390" TargetMode="External"/><Relationship Id="rId3775" Type="http://schemas.openxmlformats.org/officeDocument/2006/relationships/hyperlink" Target="http://www.wikidata.org/entity/Q120333083" TargetMode="External"/><Relationship Id="rId1113" Type="http://schemas.openxmlformats.org/officeDocument/2006/relationships/hyperlink" Target="http://www.wikidata.org/entity/Q101627274" TargetMode="External"/><Relationship Id="rId2444" Type="http://schemas.openxmlformats.org/officeDocument/2006/relationships/hyperlink" Target="http://www.wikidata.org/entity/Q6673651" TargetMode="External"/><Relationship Id="rId3774" Type="http://schemas.openxmlformats.org/officeDocument/2006/relationships/hyperlink" Target="http://www.wikidata.org/entity/Q1104153" TargetMode="External"/><Relationship Id="rId1103" Type="http://schemas.openxmlformats.org/officeDocument/2006/relationships/hyperlink" Target="http://www.wikidata.org/entity/Q110039180" TargetMode="External"/><Relationship Id="rId2434" Type="http://schemas.openxmlformats.org/officeDocument/2006/relationships/hyperlink" Target="http://www.wikidata.org/entity/Q1286149" TargetMode="External"/><Relationship Id="rId3766" Type="http://schemas.openxmlformats.org/officeDocument/2006/relationships/hyperlink" Target="http://commons.wikimedia.org/wiki/Special:FilePath/Doodsprentje%20Mathilde%20Catteeuw.tif" TargetMode="External"/><Relationship Id="rId1104" Type="http://schemas.openxmlformats.org/officeDocument/2006/relationships/hyperlink" Target="http://www.wikidata.org/entity/Q435940" TargetMode="External"/><Relationship Id="rId2435" Type="http://schemas.openxmlformats.org/officeDocument/2006/relationships/hyperlink" Target="http://www.wikidata.org/entity/Q49757" TargetMode="External"/><Relationship Id="rId3765" Type="http://schemas.openxmlformats.org/officeDocument/2006/relationships/hyperlink" Target="http://www.wikidata.org/entity/Q833860" TargetMode="External"/><Relationship Id="rId1105" Type="http://schemas.openxmlformats.org/officeDocument/2006/relationships/hyperlink" Target="http://www.wikidata.org/entity/Q115834868" TargetMode="External"/><Relationship Id="rId2436" Type="http://schemas.openxmlformats.org/officeDocument/2006/relationships/hyperlink" Target="http://commons.wikimedia.org/wiki/Special:FilePath/Frederick%20William%20Faber.jpg" TargetMode="External"/><Relationship Id="rId3768" Type="http://schemas.openxmlformats.org/officeDocument/2006/relationships/hyperlink" Target="http://www.wikidata.org/entity/Q191808" TargetMode="External"/><Relationship Id="rId1106" Type="http://schemas.openxmlformats.org/officeDocument/2006/relationships/hyperlink" Target="http://www.wikidata.org/entity/Q1469535" TargetMode="External"/><Relationship Id="rId2437" Type="http://schemas.openxmlformats.org/officeDocument/2006/relationships/hyperlink" Target="http://www.wikidata.org/entity/Q822307" TargetMode="External"/><Relationship Id="rId3767" Type="http://schemas.openxmlformats.org/officeDocument/2006/relationships/hyperlink" Target="http://www.wikidata.org/entity/Q122833200" TargetMode="External"/><Relationship Id="rId1107" Type="http://schemas.openxmlformats.org/officeDocument/2006/relationships/hyperlink" Target="http://www.wikidata.org/entity/Q115831919" TargetMode="External"/><Relationship Id="rId2438" Type="http://schemas.openxmlformats.org/officeDocument/2006/relationships/hyperlink" Target="http://www.wikidata.org/entity/Q250867" TargetMode="External"/><Relationship Id="rId1108" Type="http://schemas.openxmlformats.org/officeDocument/2006/relationships/hyperlink" Target="http://www.wikidata.org/entity/Q1753370" TargetMode="External"/><Relationship Id="rId2439" Type="http://schemas.openxmlformats.org/officeDocument/2006/relationships/hyperlink" Target="http://commons.wikimedia.org/wiki/Special:FilePath/%28Baumg1889%29%20Bernard%20Bernard%20%28Kathol.%20Missionar%20auf%20Island%29.jpg" TargetMode="External"/><Relationship Id="rId3769" Type="http://schemas.openxmlformats.org/officeDocument/2006/relationships/hyperlink" Target="http://www.wikidata.org/entity/Q118136722" TargetMode="External"/><Relationship Id="rId1109" Type="http://schemas.openxmlformats.org/officeDocument/2006/relationships/hyperlink" Target="http://www.wikidata.org/entity/Q115833316" TargetMode="External"/><Relationship Id="rId519" Type="http://schemas.openxmlformats.org/officeDocument/2006/relationships/hyperlink" Target="http://www.wikidata.org/entity/Q37793252" TargetMode="External"/><Relationship Id="rId514" Type="http://schemas.openxmlformats.org/officeDocument/2006/relationships/hyperlink" Target="http://www.wikidata.org/entity/Q18415039" TargetMode="External"/><Relationship Id="rId513" Type="http://schemas.openxmlformats.org/officeDocument/2006/relationships/hyperlink" Target="http://www.wikidata.org/entity/Q182436" TargetMode="External"/><Relationship Id="rId512" Type="http://schemas.openxmlformats.org/officeDocument/2006/relationships/hyperlink" Target="http://www.wikidata.org/entity/Q18415039" TargetMode="External"/><Relationship Id="rId511" Type="http://schemas.openxmlformats.org/officeDocument/2006/relationships/hyperlink" Target="http://www.wikidata.org/entity/Q212238" TargetMode="External"/><Relationship Id="rId518" Type="http://schemas.openxmlformats.org/officeDocument/2006/relationships/hyperlink" Target="http://commons.wikimedia.org/wiki/Special:FilePath/Portret%20van%20Edmond%20Van%20der%20Straeten%201895%20barcode%20910000105444.jpg" TargetMode="External"/><Relationship Id="rId517" Type="http://schemas.openxmlformats.org/officeDocument/2006/relationships/hyperlink" Target="http://www.wikidata.org/entity/Q212238" TargetMode="External"/><Relationship Id="rId516" Type="http://schemas.openxmlformats.org/officeDocument/2006/relationships/hyperlink" Target="http://www.wikidata.org/entity/Q18533827" TargetMode="External"/><Relationship Id="rId515" Type="http://schemas.openxmlformats.org/officeDocument/2006/relationships/hyperlink" Target="http://www.wikidata.org/entity/Q201788" TargetMode="External"/><Relationship Id="rId3760" Type="http://schemas.openxmlformats.org/officeDocument/2006/relationships/hyperlink" Target="http://www.wikidata.org/entity/Q118136722" TargetMode="External"/><Relationship Id="rId510" Type="http://schemas.openxmlformats.org/officeDocument/2006/relationships/hyperlink" Target="http://www.wikidata.org/entity/Q18415039" TargetMode="External"/><Relationship Id="rId2430" Type="http://schemas.openxmlformats.org/officeDocument/2006/relationships/hyperlink" Target="http://commons.wikimedia.org/wiki/Special:FilePath/Johan%20Winkler.jpg" TargetMode="External"/><Relationship Id="rId3762" Type="http://schemas.openxmlformats.org/officeDocument/2006/relationships/hyperlink" Target="http://www.wikidata.org/entity/Q118136722" TargetMode="External"/><Relationship Id="rId1100" Type="http://schemas.openxmlformats.org/officeDocument/2006/relationships/hyperlink" Target="http://www.wikidata.org/entity/Q1657500" TargetMode="External"/><Relationship Id="rId2431" Type="http://schemas.openxmlformats.org/officeDocument/2006/relationships/hyperlink" Target="http://www.wikidata.org/entity/Q1286149" TargetMode="External"/><Relationship Id="rId3761" Type="http://schemas.openxmlformats.org/officeDocument/2006/relationships/hyperlink" Target="http://www.wikidata.org/entity/Q80687" TargetMode="External"/><Relationship Id="rId1101" Type="http://schemas.openxmlformats.org/officeDocument/2006/relationships/hyperlink" Target="http://www.wikidata.org/entity/Q115820195" TargetMode="External"/><Relationship Id="rId2432" Type="http://schemas.openxmlformats.org/officeDocument/2006/relationships/hyperlink" Target="http://www.wikidata.org/entity/Q36180" TargetMode="External"/><Relationship Id="rId3764" Type="http://schemas.openxmlformats.org/officeDocument/2006/relationships/hyperlink" Target="http://www.wikidata.org/entity/Q116621552" TargetMode="External"/><Relationship Id="rId1102" Type="http://schemas.openxmlformats.org/officeDocument/2006/relationships/hyperlink" Target="http://www.wikidata.org/entity/Q435940" TargetMode="External"/><Relationship Id="rId2433" Type="http://schemas.openxmlformats.org/officeDocument/2006/relationships/hyperlink" Target="http://commons.wikimedia.org/wiki/Special:FilePath/Frederick%20William%20Faber.jpg" TargetMode="External"/><Relationship Id="rId3763" Type="http://schemas.openxmlformats.org/officeDocument/2006/relationships/hyperlink" Target="http://www.wikidata.org/entity/Q1044528" TargetMode="External"/><Relationship Id="rId3711" Type="http://schemas.openxmlformats.org/officeDocument/2006/relationships/hyperlink" Target="http://www.wikidata.org/entity/Q115838569" TargetMode="External"/><Relationship Id="rId3710" Type="http://schemas.openxmlformats.org/officeDocument/2006/relationships/hyperlink" Target="http://www.wikidata.org/entity/Q250867" TargetMode="External"/><Relationship Id="rId3713" Type="http://schemas.openxmlformats.org/officeDocument/2006/relationships/hyperlink" Target="http://www.wikidata.org/entity/Q115818541" TargetMode="External"/><Relationship Id="rId3712" Type="http://schemas.openxmlformats.org/officeDocument/2006/relationships/hyperlink" Target="http://www.wikidata.org/entity/Q1162163" TargetMode="External"/><Relationship Id="rId3715" Type="http://schemas.openxmlformats.org/officeDocument/2006/relationships/hyperlink" Target="http://www.wikidata.org/entity/Q115838569" TargetMode="External"/><Relationship Id="rId3714" Type="http://schemas.openxmlformats.org/officeDocument/2006/relationships/hyperlink" Target="http://www.wikidata.org/entity/Q756215" TargetMode="External"/><Relationship Id="rId3717" Type="http://schemas.openxmlformats.org/officeDocument/2006/relationships/hyperlink" Target="http://www.wikidata.org/entity/Q115840234" TargetMode="External"/><Relationship Id="rId3716" Type="http://schemas.openxmlformats.org/officeDocument/2006/relationships/hyperlink" Target="http://www.wikidata.org/entity/Q250867" TargetMode="External"/><Relationship Id="rId3719" Type="http://schemas.openxmlformats.org/officeDocument/2006/relationships/hyperlink" Target="http://www.wikidata.org/entity/Q115837646" TargetMode="External"/><Relationship Id="rId3718" Type="http://schemas.openxmlformats.org/officeDocument/2006/relationships/hyperlink" Target="http://www.wikidata.org/entity/Q955464" TargetMode="External"/><Relationship Id="rId3700" Type="http://schemas.openxmlformats.org/officeDocument/2006/relationships/hyperlink" Target="http://www.wikidata.org/entity/Q115705951" TargetMode="External"/><Relationship Id="rId3702" Type="http://schemas.openxmlformats.org/officeDocument/2006/relationships/hyperlink" Target="http://www.wikidata.org/entity/Q14915627" TargetMode="External"/><Relationship Id="rId3701" Type="http://schemas.openxmlformats.org/officeDocument/2006/relationships/hyperlink" Target="http://www.wikidata.org/entity/Q115818541" TargetMode="External"/><Relationship Id="rId3704" Type="http://schemas.openxmlformats.org/officeDocument/2006/relationships/hyperlink" Target="http://www.wikidata.org/entity/Q1753370" TargetMode="External"/><Relationship Id="rId3703" Type="http://schemas.openxmlformats.org/officeDocument/2006/relationships/hyperlink" Target="http://www.wikidata.org/entity/Q115818541" TargetMode="External"/><Relationship Id="rId3706" Type="http://schemas.openxmlformats.org/officeDocument/2006/relationships/hyperlink" Target="http://www.wikidata.org/entity/Q955464" TargetMode="External"/><Relationship Id="rId3705" Type="http://schemas.openxmlformats.org/officeDocument/2006/relationships/hyperlink" Target="http://www.wikidata.org/entity/Q115836783" TargetMode="External"/><Relationship Id="rId3708" Type="http://schemas.openxmlformats.org/officeDocument/2006/relationships/hyperlink" Target="http://www.wikidata.org/entity/Q250867" TargetMode="External"/><Relationship Id="rId3707" Type="http://schemas.openxmlformats.org/officeDocument/2006/relationships/hyperlink" Target="http://www.wikidata.org/entity/Q115836217" TargetMode="External"/><Relationship Id="rId3709" Type="http://schemas.openxmlformats.org/officeDocument/2006/relationships/hyperlink" Target="http://www.wikidata.org/entity/Q115836783" TargetMode="External"/><Relationship Id="rId2401" Type="http://schemas.openxmlformats.org/officeDocument/2006/relationships/hyperlink" Target="http://www.wikidata.org/entity/Q4423628" TargetMode="External"/><Relationship Id="rId3733" Type="http://schemas.openxmlformats.org/officeDocument/2006/relationships/hyperlink" Target="http://www.wikidata.org/entity/Q115838569" TargetMode="External"/><Relationship Id="rId2402" Type="http://schemas.openxmlformats.org/officeDocument/2006/relationships/hyperlink" Target="http://www.wikidata.org/entity/Q49757" TargetMode="External"/><Relationship Id="rId3732" Type="http://schemas.openxmlformats.org/officeDocument/2006/relationships/hyperlink" Target="http://www.wikidata.org/entity/Q1753370" TargetMode="External"/><Relationship Id="rId2403" Type="http://schemas.openxmlformats.org/officeDocument/2006/relationships/hyperlink" Target="http://www.wikidata.org/entity/Q55770641" TargetMode="External"/><Relationship Id="rId3735" Type="http://schemas.openxmlformats.org/officeDocument/2006/relationships/hyperlink" Target="http://www.wikidata.org/entity/Q115818781" TargetMode="External"/><Relationship Id="rId2404" Type="http://schemas.openxmlformats.org/officeDocument/2006/relationships/hyperlink" Target="http://www.wikidata.org/entity/Q120667787" TargetMode="External"/><Relationship Id="rId3734" Type="http://schemas.openxmlformats.org/officeDocument/2006/relationships/hyperlink" Target="http://www.wikidata.org/entity/Q1753370" TargetMode="External"/><Relationship Id="rId2405" Type="http://schemas.openxmlformats.org/officeDocument/2006/relationships/hyperlink" Target="http://www.wikidata.org/entity/Q4423628" TargetMode="External"/><Relationship Id="rId3737" Type="http://schemas.openxmlformats.org/officeDocument/2006/relationships/hyperlink" Target="http://www.wikidata.org/entity/Q122779793" TargetMode="External"/><Relationship Id="rId2406" Type="http://schemas.openxmlformats.org/officeDocument/2006/relationships/hyperlink" Target="http://www.wikidata.org/entity/Q36834" TargetMode="External"/><Relationship Id="rId3736" Type="http://schemas.openxmlformats.org/officeDocument/2006/relationships/hyperlink" Target="http://www.wikidata.org/entity/Q40348" TargetMode="External"/><Relationship Id="rId2407" Type="http://schemas.openxmlformats.org/officeDocument/2006/relationships/hyperlink" Target="http://www.wikidata.org/entity/Q1950196" TargetMode="External"/><Relationship Id="rId3739" Type="http://schemas.openxmlformats.org/officeDocument/2006/relationships/hyperlink" Target="http://www.wikidata.org/entity/Q219477" TargetMode="External"/><Relationship Id="rId2408" Type="http://schemas.openxmlformats.org/officeDocument/2006/relationships/hyperlink" Target="http://www.wikidata.org/entity/Q1753370" TargetMode="External"/><Relationship Id="rId3738" Type="http://schemas.openxmlformats.org/officeDocument/2006/relationships/hyperlink" Target="http://www.wikidata.org/entity/Q119794240" TargetMode="External"/><Relationship Id="rId2409" Type="http://schemas.openxmlformats.org/officeDocument/2006/relationships/hyperlink" Target="http://www.wikidata.org/entity/Q55770641" TargetMode="External"/><Relationship Id="rId3731" Type="http://schemas.openxmlformats.org/officeDocument/2006/relationships/hyperlink" Target="http://www.wikidata.org/entity/Q115836783" TargetMode="External"/><Relationship Id="rId2400" Type="http://schemas.openxmlformats.org/officeDocument/2006/relationships/hyperlink" Target="http://commons.wikimedia.org/wiki/Special:FilePath/Johan%20Winkler.jpg" TargetMode="External"/><Relationship Id="rId3730" Type="http://schemas.openxmlformats.org/officeDocument/2006/relationships/hyperlink" Target="http://www.wikidata.org/entity/Q1753370" TargetMode="External"/><Relationship Id="rId3722" Type="http://schemas.openxmlformats.org/officeDocument/2006/relationships/hyperlink" Target="http://www.wikidata.org/entity/Q1056391" TargetMode="External"/><Relationship Id="rId3721" Type="http://schemas.openxmlformats.org/officeDocument/2006/relationships/hyperlink" Target="http://www.wikidata.org/entity/Q115840234" TargetMode="External"/><Relationship Id="rId3724" Type="http://schemas.openxmlformats.org/officeDocument/2006/relationships/hyperlink" Target="http://www.wikidata.org/entity/Q250867" TargetMode="External"/><Relationship Id="rId3723" Type="http://schemas.openxmlformats.org/officeDocument/2006/relationships/hyperlink" Target="http://www.wikidata.org/entity/Q115840234" TargetMode="External"/><Relationship Id="rId3726" Type="http://schemas.openxmlformats.org/officeDocument/2006/relationships/hyperlink" Target="http://www.wikidata.org/entity/Q2251335" TargetMode="External"/><Relationship Id="rId3725" Type="http://schemas.openxmlformats.org/officeDocument/2006/relationships/hyperlink" Target="http://www.wikidata.org/entity/Q115838569" TargetMode="External"/><Relationship Id="rId3728" Type="http://schemas.openxmlformats.org/officeDocument/2006/relationships/hyperlink" Target="http://www.wikidata.org/entity/Q6051619" TargetMode="External"/><Relationship Id="rId3727" Type="http://schemas.openxmlformats.org/officeDocument/2006/relationships/hyperlink" Target="http://www.wikidata.org/entity/Q115836783" TargetMode="External"/><Relationship Id="rId3729" Type="http://schemas.openxmlformats.org/officeDocument/2006/relationships/hyperlink" Target="http://www.wikidata.org/entity/Q115836217" TargetMode="External"/><Relationship Id="rId3720" Type="http://schemas.openxmlformats.org/officeDocument/2006/relationships/hyperlink" Target="http://www.wikidata.org/entity/Q1056310" TargetMode="External"/><Relationship Id="rId4206" Type="http://schemas.openxmlformats.org/officeDocument/2006/relationships/hyperlink" Target="http://www.wikidata.org/entity/Q242468" TargetMode="External"/><Relationship Id="rId4205" Type="http://schemas.openxmlformats.org/officeDocument/2006/relationships/hyperlink" Target="http://www.wikidata.org/entity/Q117409336" TargetMode="External"/><Relationship Id="rId4208" Type="http://schemas.openxmlformats.org/officeDocument/2006/relationships/hyperlink" Target="http://www.wikidata.org/entity/Q19968805" TargetMode="External"/><Relationship Id="rId4207" Type="http://schemas.openxmlformats.org/officeDocument/2006/relationships/hyperlink" Target="http://www.wikidata.org/entity/Q15982597" TargetMode="External"/><Relationship Id="rId590" Type="http://schemas.openxmlformats.org/officeDocument/2006/relationships/hyperlink" Target="http://www.wikidata.org/entity/Q1776501" TargetMode="External"/><Relationship Id="rId4209" Type="http://schemas.openxmlformats.org/officeDocument/2006/relationships/hyperlink" Target="http://commons.wikimedia.org/wiki/Special:FilePath/Bidprentje%20Monica%20De%20Vriese.jpg" TargetMode="External"/><Relationship Id="rId589" Type="http://schemas.openxmlformats.org/officeDocument/2006/relationships/hyperlink" Target="http://www.wikidata.org/entity/Q115104760" TargetMode="External"/><Relationship Id="rId588" Type="http://schemas.openxmlformats.org/officeDocument/2006/relationships/hyperlink" Target="http://www.wikidata.org/entity/Q10429346" TargetMode="External"/><Relationship Id="rId1170" Type="http://schemas.openxmlformats.org/officeDocument/2006/relationships/hyperlink" Target="http://www.wikidata.org/entity/Q23895006" TargetMode="External"/><Relationship Id="rId1171" Type="http://schemas.openxmlformats.org/officeDocument/2006/relationships/hyperlink" Target="http://www.wikidata.org/entity/Q2251335" TargetMode="External"/><Relationship Id="rId583" Type="http://schemas.openxmlformats.org/officeDocument/2006/relationships/hyperlink" Target="http://www.wikidata.org/entity/Q115809464" TargetMode="External"/><Relationship Id="rId1172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582" Type="http://schemas.openxmlformats.org/officeDocument/2006/relationships/hyperlink" Target="http://www.wikidata.org/entity/Q998550" TargetMode="External"/><Relationship Id="rId1173" Type="http://schemas.openxmlformats.org/officeDocument/2006/relationships/hyperlink" Target="http://www.wikidata.org/entity/Q115830433" TargetMode="External"/><Relationship Id="rId581" Type="http://schemas.openxmlformats.org/officeDocument/2006/relationships/hyperlink" Target="http://www.wikidata.org/entity/Q86735347" TargetMode="External"/><Relationship Id="rId1174" Type="http://schemas.openxmlformats.org/officeDocument/2006/relationships/hyperlink" Target="http://www.wikidata.org/entity/Q59308086" TargetMode="External"/><Relationship Id="rId4200" Type="http://schemas.openxmlformats.org/officeDocument/2006/relationships/hyperlink" Target="http://www.wikidata.org/entity/Q116689485" TargetMode="External"/><Relationship Id="rId580" Type="http://schemas.openxmlformats.org/officeDocument/2006/relationships/hyperlink" Target="http://www.wikidata.org/entity/Q1622272" TargetMode="External"/><Relationship Id="rId1175" Type="http://schemas.openxmlformats.org/officeDocument/2006/relationships/hyperlink" Target="http://www.wikidata.org/entity/Q115807960" TargetMode="External"/><Relationship Id="rId587" Type="http://schemas.openxmlformats.org/officeDocument/2006/relationships/hyperlink" Target="http://www.wikidata.org/entity/Q86735347" TargetMode="External"/><Relationship Id="rId1176" Type="http://schemas.openxmlformats.org/officeDocument/2006/relationships/hyperlink" Target="http://www.wikidata.org/entity/Q219477" TargetMode="External"/><Relationship Id="rId4202" Type="http://schemas.openxmlformats.org/officeDocument/2006/relationships/hyperlink" Target="http://www.wikidata.org/entity/Q116689485" TargetMode="External"/><Relationship Id="rId586" Type="http://schemas.openxmlformats.org/officeDocument/2006/relationships/hyperlink" Target="http://www.wikidata.org/entity/Q15253558" TargetMode="External"/><Relationship Id="rId1177" Type="http://schemas.openxmlformats.org/officeDocument/2006/relationships/hyperlink" Target="http://www.wikidata.org/entity/Q115807960" TargetMode="External"/><Relationship Id="rId4201" Type="http://schemas.openxmlformats.org/officeDocument/2006/relationships/hyperlink" Target="http://www.wikidata.org/entity/Q191808" TargetMode="External"/><Relationship Id="rId585" Type="http://schemas.openxmlformats.org/officeDocument/2006/relationships/hyperlink" Target="http://www.wikidata.org/entity/Q51168899" TargetMode="External"/><Relationship Id="rId1178" Type="http://schemas.openxmlformats.org/officeDocument/2006/relationships/hyperlink" Target="http://www.wikidata.org/entity/Q250867" TargetMode="External"/><Relationship Id="rId4204" Type="http://schemas.openxmlformats.org/officeDocument/2006/relationships/hyperlink" Target="http://www.wikidata.org/entity/Q116687284" TargetMode="External"/><Relationship Id="rId584" Type="http://schemas.openxmlformats.org/officeDocument/2006/relationships/hyperlink" Target="http://www.wikidata.org/entity/Q1958649" TargetMode="External"/><Relationship Id="rId1179" Type="http://schemas.openxmlformats.org/officeDocument/2006/relationships/hyperlink" Target="http://www.wikidata.org/entity/Q113925472" TargetMode="External"/><Relationship Id="rId4203" Type="http://schemas.openxmlformats.org/officeDocument/2006/relationships/hyperlink" Target="http://www.wikidata.org/entity/Q1776501" TargetMode="External"/><Relationship Id="rId1169" Type="http://schemas.openxmlformats.org/officeDocument/2006/relationships/hyperlink" Target="http://www.wikidata.org/entity/Q36180" TargetMode="External"/><Relationship Id="rId579" Type="http://schemas.openxmlformats.org/officeDocument/2006/relationships/hyperlink" Target="http://www.wikidata.org/entity/Q55232762" TargetMode="External"/><Relationship Id="rId578" Type="http://schemas.openxmlformats.org/officeDocument/2006/relationships/hyperlink" Target="http://www.wikidata.org/entity/Q2251335" TargetMode="External"/><Relationship Id="rId577" Type="http://schemas.openxmlformats.org/officeDocument/2006/relationships/hyperlink" Target="http://www.wikidata.org/entity/Q110039159" TargetMode="External"/><Relationship Id="rId2490" Type="http://schemas.openxmlformats.org/officeDocument/2006/relationships/hyperlink" Target="http://www.wikidata.org/entity/Q115818849" TargetMode="External"/><Relationship Id="rId1160" Type="http://schemas.openxmlformats.org/officeDocument/2006/relationships/hyperlink" Target="http://www.wikidata.org/entity/Q641208" TargetMode="External"/><Relationship Id="rId2491" Type="http://schemas.openxmlformats.org/officeDocument/2006/relationships/hyperlink" Target="http://www.wikidata.org/entity/Q250867" TargetMode="External"/><Relationship Id="rId572" Type="http://schemas.openxmlformats.org/officeDocument/2006/relationships/hyperlink" Target="http://www.wikidata.org/entity/Q2251335" TargetMode="External"/><Relationship Id="rId1161" Type="http://schemas.openxmlformats.org/officeDocument/2006/relationships/hyperlink" Target="http://www.wikidata.org/entity/Q21549953" TargetMode="External"/><Relationship Id="rId2492" Type="http://schemas.openxmlformats.org/officeDocument/2006/relationships/hyperlink" Target="http://www.wikidata.org/entity/Q115815697" TargetMode="External"/><Relationship Id="rId571" Type="http://schemas.openxmlformats.org/officeDocument/2006/relationships/hyperlink" Target="http://www.wikidata.org/entity/Q115818649" TargetMode="External"/><Relationship Id="rId1162" Type="http://schemas.openxmlformats.org/officeDocument/2006/relationships/hyperlink" Target="http://www.wikidata.org/entity/Q13418253" TargetMode="External"/><Relationship Id="rId2493" Type="http://schemas.openxmlformats.org/officeDocument/2006/relationships/hyperlink" Target="http://www.wikidata.org/entity/Q2251335" TargetMode="External"/><Relationship Id="rId570" Type="http://schemas.openxmlformats.org/officeDocument/2006/relationships/hyperlink" Target="http://www.wikidata.org/entity/Q182436" TargetMode="External"/><Relationship Id="rId1163" Type="http://schemas.openxmlformats.org/officeDocument/2006/relationships/hyperlink" Target="http://www.wikidata.org/entity/Q42196616" TargetMode="External"/><Relationship Id="rId2494" Type="http://schemas.openxmlformats.org/officeDocument/2006/relationships/hyperlink" Target="http://www.wikidata.org/entity/Q115821481" TargetMode="External"/><Relationship Id="rId1164" Type="http://schemas.openxmlformats.org/officeDocument/2006/relationships/hyperlink" Target="http://www.wikidata.org/entity/Q1958649" TargetMode="External"/><Relationship Id="rId2495" Type="http://schemas.openxmlformats.org/officeDocument/2006/relationships/hyperlink" Target="http://www.wikidata.org/entity/Q955464" TargetMode="External"/><Relationship Id="rId576" Type="http://schemas.openxmlformats.org/officeDocument/2006/relationships/hyperlink" Target="http://www.wikidata.org/entity/Q1753370" TargetMode="External"/><Relationship Id="rId1165" Type="http://schemas.openxmlformats.org/officeDocument/2006/relationships/hyperlink" Target="http://www.wikidata.org/entity/Q56036018" TargetMode="External"/><Relationship Id="rId2496" Type="http://schemas.openxmlformats.org/officeDocument/2006/relationships/hyperlink" Target="http://www.wikidata.org/entity/Q115821481" TargetMode="External"/><Relationship Id="rId575" Type="http://schemas.openxmlformats.org/officeDocument/2006/relationships/hyperlink" Target="http://www.wikidata.org/entity/Q115809464" TargetMode="External"/><Relationship Id="rId1166" Type="http://schemas.openxmlformats.org/officeDocument/2006/relationships/hyperlink" Target="http://www.wikidata.org/entity/Q3704253" TargetMode="External"/><Relationship Id="rId2497" Type="http://schemas.openxmlformats.org/officeDocument/2006/relationships/hyperlink" Target="http://www.wikidata.org/entity/Q1162163" TargetMode="External"/><Relationship Id="rId574" Type="http://schemas.openxmlformats.org/officeDocument/2006/relationships/hyperlink" Target="http://www.wikidata.org/entity/Q2251335" TargetMode="External"/><Relationship Id="rId1167" Type="http://schemas.openxmlformats.org/officeDocument/2006/relationships/hyperlink" Target="http://commons.wikimedia.org/wiki/Special:FilePath/Alexandre%20Bonvarlet%20by%20Michel%20Berthaud.jpg" TargetMode="External"/><Relationship Id="rId2498" Type="http://schemas.openxmlformats.org/officeDocument/2006/relationships/hyperlink" Target="http://www.wikidata.org/entity/Q110039170" TargetMode="External"/><Relationship Id="rId573" Type="http://schemas.openxmlformats.org/officeDocument/2006/relationships/hyperlink" Target="http://www.wikidata.org/entity/Q115819139" TargetMode="External"/><Relationship Id="rId1168" Type="http://schemas.openxmlformats.org/officeDocument/2006/relationships/hyperlink" Target="http://www.wikidata.org/entity/Q114081509" TargetMode="External"/><Relationship Id="rId2499" Type="http://schemas.openxmlformats.org/officeDocument/2006/relationships/hyperlink" Target="http://www.wikidata.org/entity/Q955464" TargetMode="External"/><Relationship Id="rId4228" Type="http://schemas.openxmlformats.org/officeDocument/2006/relationships/hyperlink" Target="http://www.wikidata.org/entity/Q901402" TargetMode="External"/><Relationship Id="rId4227" Type="http://schemas.openxmlformats.org/officeDocument/2006/relationships/hyperlink" Target="http://www.wikidata.org/entity/Q64302" TargetMode="External"/><Relationship Id="rId4229" Type="http://schemas.openxmlformats.org/officeDocument/2006/relationships/hyperlink" Target="http://commons.wikimedia.org/wiki/Special:FilePath/%D0%A0%D0%B8%D1%85%D0%B0%D1%80%D0%B4%20%D0%90%D0%BD%D0%B4%D1%80%D0%B5.jpg" TargetMode="External"/><Relationship Id="rId1190" Type="http://schemas.openxmlformats.org/officeDocument/2006/relationships/hyperlink" Target="http://www.wikidata.org/entity/Q62080181" TargetMode="External"/><Relationship Id="rId1191" Type="http://schemas.openxmlformats.org/officeDocument/2006/relationships/hyperlink" Target="http://www.wikidata.org/entity/Q1753370" TargetMode="External"/><Relationship Id="rId1192" Type="http://schemas.openxmlformats.org/officeDocument/2006/relationships/hyperlink" Target="http://www.wikidata.org/entity/Q61506427" TargetMode="External"/><Relationship Id="rId1193" Type="http://schemas.openxmlformats.org/officeDocument/2006/relationships/hyperlink" Target="http://www.wikidata.org/entity/Q40348" TargetMode="External"/><Relationship Id="rId1194" Type="http://schemas.openxmlformats.org/officeDocument/2006/relationships/hyperlink" Target="http://www.wikidata.org/entity/Q115827506" TargetMode="External"/><Relationship Id="rId4220" Type="http://schemas.openxmlformats.org/officeDocument/2006/relationships/hyperlink" Target="http://www.wikidata.org/entity/Q64302" TargetMode="External"/><Relationship Id="rId1195" Type="http://schemas.openxmlformats.org/officeDocument/2006/relationships/hyperlink" Target="http://www.wikidata.org/entity/Q114371470" TargetMode="External"/><Relationship Id="rId1196" Type="http://schemas.openxmlformats.org/officeDocument/2006/relationships/hyperlink" Target="http://www.wikidata.org/entity/Q23895006" TargetMode="External"/><Relationship Id="rId4222" Type="http://schemas.openxmlformats.org/officeDocument/2006/relationships/hyperlink" Target="http://commons.wikimedia.org/wiki/Special:FilePath/%D0%A0%D0%B8%D1%85%D0%B0%D1%80%D0%B4%20%D0%90%D0%BD%D0%B4%D1%80%D0%B5.jpg" TargetMode="External"/><Relationship Id="rId1197" Type="http://schemas.openxmlformats.org/officeDocument/2006/relationships/hyperlink" Target="http://www.wikidata.org/entity/Q1930187" TargetMode="External"/><Relationship Id="rId4221" Type="http://schemas.openxmlformats.org/officeDocument/2006/relationships/hyperlink" Target="http://www.wikidata.org/entity/Q17505002" TargetMode="External"/><Relationship Id="rId1198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4224" Type="http://schemas.openxmlformats.org/officeDocument/2006/relationships/hyperlink" Target="http://www.wikidata.org/entity/Q201788" TargetMode="External"/><Relationship Id="rId1199" Type="http://schemas.openxmlformats.org/officeDocument/2006/relationships/hyperlink" Target="http://www.wikidata.org/entity/Q115818861" TargetMode="External"/><Relationship Id="rId4223" Type="http://schemas.openxmlformats.org/officeDocument/2006/relationships/hyperlink" Target="http://www.wikidata.org/entity/Q2134167" TargetMode="External"/><Relationship Id="rId4226" Type="http://schemas.openxmlformats.org/officeDocument/2006/relationships/hyperlink" Target="http://www.wikidata.org/entity/Q635734" TargetMode="External"/><Relationship Id="rId4225" Type="http://schemas.openxmlformats.org/officeDocument/2006/relationships/hyperlink" Target="http://www.wikidata.org/entity/Q2134167" TargetMode="External"/><Relationship Id="rId4217" Type="http://schemas.openxmlformats.org/officeDocument/2006/relationships/hyperlink" Target="http://www.wikidata.org/entity/Q40348" TargetMode="External"/><Relationship Id="rId4216" Type="http://schemas.openxmlformats.org/officeDocument/2006/relationships/hyperlink" Target="http://www.wikidata.org/entity/Q2134167" TargetMode="External"/><Relationship Id="rId4219" Type="http://schemas.openxmlformats.org/officeDocument/2006/relationships/hyperlink" Target="http://www.wikidata.org/entity/Q36180" TargetMode="External"/><Relationship Id="rId4218" Type="http://schemas.openxmlformats.org/officeDocument/2006/relationships/hyperlink" Target="http://www.wikidata.org/entity/Q2134167" TargetMode="External"/><Relationship Id="rId599" Type="http://schemas.openxmlformats.org/officeDocument/2006/relationships/hyperlink" Target="http://www.wikidata.org/entity/Q1657500" TargetMode="External"/><Relationship Id="rId1180" Type="http://schemas.openxmlformats.org/officeDocument/2006/relationships/hyperlink" Target="http://www.wikidata.org/entity/Q219477" TargetMode="External"/><Relationship Id="rId1181" Type="http://schemas.openxmlformats.org/officeDocument/2006/relationships/hyperlink" Target="http://www.wikidata.org/entity/Q113925472" TargetMode="External"/><Relationship Id="rId1182" Type="http://schemas.openxmlformats.org/officeDocument/2006/relationships/hyperlink" Target="http://www.wikidata.org/entity/Q250867" TargetMode="External"/><Relationship Id="rId594" Type="http://schemas.openxmlformats.org/officeDocument/2006/relationships/hyperlink" Target="http://www.wikidata.org/entity/Q115831509" TargetMode="External"/><Relationship Id="rId1183" Type="http://schemas.openxmlformats.org/officeDocument/2006/relationships/hyperlink" Target="http://www.wikidata.org/entity/Q23895006" TargetMode="External"/><Relationship Id="rId593" Type="http://schemas.openxmlformats.org/officeDocument/2006/relationships/hyperlink" Target="http://www.wikidata.org/entity/Q105186" TargetMode="External"/><Relationship Id="rId1184" Type="http://schemas.openxmlformats.org/officeDocument/2006/relationships/hyperlink" Target="http://www.wikidata.org/entity/Q589298" TargetMode="External"/><Relationship Id="rId592" Type="http://schemas.openxmlformats.org/officeDocument/2006/relationships/hyperlink" Target="http://www.wikidata.org/entity/Q113754119" TargetMode="External"/><Relationship Id="rId1185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4211" Type="http://schemas.openxmlformats.org/officeDocument/2006/relationships/hyperlink" Target="http://www.wikidata.org/entity/Q1371378" TargetMode="External"/><Relationship Id="rId591" Type="http://schemas.openxmlformats.org/officeDocument/2006/relationships/hyperlink" Target="http://commons.wikimedia.org/wiki/Special:FilePath/Portret%20van%20Clementia%20Hiers%20%28Hendrik%20De%20Pondt%2C%201878%29.jpg" TargetMode="External"/><Relationship Id="rId1186" Type="http://schemas.openxmlformats.org/officeDocument/2006/relationships/hyperlink" Target="http://www.wikidata.org/entity/Q115819088" TargetMode="External"/><Relationship Id="rId4210" Type="http://schemas.openxmlformats.org/officeDocument/2006/relationships/hyperlink" Target="http://www.wikidata.org/entity/Q64302" TargetMode="External"/><Relationship Id="rId598" Type="http://schemas.openxmlformats.org/officeDocument/2006/relationships/hyperlink" Target="http://www.wikidata.org/entity/Q110039159" TargetMode="External"/><Relationship Id="rId1187" Type="http://schemas.openxmlformats.org/officeDocument/2006/relationships/hyperlink" Target="http://www.wikidata.org/entity/Q114371470" TargetMode="External"/><Relationship Id="rId4213" Type="http://schemas.openxmlformats.org/officeDocument/2006/relationships/hyperlink" Target="http://www.wikidata.org/entity/Q64302" TargetMode="External"/><Relationship Id="rId597" Type="http://schemas.openxmlformats.org/officeDocument/2006/relationships/hyperlink" Target="http://www.wikidata.org/entity/Q1162163" TargetMode="External"/><Relationship Id="rId1188" Type="http://schemas.openxmlformats.org/officeDocument/2006/relationships/hyperlink" Target="http://www.wikidata.org/entity/Q113925472" TargetMode="External"/><Relationship Id="rId4212" Type="http://schemas.openxmlformats.org/officeDocument/2006/relationships/hyperlink" Target="http://commons.wikimedia.org/wiki/Special:FilePath/%D0%A0%D0%B8%D1%85%D0%B0%D1%80%D0%B4%20%D0%90%D0%BD%D0%B4%D1%80%D0%B5.jpg" TargetMode="External"/><Relationship Id="rId596" Type="http://schemas.openxmlformats.org/officeDocument/2006/relationships/hyperlink" Target="http://www.wikidata.org/entity/Q115831509" TargetMode="External"/><Relationship Id="rId1189" Type="http://schemas.openxmlformats.org/officeDocument/2006/relationships/hyperlink" Target="http://www.wikidata.org/entity/Q2251335" TargetMode="External"/><Relationship Id="rId4215" Type="http://schemas.openxmlformats.org/officeDocument/2006/relationships/hyperlink" Target="http://commons.wikimedia.org/wiki/Special:FilePath/%D0%A0%D0%B8%D1%85%D0%B0%D1%80%D0%B4%20%D0%90%D0%BD%D0%B4%D1%80%D0%B5.jpg" TargetMode="External"/><Relationship Id="rId595" Type="http://schemas.openxmlformats.org/officeDocument/2006/relationships/hyperlink" Target="http://www.wikidata.org/entity/Q955464" TargetMode="External"/><Relationship Id="rId4214" Type="http://schemas.openxmlformats.org/officeDocument/2006/relationships/hyperlink" Target="http://www.wikidata.org/entity/Q12347522" TargetMode="External"/><Relationship Id="rId1136" Type="http://schemas.openxmlformats.org/officeDocument/2006/relationships/hyperlink" Target="http://www.wikidata.org/entity/Q1753370" TargetMode="External"/><Relationship Id="rId2467" Type="http://schemas.openxmlformats.org/officeDocument/2006/relationships/hyperlink" Target="http://commons.wikimedia.org/wiki/Special:FilePath/%28Baumg1889%29%20Bernard%20Bernard%20%28Kathol.%20Missionar%20auf%20Island%29.jpg" TargetMode="External"/><Relationship Id="rId3799" Type="http://schemas.openxmlformats.org/officeDocument/2006/relationships/hyperlink" Target="http://www.wikidata.org/entity/Q116508674" TargetMode="External"/><Relationship Id="rId1137" Type="http://schemas.openxmlformats.org/officeDocument/2006/relationships/hyperlink" Target="http://www.wikidata.org/entity/Q111744944" TargetMode="External"/><Relationship Id="rId2468" Type="http://schemas.openxmlformats.org/officeDocument/2006/relationships/hyperlink" Target="http://www.wikidata.org/entity/Q115852702" TargetMode="External"/><Relationship Id="rId3798" Type="http://schemas.openxmlformats.org/officeDocument/2006/relationships/hyperlink" Target="http://www.wikidata.org/entity/Q175151" TargetMode="External"/><Relationship Id="rId1138" Type="http://schemas.openxmlformats.org/officeDocument/2006/relationships/hyperlink" Target="http://www.wikidata.org/entity/Q2516866" TargetMode="External"/><Relationship Id="rId2469" Type="http://schemas.openxmlformats.org/officeDocument/2006/relationships/hyperlink" Target="http://www.wikidata.org/entity/Q37226" TargetMode="External"/><Relationship Id="rId1139" Type="http://schemas.openxmlformats.org/officeDocument/2006/relationships/hyperlink" Target="http://www.wikidata.org/entity/Q37766220" TargetMode="External"/><Relationship Id="rId547" Type="http://schemas.openxmlformats.org/officeDocument/2006/relationships/hyperlink" Target="http://www.wikidata.org/entity/Q115813641" TargetMode="External"/><Relationship Id="rId546" Type="http://schemas.openxmlformats.org/officeDocument/2006/relationships/hyperlink" Target="http://www.wikidata.org/entity/Q955464" TargetMode="External"/><Relationship Id="rId545" Type="http://schemas.openxmlformats.org/officeDocument/2006/relationships/hyperlink" Target="http://www.wikidata.org/entity/Q115813641" TargetMode="External"/><Relationship Id="rId544" Type="http://schemas.openxmlformats.org/officeDocument/2006/relationships/hyperlink" Target="http://www.wikidata.org/entity/Q49757" TargetMode="External"/><Relationship Id="rId549" Type="http://schemas.openxmlformats.org/officeDocument/2006/relationships/hyperlink" Target="http://www.wikidata.org/entity/Q37793252" TargetMode="External"/><Relationship Id="rId548" Type="http://schemas.openxmlformats.org/officeDocument/2006/relationships/hyperlink" Target="http://www.wikidata.org/entity/Q250867" TargetMode="External"/><Relationship Id="rId3791" Type="http://schemas.openxmlformats.org/officeDocument/2006/relationships/hyperlink" Target="http://www.wikidata.org/entity/Q115981938" TargetMode="External"/><Relationship Id="rId2460" Type="http://schemas.openxmlformats.org/officeDocument/2006/relationships/hyperlink" Target="http://www.wikidata.org/entity/Q2675588" TargetMode="External"/><Relationship Id="rId3790" Type="http://schemas.openxmlformats.org/officeDocument/2006/relationships/hyperlink" Target="http://www.wikidata.org/entity/Q333634" TargetMode="External"/><Relationship Id="rId1130" Type="http://schemas.openxmlformats.org/officeDocument/2006/relationships/hyperlink" Target="http://www.wikidata.org/entity/Q42603" TargetMode="External"/><Relationship Id="rId2461" Type="http://schemas.openxmlformats.org/officeDocument/2006/relationships/hyperlink" Target="http://www.wikidata.org/entity/Q36834" TargetMode="External"/><Relationship Id="rId3793" Type="http://schemas.openxmlformats.org/officeDocument/2006/relationships/hyperlink" Target="http://www.wikidata.org/entity/Q115842281" TargetMode="External"/><Relationship Id="rId1131" Type="http://schemas.openxmlformats.org/officeDocument/2006/relationships/hyperlink" Target="http://www.wikidata.org/entity/Q101627274" TargetMode="External"/><Relationship Id="rId2462" Type="http://schemas.openxmlformats.org/officeDocument/2006/relationships/hyperlink" Target="http://www.wikidata.org/entity/Q1149378" TargetMode="External"/><Relationship Id="rId3792" Type="http://schemas.openxmlformats.org/officeDocument/2006/relationships/hyperlink" Target="http://www.wikidata.org/entity/Q42603" TargetMode="External"/><Relationship Id="rId543" Type="http://schemas.openxmlformats.org/officeDocument/2006/relationships/hyperlink" Target="http://www.wikidata.org/entity/Q113681935" TargetMode="External"/><Relationship Id="rId1132" Type="http://schemas.openxmlformats.org/officeDocument/2006/relationships/hyperlink" Target="http://www.wikidata.org/entity/Q1469535" TargetMode="External"/><Relationship Id="rId2463" Type="http://schemas.openxmlformats.org/officeDocument/2006/relationships/hyperlink" Target="http://www.wikidata.org/entity/Q333634" TargetMode="External"/><Relationship Id="rId3795" Type="http://schemas.openxmlformats.org/officeDocument/2006/relationships/hyperlink" Target="http://www.wikidata.org/entity/Q118733026" TargetMode="External"/><Relationship Id="rId542" Type="http://schemas.openxmlformats.org/officeDocument/2006/relationships/hyperlink" Target="http://www.wikidata.org/entity/Q36180" TargetMode="External"/><Relationship Id="rId1133" Type="http://schemas.openxmlformats.org/officeDocument/2006/relationships/hyperlink" Target="http://www.wikidata.org/entity/Q111744944" TargetMode="External"/><Relationship Id="rId2464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3794" Type="http://schemas.openxmlformats.org/officeDocument/2006/relationships/hyperlink" Target="http://www.wikidata.org/entity/Q114371470" TargetMode="External"/><Relationship Id="rId541" Type="http://schemas.openxmlformats.org/officeDocument/2006/relationships/hyperlink" Target="http://www.wikidata.org/entity/Q113681935" TargetMode="External"/><Relationship Id="rId1134" Type="http://schemas.openxmlformats.org/officeDocument/2006/relationships/hyperlink" Target="http://www.wikidata.org/entity/Q175151" TargetMode="External"/><Relationship Id="rId2465" Type="http://schemas.openxmlformats.org/officeDocument/2006/relationships/hyperlink" Target="http://www.wikidata.org/entity/Q822307" TargetMode="External"/><Relationship Id="rId3797" Type="http://schemas.openxmlformats.org/officeDocument/2006/relationships/hyperlink" Target="http://www.wikidata.org/entity/Q120248482" TargetMode="External"/><Relationship Id="rId540" Type="http://schemas.openxmlformats.org/officeDocument/2006/relationships/hyperlink" Target="http://www.wikidata.org/entity/Q49757" TargetMode="External"/><Relationship Id="rId1135" Type="http://schemas.openxmlformats.org/officeDocument/2006/relationships/hyperlink" Target="http://www.wikidata.org/entity/Q101627274" TargetMode="External"/><Relationship Id="rId2466" Type="http://schemas.openxmlformats.org/officeDocument/2006/relationships/hyperlink" Target="http://www.wikidata.org/entity/Q1234713" TargetMode="External"/><Relationship Id="rId3796" Type="http://schemas.openxmlformats.org/officeDocument/2006/relationships/hyperlink" Target="http://www.wikidata.org/entity/Q2251335" TargetMode="External"/><Relationship Id="rId1125" Type="http://schemas.openxmlformats.org/officeDocument/2006/relationships/hyperlink" Target="http://www.wikidata.org/entity/Q115813025" TargetMode="External"/><Relationship Id="rId2456" Type="http://schemas.openxmlformats.org/officeDocument/2006/relationships/hyperlink" Target="http://commons.wikimedia.org/wiki/Special:FilePath/Frederick%20William%20Faber.jpg" TargetMode="External"/><Relationship Id="rId3788" Type="http://schemas.openxmlformats.org/officeDocument/2006/relationships/hyperlink" Target="http://www.wikidata.org/entity/Q1753370" TargetMode="External"/><Relationship Id="rId1126" Type="http://schemas.openxmlformats.org/officeDocument/2006/relationships/hyperlink" Target="http://www.wikidata.org/entity/Q40348" TargetMode="External"/><Relationship Id="rId2457" Type="http://schemas.openxmlformats.org/officeDocument/2006/relationships/hyperlink" Target="http://www.wikidata.org/entity/Q1149378" TargetMode="External"/><Relationship Id="rId3787" Type="http://schemas.openxmlformats.org/officeDocument/2006/relationships/hyperlink" Target="http://www.wikidata.org/entity/Q120556534" TargetMode="External"/><Relationship Id="rId1127" Type="http://schemas.openxmlformats.org/officeDocument/2006/relationships/hyperlink" Target="http://www.wikidata.org/entity/Q114081509" TargetMode="External"/><Relationship Id="rId2458" Type="http://schemas.openxmlformats.org/officeDocument/2006/relationships/hyperlink" Target="http://www.wikidata.org/entity/Q3243461" TargetMode="External"/><Relationship Id="rId1128" Type="http://schemas.openxmlformats.org/officeDocument/2006/relationships/hyperlink" Target="http://www.wikidata.org/entity/Q189010" TargetMode="External"/><Relationship Id="rId2459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3789" Type="http://schemas.openxmlformats.org/officeDocument/2006/relationships/hyperlink" Target="http://www.wikidata.org/entity/Q116510998" TargetMode="External"/><Relationship Id="rId1129" Type="http://schemas.openxmlformats.org/officeDocument/2006/relationships/hyperlink" Target="http://www.wikidata.org/entity/Q115814591" TargetMode="External"/><Relationship Id="rId536" Type="http://schemas.openxmlformats.org/officeDocument/2006/relationships/hyperlink" Target="http://www.wikidata.org/entity/Q21550468" TargetMode="External"/><Relationship Id="rId535" Type="http://schemas.openxmlformats.org/officeDocument/2006/relationships/hyperlink" Target="http://www.wikidata.org/entity/Q22002048" TargetMode="External"/><Relationship Id="rId534" Type="http://schemas.openxmlformats.org/officeDocument/2006/relationships/hyperlink" Target="http://www.wikidata.org/entity/Q2251335" TargetMode="External"/><Relationship Id="rId533" Type="http://schemas.openxmlformats.org/officeDocument/2006/relationships/hyperlink" Target="http://www.wikidata.org/entity/Q115809464" TargetMode="External"/><Relationship Id="rId539" Type="http://schemas.openxmlformats.org/officeDocument/2006/relationships/hyperlink" Target="http://www.wikidata.org/entity/Q15627098" TargetMode="External"/><Relationship Id="rId538" Type="http://schemas.openxmlformats.org/officeDocument/2006/relationships/hyperlink" Target="http://www.wikidata.org/entity/Q36180" TargetMode="External"/><Relationship Id="rId537" Type="http://schemas.openxmlformats.org/officeDocument/2006/relationships/hyperlink" Target="http://www.wikidata.org/entity/Q15627098" TargetMode="External"/><Relationship Id="rId3780" Type="http://schemas.openxmlformats.org/officeDocument/2006/relationships/hyperlink" Target="http://www.wikidata.org/entity/Q1622272" TargetMode="External"/><Relationship Id="rId2450" Type="http://schemas.openxmlformats.org/officeDocument/2006/relationships/hyperlink" Target="http://commons.wikimedia.org/wiki/Special:FilePath/%28Baumg1889%29%20Bernard%20Bernard%20%28Kathol.%20Missionar%20auf%20Island%29.jpg" TargetMode="External"/><Relationship Id="rId3782" Type="http://schemas.openxmlformats.org/officeDocument/2006/relationships/hyperlink" Target="http://www.wikidata.org/entity/Q1776501" TargetMode="External"/><Relationship Id="rId1120" Type="http://schemas.openxmlformats.org/officeDocument/2006/relationships/hyperlink" Target="http://www.wikidata.org/entity/Q40348" TargetMode="External"/><Relationship Id="rId2451" Type="http://schemas.openxmlformats.org/officeDocument/2006/relationships/hyperlink" Target="http://www.wikidata.org/entity/Q18655152" TargetMode="External"/><Relationship Id="rId3781" Type="http://schemas.openxmlformats.org/officeDocument/2006/relationships/hyperlink" Target="http://www.wikidata.org/entity/Q122833200" TargetMode="External"/><Relationship Id="rId532" Type="http://schemas.openxmlformats.org/officeDocument/2006/relationships/hyperlink" Target="http://www.wikidata.org/entity/Q1595570" TargetMode="External"/><Relationship Id="rId1121" Type="http://schemas.openxmlformats.org/officeDocument/2006/relationships/hyperlink" Target="http://www.wikidata.org/entity/Q56036059" TargetMode="External"/><Relationship Id="rId2452" Type="http://schemas.openxmlformats.org/officeDocument/2006/relationships/hyperlink" Target="http://www.wikidata.org/entity/Q2516866" TargetMode="External"/><Relationship Id="rId3784" Type="http://schemas.openxmlformats.org/officeDocument/2006/relationships/hyperlink" Target="http://www.wikidata.org/entity/Q33231" TargetMode="External"/><Relationship Id="rId531" Type="http://schemas.openxmlformats.org/officeDocument/2006/relationships/hyperlink" Target="http://www.wikidata.org/entity/Q37793252" TargetMode="External"/><Relationship Id="rId1122" Type="http://schemas.openxmlformats.org/officeDocument/2006/relationships/hyperlink" Target="http://www.wikidata.org/entity/Q36180" TargetMode="External"/><Relationship Id="rId2453" Type="http://schemas.openxmlformats.org/officeDocument/2006/relationships/hyperlink" Target="http://commons.wikimedia.org/wiki/Special:FilePath/NapoleonDePauw.jpg" TargetMode="External"/><Relationship Id="rId3783" Type="http://schemas.openxmlformats.org/officeDocument/2006/relationships/hyperlink" Target="http://www.wikidata.org/entity/Q120550899" TargetMode="External"/><Relationship Id="rId530" Type="http://schemas.openxmlformats.org/officeDocument/2006/relationships/hyperlink" Target="http://www.wikidata.org/entity/Q114371470" TargetMode="External"/><Relationship Id="rId1123" Type="http://schemas.openxmlformats.org/officeDocument/2006/relationships/hyperlink" Target="http://www.wikidata.org/entity/Q56036064" TargetMode="External"/><Relationship Id="rId2454" Type="http://schemas.openxmlformats.org/officeDocument/2006/relationships/hyperlink" Target="http://www.wikidata.org/entity/Q1286149" TargetMode="External"/><Relationship Id="rId3786" Type="http://schemas.openxmlformats.org/officeDocument/2006/relationships/hyperlink" Target="http://www.wikidata.org/entity/Q82955" TargetMode="External"/><Relationship Id="rId1124" Type="http://schemas.openxmlformats.org/officeDocument/2006/relationships/hyperlink" Target="http://www.wikidata.org/entity/Q36180" TargetMode="External"/><Relationship Id="rId2455" Type="http://schemas.openxmlformats.org/officeDocument/2006/relationships/hyperlink" Target="http://www.wikidata.org/entity/Q1234713" TargetMode="External"/><Relationship Id="rId3785" Type="http://schemas.openxmlformats.org/officeDocument/2006/relationships/hyperlink" Target="http://www.wikidata.org/entity/Q120920666" TargetMode="External"/><Relationship Id="rId1158" Type="http://schemas.openxmlformats.org/officeDocument/2006/relationships/hyperlink" Target="http://www.wikidata.org/entity/Q883211" TargetMode="External"/><Relationship Id="rId2489" Type="http://schemas.openxmlformats.org/officeDocument/2006/relationships/hyperlink" Target="http://www.wikidata.org/entity/Q955464" TargetMode="External"/><Relationship Id="rId1159" Type="http://schemas.openxmlformats.org/officeDocument/2006/relationships/hyperlink" Target="http://www.wikidata.org/entity/Q37766220" TargetMode="External"/><Relationship Id="rId569" Type="http://schemas.openxmlformats.org/officeDocument/2006/relationships/hyperlink" Target="http://www.wikidata.org/entity/Q86735347" TargetMode="External"/><Relationship Id="rId568" Type="http://schemas.openxmlformats.org/officeDocument/2006/relationships/hyperlink" Target="http://www.wikidata.org/entity/Q955464" TargetMode="External"/><Relationship Id="rId567" Type="http://schemas.openxmlformats.org/officeDocument/2006/relationships/hyperlink" Target="http://www.wikidata.org/entity/Q110039159" TargetMode="External"/><Relationship Id="rId566" Type="http://schemas.openxmlformats.org/officeDocument/2006/relationships/hyperlink" Target="http://www.wikidata.org/entity/Q250867" TargetMode="External"/><Relationship Id="rId2480" Type="http://schemas.openxmlformats.org/officeDocument/2006/relationships/hyperlink" Target="http://www.wikidata.org/entity/Q115811038" TargetMode="External"/><Relationship Id="rId561" Type="http://schemas.openxmlformats.org/officeDocument/2006/relationships/hyperlink" Target="http://www.wikidata.org/entity/Q115813641" TargetMode="External"/><Relationship Id="rId1150" Type="http://schemas.openxmlformats.org/officeDocument/2006/relationships/hyperlink" Target="http://www.wikidata.org/entity/Q250867" TargetMode="External"/><Relationship Id="rId2481" Type="http://schemas.openxmlformats.org/officeDocument/2006/relationships/hyperlink" Target="http://www.wikidata.org/entity/Q250867" TargetMode="External"/><Relationship Id="rId560" Type="http://schemas.openxmlformats.org/officeDocument/2006/relationships/hyperlink" Target="http://www.wikidata.org/entity/Q1072363" TargetMode="External"/><Relationship Id="rId1151" Type="http://schemas.openxmlformats.org/officeDocument/2006/relationships/hyperlink" Target="http://www.wikidata.org/entity/Q42196616" TargetMode="External"/><Relationship Id="rId2482" Type="http://schemas.openxmlformats.org/officeDocument/2006/relationships/hyperlink" Target="http://www.wikidata.org/entity/Q115811334" TargetMode="External"/><Relationship Id="rId1152" Type="http://schemas.openxmlformats.org/officeDocument/2006/relationships/hyperlink" Target="http://www.wikidata.org/entity/Q2251335" TargetMode="External"/><Relationship Id="rId2483" Type="http://schemas.openxmlformats.org/officeDocument/2006/relationships/hyperlink" Target="http://www.wikidata.org/entity/Q250867" TargetMode="External"/><Relationship Id="rId1153" Type="http://schemas.openxmlformats.org/officeDocument/2006/relationships/hyperlink" Target="http://www.wikidata.org/entity/Q115818009" TargetMode="External"/><Relationship Id="rId2484" Type="http://schemas.openxmlformats.org/officeDocument/2006/relationships/hyperlink" Target="http://www.wikidata.org/entity/Q115811038" TargetMode="External"/><Relationship Id="rId565" Type="http://schemas.openxmlformats.org/officeDocument/2006/relationships/hyperlink" Target="http://www.wikidata.org/entity/Q115818649" TargetMode="External"/><Relationship Id="rId1154" Type="http://schemas.openxmlformats.org/officeDocument/2006/relationships/hyperlink" Target="http://www.wikidata.org/entity/Q45684" TargetMode="External"/><Relationship Id="rId2485" Type="http://schemas.openxmlformats.org/officeDocument/2006/relationships/hyperlink" Target="http://www.wikidata.org/entity/Q2251335" TargetMode="External"/><Relationship Id="rId564" Type="http://schemas.openxmlformats.org/officeDocument/2006/relationships/hyperlink" Target="http://www.wikidata.org/entity/Q955464" TargetMode="External"/><Relationship Id="rId1155" Type="http://schemas.openxmlformats.org/officeDocument/2006/relationships/hyperlink" Target="http://www.wikidata.org/entity/Q37766220" TargetMode="External"/><Relationship Id="rId2486" Type="http://schemas.openxmlformats.org/officeDocument/2006/relationships/hyperlink" Target="http://www.wikidata.org/entity/Q115811334" TargetMode="External"/><Relationship Id="rId563" Type="http://schemas.openxmlformats.org/officeDocument/2006/relationships/hyperlink" Target="http://www.wikidata.org/entity/Q115819139" TargetMode="External"/><Relationship Id="rId1156" Type="http://schemas.openxmlformats.org/officeDocument/2006/relationships/hyperlink" Target="http://www.wikidata.org/entity/Q6673651" TargetMode="External"/><Relationship Id="rId2487" Type="http://schemas.openxmlformats.org/officeDocument/2006/relationships/hyperlink" Target="http://www.wikidata.org/entity/Q2251335" TargetMode="External"/><Relationship Id="rId562" Type="http://schemas.openxmlformats.org/officeDocument/2006/relationships/hyperlink" Target="http://www.wikidata.org/entity/Q2251335" TargetMode="External"/><Relationship Id="rId1157" Type="http://schemas.openxmlformats.org/officeDocument/2006/relationships/hyperlink" Target="http://www.wikidata.org/entity/Q37766220" TargetMode="External"/><Relationship Id="rId2488" Type="http://schemas.openxmlformats.org/officeDocument/2006/relationships/hyperlink" Target="http://www.wikidata.org/entity/Q115815697" TargetMode="External"/><Relationship Id="rId1147" Type="http://schemas.openxmlformats.org/officeDocument/2006/relationships/hyperlink" Target="http://www.wikidata.org/entity/Q42196616" TargetMode="External"/><Relationship Id="rId2478" Type="http://schemas.openxmlformats.org/officeDocument/2006/relationships/hyperlink" Target="http://www.wikidata.org/entity/Q115806479" TargetMode="External"/><Relationship Id="rId1148" Type="http://schemas.openxmlformats.org/officeDocument/2006/relationships/hyperlink" Target="http://www.wikidata.org/entity/Q333634" TargetMode="External"/><Relationship Id="rId2479" Type="http://schemas.openxmlformats.org/officeDocument/2006/relationships/hyperlink" Target="http://www.wikidata.org/entity/Q2251335" TargetMode="External"/><Relationship Id="rId1149" Type="http://schemas.openxmlformats.org/officeDocument/2006/relationships/hyperlink" Target="http://www.wikidata.org/entity/Q42196616" TargetMode="External"/><Relationship Id="rId558" Type="http://schemas.openxmlformats.org/officeDocument/2006/relationships/hyperlink" Target="http://www.wikidata.org/entity/Q955464" TargetMode="External"/><Relationship Id="rId557" Type="http://schemas.openxmlformats.org/officeDocument/2006/relationships/hyperlink" Target="http://www.wikidata.org/entity/Q115818649" TargetMode="External"/><Relationship Id="rId556" Type="http://schemas.openxmlformats.org/officeDocument/2006/relationships/hyperlink" Target="http://www.wikidata.org/entity/Q250867" TargetMode="External"/><Relationship Id="rId555" Type="http://schemas.openxmlformats.org/officeDocument/2006/relationships/hyperlink" Target="http://www.wikidata.org/entity/Q115816445" TargetMode="External"/><Relationship Id="rId559" Type="http://schemas.openxmlformats.org/officeDocument/2006/relationships/hyperlink" Target="http://www.wikidata.org/entity/Q115818649" TargetMode="External"/><Relationship Id="rId550" Type="http://schemas.openxmlformats.org/officeDocument/2006/relationships/hyperlink" Target="http://www.wikidata.org/entity/Q3075052" TargetMode="External"/><Relationship Id="rId2470" Type="http://schemas.openxmlformats.org/officeDocument/2006/relationships/hyperlink" Target="http://www.wikidata.org/entity/Q115806479" TargetMode="External"/><Relationship Id="rId1140" Type="http://schemas.openxmlformats.org/officeDocument/2006/relationships/hyperlink" Target="http://www.wikidata.org/entity/Q201788" TargetMode="External"/><Relationship Id="rId2471" Type="http://schemas.openxmlformats.org/officeDocument/2006/relationships/hyperlink" Target="http://www.wikidata.org/entity/Q955464" TargetMode="External"/><Relationship Id="rId1141" Type="http://schemas.openxmlformats.org/officeDocument/2006/relationships/hyperlink" Target="http://www.wikidata.org/entity/Q110039260" TargetMode="External"/><Relationship Id="rId2472" Type="http://schemas.openxmlformats.org/officeDocument/2006/relationships/hyperlink" Target="http://www.wikidata.org/entity/Q115811038" TargetMode="External"/><Relationship Id="rId1142" Type="http://schemas.openxmlformats.org/officeDocument/2006/relationships/hyperlink" Target="http://www.wikidata.org/entity/Q49757" TargetMode="External"/><Relationship Id="rId2473" Type="http://schemas.openxmlformats.org/officeDocument/2006/relationships/hyperlink" Target="http://www.wikidata.org/entity/Q955464" TargetMode="External"/><Relationship Id="rId554" Type="http://schemas.openxmlformats.org/officeDocument/2006/relationships/hyperlink" Target="http://www.wikidata.org/entity/Q219477" TargetMode="External"/><Relationship Id="rId1143" Type="http://schemas.openxmlformats.org/officeDocument/2006/relationships/hyperlink" Target="http://www.wikidata.org/entity/Q110039180" TargetMode="External"/><Relationship Id="rId2474" Type="http://schemas.openxmlformats.org/officeDocument/2006/relationships/hyperlink" Target="http://www.wikidata.org/entity/Q115811334" TargetMode="External"/><Relationship Id="rId553" Type="http://schemas.openxmlformats.org/officeDocument/2006/relationships/hyperlink" Target="http://www.wikidata.org/entity/Q115816445" TargetMode="External"/><Relationship Id="rId1144" Type="http://schemas.openxmlformats.org/officeDocument/2006/relationships/hyperlink" Target="http://www.wikidata.org/entity/Q42603" TargetMode="External"/><Relationship Id="rId2475" Type="http://schemas.openxmlformats.org/officeDocument/2006/relationships/hyperlink" Target="http://www.wikidata.org/entity/Q955464" TargetMode="External"/><Relationship Id="rId552" Type="http://schemas.openxmlformats.org/officeDocument/2006/relationships/hyperlink" Target="http://www.wikidata.org/entity/Q25434898" TargetMode="External"/><Relationship Id="rId1145" Type="http://schemas.openxmlformats.org/officeDocument/2006/relationships/hyperlink" Target="http://www.wikidata.org/entity/Q111744944" TargetMode="External"/><Relationship Id="rId2476" Type="http://schemas.openxmlformats.org/officeDocument/2006/relationships/hyperlink" Target="http://www.wikidata.org/entity/Q115811334" TargetMode="External"/><Relationship Id="rId551" Type="http://schemas.openxmlformats.org/officeDocument/2006/relationships/hyperlink" Target="http://www.wikidata.org/entity/Q22002048" TargetMode="External"/><Relationship Id="rId1146" Type="http://schemas.openxmlformats.org/officeDocument/2006/relationships/hyperlink" Target="http://www.wikidata.org/entity/Q998550" TargetMode="External"/><Relationship Id="rId2477" Type="http://schemas.openxmlformats.org/officeDocument/2006/relationships/hyperlink" Target="http://www.wikidata.org/entity/Q1072363" TargetMode="External"/><Relationship Id="rId4280" Type="http://schemas.openxmlformats.org/officeDocument/2006/relationships/hyperlink" Target="http://commons.wikimedia.org/wiki/Special:FilePath/Membres%20du%20Minist%C3%A8re%20%28Delcour%29.jpg" TargetMode="External"/><Relationship Id="rId4282" Type="http://schemas.openxmlformats.org/officeDocument/2006/relationships/hyperlink" Target="http://www.wikidata.org/entity/Q32391314" TargetMode="External"/><Relationship Id="rId4281" Type="http://schemas.openxmlformats.org/officeDocument/2006/relationships/hyperlink" Target="http://www.wikidata.org/entity/Q2715338" TargetMode="External"/><Relationship Id="rId4284" Type="http://schemas.openxmlformats.org/officeDocument/2006/relationships/hyperlink" Target="http://www.wikidata.org/entity/Q3421496" TargetMode="External"/><Relationship Id="rId4283" Type="http://schemas.openxmlformats.org/officeDocument/2006/relationships/hyperlink" Target="http://commons.wikimedia.org/wiki/Special:FilePath/Membres%20du%20Minist%C3%A8re%20%28Delcour%29.jpg" TargetMode="External"/><Relationship Id="rId4286" Type="http://schemas.openxmlformats.org/officeDocument/2006/relationships/hyperlink" Target="http://commons.wikimedia.org/wiki/Special:FilePath/Amaat%20Vyncke.jpg" TargetMode="External"/><Relationship Id="rId4285" Type="http://schemas.openxmlformats.org/officeDocument/2006/relationships/hyperlink" Target="http://www.wikidata.org/entity/Q2251335" TargetMode="External"/><Relationship Id="rId4288" Type="http://schemas.openxmlformats.org/officeDocument/2006/relationships/hyperlink" Target="http://www.wikidata.org/entity/Q435940" TargetMode="External"/><Relationship Id="rId4287" Type="http://schemas.openxmlformats.org/officeDocument/2006/relationships/hyperlink" Target="http://www.wikidata.org/entity/Q3421496" TargetMode="External"/><Relationship Id="rId4289" Type="http://schemas.openxmlformats.org/officeDocument/2006/relationships/hyperlink" Target="http://commons.wikimedia.org/wiki/Special:FilePath/Amaat%20Vyncke.jpg" TargetMode="External"/><Relationship Id="rId4271" Type="http://schemas.openxmlformats.org/officeDocument/2006/relationships/hyperlink" Target="http://commons.wikimedia.org/wiki/Special:FilePath/Weekblad%20Pallieter%20-%20voorpagina%201924%2023%20baron%20ruzette.jpg" TargetMode="External"/><Relationship Id="rId4270" Type="http://schemas.openxmlformats.org/officeDocument/2006/relationships/hyperlink" Target="http://www.wikidata.org/entity/Q40348" TargetMode="External"/><Relationship Id="rId4273" Type="http://schemas.openxmlformats.org/officeDocument/2006/relationships/hyperlink" Target="http://www.wikidata.org/entity/Q114371470" TargetMode="External"/><Relationship Id="rId4272" Type="http://schemas.openxmlformats.org/officeDocument/2006/relationships/hyperlink" Target="http://www.wikidata.org/entity/Q3421496" TargetMode="External"/><Relationship Id="rId4275" Type="http://schemas.openxmlformats.org/officeDocument/2006/relationships/hyperlink" Target="http://www.wikidata.org/entity/Q2715338" TargetMode="External"/><Relationship Id="rId4274" Type="http://schemas.openxmlformats.org/officeDocument/2006/relationships/hyperlink" Target="http://commons.wikimedia.org/wiki/Special:FilePath/Amaat%20Vyncke.jpg" TargetMode="External"/><Relationship Id="rId4277" Type="http://schemas.openxmlformats.org/officeDocument/2006/relationships/hyperlink" Target="http://commons.wikimedia.org/wiki/Special:FilePath/Membres%20du%20Minist%C3%A8re%20%28Delcour%29.jpg" TargetMode="External"/><Relationship Id="rId4276" Type="http://schemas.openxmlformats.org/officeDocument/2006/relationships/hyperlink" Target="http://www.wikidata.org/entity/Q40348" TargetMode="External"/><Relationship Id="rId4279" Type="http://schemas.openxmlformats.org/officeDocument/2006/relationships/hyperlink" Target="http://www.wikidata.org/entity/Q11827483" TargetMode="External"/><Relationship Id="rId4278" Type="http://schemas.openxmlformats.org/officeDocument/2006/relationships/hyperlink" Target="http://www.wikidata.org/entity/Q2715338" TargetMode="External"/><Relationship Id="rId4291" Type="http://schemas.openxmlformats.org/officeDocument/2006/relationships/hyperlink" Target="http://www.wikidata.org/entity/Q1753370" TargetMode="External"/><Relationship Id="rId4290" Type="http://schemas.openxmlformats.org/officeDocument/2006/relationships/hyperlink" Target="http://www.wikidata.org/entity/Q3421496" TargetMode="External"/><Relationship Id="rId4293" Type="http://schemas.openxmlformats.org/officeDocument/2006/relationships/hyperlink" Target="http://www.wikidata.org/entity/Q3421496" TargetMode="External"/><Relationship Id="rId4292" Type="http://schemas.openxmlformats.org/officeDocument/2006/relationships/hyperlink" Target="http://commons.wikimedia.org/wiki/Special:FilePath/Amaat%20Vyncke.jpg" TargetMode="External"/><Relationship Id="rId4295" Type="http://schemas.openxmlformats.org/officeDocument/2006/relationships/hyperlink" Target="http://commons.wikimedia.org/wiki/Special:FilePath/Amaat%20Vyncke.jpg" TargetMode="External"/><Relationship Id="rId4294" Type="http://schemas.openxmlformats.org/officeDocument/2006/relationships/hyperlink" Target="http://www.wikidata.org/entity/Q219477" TargetMode="External"/><Relationship Id="rId4297" Type="http://schemas.openxmlformats.org/officeDocument/2006/relationships/hyperlink" Target="http://www.wikidata.org/entity/Q250867" TargetMode="External"/><Relationship Id="rId4296" Type="http://schemas.openxmlformats.org/officeDocument/2006/relationships/hyperlink" Target="http://www.wikidata.org/entity/Q3421496" TargetMode="External"/><Relationship Id="rId4299" Type="http://schemas.openxmlformats.org/officeDocument/2006/relationships/hyperlink" Target="http://www.wikidata.org/entity/Q3421496" TargetMode="External"/><Relationship Id="rId4298" Type="http://schemas.openxmlformats.org/officeDocument/2006/relationships/hyperlink" Target="http://commons.wikimedia.org/wiki/Special:FilePath/Amaat%20Vyncke.jpg" TargetMode="External"/><Relationship Id="rId4249" Type="http://schemas.openxmlformats.org/officeDocument/2006/relationships/hyperlink" Target="http://www.wikidata.org/entity/Q1104153" TargetMode="External"/><Relationship Id="rId4240" Type="http://schemas.openxmlformats.org/officeDocument/2006/relationships/hyperlink" Target="http://www.wikidata.org/entity/Q1162163" TargetMode="External"/><Relationship Id="rId4242" Type="http://schemas.openxmlformats.org/officeDocument/2006/relationships/hyperlink" Target="http://www.wikidata.org/entity/Q2424814" TargetMode="External"/><Relationship Id="rId4241" Type="http://schemas.openxmlformats.org/officeDocument/2006/relationships/hyperlink" Target="http://commons.wikimedia.org/wiki/Special:FilePath/Jan%20Baptist%20David%20-%20lithograph%20by%20Louis%20Tuerlinckx.jpg" TargetMode="External"/><Relationship Id="rId4244" Type="http://schemas.openxmlformats.org/officeDocument/2006/relationships/hyperlink" Target="http://commons.wikimedia.org/wiki/Special:FilePath/Jan%20Baptist%20David%20-%20lithograph%20by%20Louis%20Tuerlinckx.jpg" TargetMode="External"/><Relationship Id="rId4243" Type="http://schemas.openxmlformats.org/officeDocument/2006/relationships/hyperlink" Target="http://www.wikidata.org/entity/Q201788" TargetMode="External"/><Relationship Id="rId4246" Type="http://schemas.openxmlformats.org/officeDocument/2006/relationships/hyperlink" Target="http://www.wikidata.org/entity/Q2251335" TargetMode="External"/><Relationship Id="rId4245" Type="http://schemas.openxmlformats.org/officeDocument/2006/relationships/hyperlink" Target="http://www.wikidata.org/entity/Q2424814" TargetMode="External"/><Relationship Id="rId4248" Type="http://schemas.openxmlformats.org/officeDocument/2006/relationships/hyperlink" Target="http://www.wikidata.org/entity/Q2424814" TargetMode="External"/><Relationship Id="rId4247" Type="http://schemas.openxmlformats.org/officeDocument/2006/relationships/hyperlink" Target="http://commons.wikimedia.org/wiki/Special:FilePath/Jan%20Baptist%20David%20-%20lithograph%20by%20Louis%20Tuerlinckx.jpg" TargetMode="External"/><Relationship Id="rId4239" Type="http://schemas.openxmlformats.org/officeDocument/2006/relationships/hyperlink" Target="http://www.wikidata.org/entity/Q2424814" TargetMode="External"/><Relationship Id="rId4238" Type="http://schemas.openxmlformats.org/officeDocument/2006/relationships/hyperlink" Target="http://commons.wikimedia.org/wiki/Special:FilePath/Jan%20Baptist%20David%20-%20lithograph%20by%20Louis%20Tuerlinckx.jpg" TargetMode="External"/><Relationship Id="rId495" Type="http://schemas.openxmlformats.org/officeDocument/2006/relationships/hyperlink" Target="http://www.wikidata.org/entity/Q2159132" TargetMode="External"/><Relationship Id="rId4231" Type="http://schemas.openxmlformats.org/officeDocument/2006/relationships/hyperlink" Target="http://www.wikidata.org/entity/Q1734662" TargetMode="External"/><Relationship Id="rId494" Type="http://schemas.openxmlformats.org/officeDocument/2006/relationships/hyperlink" Target="http://www.wikidata.org/entity/Q1402736" TargetMode="External"/><Relationship Id="rId4230" Type="http://schemas.openxmlformats.org/officeDocument/2006/relationships/hyperlink" Target="http://www.wikidata.org/entity/Q64302" TargetMode="External"/><Relationship Id="rId493" Type="http://schemas.openxmlformats.org/officeDocument/2006/relationships/hyperlink" Target="http://www.wikidata.org/entity/Q21549953" TargetMode="External"/><Relationship Id="rId4233" Type="http://schemas.openxmlformats.org/officeDocument/2006/relationships/hyperlink" Target="http://www.wikidata.org/entity/Q2424814" TargetMode="External"/><Relationship Id="rId492" Type="http://schemas.openxmlformats.org/officeDocument/2006/relationships/hyperlink" Target="http://commons.wikimedia.org/wiki/Special:FilePath/James%20Weale.jpg" TargetMode="External"/><Relationship Id="rId4232" Type="http://schemas.openxmlformats.org/officeDocument/2006/relationships/hyperlink" Target="http://commons.wikimedia.org/wiki/Special:FilePath/%D0%A0%D0%B8%D1%85%D0%B0%D1%80%D0%B4%20%D0%90%D0%BD%D0%B4%D1%80%D0%B5.jpg" TargetMode="External"/><Relationship Id="rId499" Type="http://schemas.openxmlformats.org/officeDocument/2006/relationships/hyperlink" Target="http://www.wikidata.org/entity/Q780596" TargetMode="External"/><Relationship Id="rId4235" Type="http://schemas.openxmlformats.org/officeDocument/2006/relationships/hyperlink" Target="http://commons.wikimedia.org/wiki/Special:FilePath/Jan%20Baptist%20David%20-%20lithograph%20by%20Louis%20Tuerlinckx.jpg" TargetMode="External"/><Relationship Id="rId498" Type="http://schemas.openxmlformats.org/officeDocument/2006/relationships/hyperlink" Target="http://www.wikidata.org/entity/Q2062803" TargetMode="External"/><Relationship Id="rId4234" Type="http://schemas.openxmlformats.org/officeDocument/2006/relationships/hyperlink" Target="http://www.wikidata.org/entity/Q1622272" TargetMode="External"/><Relationship Id="rId497" Type="http://schemas.openxmlformats.org/officeDocument/2006/relationships/hyperlink" Target="http://commons.wikimedia.org/wiki/Special:FilePath/Pieter%20Lansens.jpg" TargetMode="External"/><Relationship Id="rId4237" Type="http://schemas.openxmlformats.org/officeDocument/2006/relationships/hyperlink" Target="http://www.wikidata.org/entity/Q82955" TargetMode="External"/><Relationship Id="rId496" Type="http://schemas.openxmlformats.org/officeDocument/2006/relationships/hyperlink" Target="http://www.wikidata.org/entity/Q201788" TargetMode="External"/><Relationship Id="rId4236" Type="http://schemas.openxmlformats.org/officeDocument/2006/relationships/hyperlink" Target="http://www.wikidata.org/entity/Q2424814" TargetMode="External"/><Relationship Id="rId4260" Type="http://schemas.openxmlformats.org/officeDocument/2006/relationships/hyperlink" Target="http://www.wikidata.org/entity/Q2424814" TargetMode="External"/><Relationship Id="rId4262" Type="http://schemas.openxmlformats.org/officeDocument/2006/relationships/hyperlink" Target="http://commons.wikimedia.org/wiki/Special:FilePath/Jan%20Baptist%20David%20-%20lithograph%20by%20Louis%20Tuerlinckx.jpg" TargetMode="External"/><Relationship Id="rId4261" Type="http://schemas.openxmlformats.org/officeDocument/2006/relationships/hyperlink" Target="http://www.wikidata.org/entity/Q250867" TargetMode="External"/><Relationship Id="rId4264" Type="http://schemas.openxmlformats.org/officeDocument/2006/relationships/hyperlink" Target="http://www.wikidata.org/entity/Q82955" TargetMode="External"/><Relationship Id="rId4263" Type="http://schemas.openxmlformats.org/officeDocument/2006/relationships/hyperlink" Target="http://www.wikidata.org/entity/Q2832059" TargetMode="External"/><Relationship Id="rId4266" Type="http://schemas.openxmlformats.org/officeDocument/2006/relationships/hyperlink" Target="http://www.wikidata.org/entity/Q2715338" TargetMode="External"/><Relationship Id="rId4265" Type="http://schemas.openxmlformats.org/officeDocument/2006/relationships/hyperlink" Target="http://commons.wikimedia.org/wiki/Special:FilePath/Weekblad%20Pallieter%20-%20voorpagina%201924%2023%20baron%20ruzette.jpg" TargetMode="External"/><Relationship Id="rId4268" Type="http://schemas.openxmlformats.org/officeDocument/2006/relationships/hyperlink" Target="http://commons.wikimedia.org/wiki/Special:FilePath/Membres%20du%20Minist%C3%A8re%20%28Delcour%29.jpg" TargetMode="External"/><Relationship Id="rId4267" Type="http://schemas.openxmlformats.org/officeDocument/2006/relationships/hyperlink" Target="http://www.wikidata.org/entity/Q82955" TargetMode="External"/><Relationship Id="rId4269" Type="http://schemas.openxmlformats.org/officeDocument/2006/relationships/hyperlink" Target="http://www.wikidata.org/entity/Q2832059" TargetMode="External"/><Relationship Id="rId4251" Type="http://schemas.openxmlformats.org/officeDocument/2006/relationships/hyperlink" Target="http://www.wikidata.org/entity/Q2424814" TargetMode="External"/><Relationship Id="rId4250" Type="http://schemas.openxmlformats.org/officeDocument/2006/relationships/hyperlink" Target="http://commons.wikimedia.org/wiki/Special:FilePath/Jan%20Baptist%20David%20-%20lithograph%20by%20Louis%20Tuerlinckx.jpg" TargetMode="External"/><Relationship Id="rId4253" Type="http://schemas.openxmlformats.org/officeDocument/2006/relationships/hyperlink" Target="http://commons.wikimedia.org/wiki/Special:FilePath/Jan%20Baptist%20David%20-%20lithograph%20by%20Louis%20Tuerlinckx.jpg" TargetMode="External"/><Relationship Id="rId4252" Type="http://schemas.openxmlformats.org/officeDocument/2006/relationships/hyperlink" Target="http://www.wikidata.org/entity/Q118395622" TargetMode="External"/><Relationship Id="rId4255" Type="http://schemas.openxmlformats.org/officeDocument/2006/relationships/hyperlink" Target="http://www.wikidata.org/entity/Q1056391" TargetMode="External"/><Relationship Id="rId4254" Type="http://schemas.openxmlformats.org/officeDocument/2006/relationships/hyperlink" Target="http://www.wikidata.org/entity/Q2424814" TargetMode="External"/><Relationship Id="rId4257" Type="http://schemas.openxmlformats.org/officeDocument/2006/relationships/hyperlink" Target="http://www.wikidata.org/entity/Q2424814" TargetMode="External"/><Relationship Id="rId4256" Type="http://schemas.openxmlformats.org/officeDocument/2006/relationships/hyperlink" Target="http://commons.wikimedia.org/wiki/Special:FilePath/Jan%20Baptist%20David%20-%20lithograph%20by%20Louis%20Tuerlinckx.jpg" TargetMode="External"/><Relationship Id="rId4259" Type="http://schemas.openxmlformats.org/officeDocument/2006/relationships/hyperlink" Target="http://commons.wikimedia.org/wiki/Special:FilePath/Jan%20Baptist%20David%20-%20lithograph%20by%20Louis%20Tuerlinckx.jpg" TargetMode="External"/><Relationship Id="rId4258" Type="http://schemas.openxmlformats.org/officeDocument/2006/relationships/hyperlink" Target="http://www.wikidata.org/entity/Q14467526" TargetMode="External"/><Relationship Id="rId3810" Type="http://schemas.openxmlformats.org/officeDocument/2006/relationships/hyperlink" Target="http://www.wikidata.org/entity/Q250867" TargetMode="External"/><Relationship Id="rId3812" Type="http://schemas.openxmlformats.org/officeDocument/2006/relationships/hyperlink" Target="http://www.wikidata.org/entity/Q3704253" TargetMode="External"/><Relationship Id="rId3811" Type="http://schemas.openxmlformats.org/officeDocument/2006/relationships/hyperlink" Target="http://www.wikidata.org/entity/Q120248482" TargetMode="External"/><Relationship Id="rId3814" Type="http://schemas.openxmlformats.org/officeDocument/2006/relationships/hyperlink" Target="http://www.wikidata.org/entity/Q1072363" TargetMode="External"/><Relationship Id="rId3813" Type="http://schemas.openxmlformats.org/officeDocument/2006/relationships/hyperlink" Target="http://www.wikidata.org/entity/Q116620739" TargetMode="External"/><Relationship Id="rId3816" Type="http://schemas.openxmlformats.org/officeDocument/2006/relationships/hyperlink" Target="http://www.wikidata.org/entity/Q2251335" TargetMode="External"/><Relationship Id="rId3815" Type="http://schemas.openxmlformats.org/officeDocument/2006/relationships/hyperlink" Target="http://www.wikidata.org/entity/Q115840234" TargetMode="External"/><Relationship Id="rId3818" Type="http://schemas.openxmlformats.org/officeDocument/2006/relationships/hyperlink" Target="http://www.wikidata.org/entity/Q219477" TargetMode="External"/><Relationship Id="rId3817" Type="http://schemas.openxmlformats.org/officeDocument/2006/relationships/hyperlink" Target="http://www.wikidata.org/entity/Q115842281" TargetMode="External"/><Relationship Id="rId3819" Type="http://schemas.openxmlformats.org/officeDocument/2006/relationships/hyperlink" Target="http://www.wikidata.org/entity/Q115842281" TargetMode="External"/><Relationship Id="rId3801" Type="http://schemas.openxmlformats.org/officeDocument/2006/relationships/hyperlink" Target="http://www.wikidata.org/entity/Q118136722" TargetMode="External"/><Relationship Id="rId3800" Type="http://schemas.openxmlformats.org/officeDocument/2006/relationships/hyperlink" Target="http://commons.wikimedia.org/wiki/Special:FilePath/Foto%20Savina%20Van%20Caloen.tif" TargetMode="External"/><Relationship Id="rId3803" Type="http://schemas.openxmlformats.org/officeDocument/2006/relationships/hyperlink" Target="http://www.wikidata.org/entity/Q115839946" TargetMode="External"/><Relationship Id="rId3802" Type="http://schemas.openxmlformats.org/officeDocument/2006/relationships/hyperlink" Target="http://www.wikidata.org/entity/Q1753370" TargetMode="External"/><Relationship Id="rId3805" Type="http://schemas.openxmlformats.org/officeDocument/2006/relationships/hyperlink" Target="http://www.wikidata.org/entity/Q115840234" TargetMode="External"/><Relationship Id="rId3804" Type="http://schemas.openxmlformats.org/officeDocument/2006/relationships/hyperlink" Target="http://www.wikidata.org/entity/Q955464" TargetMode="External"/><Relationship Id="rId3807" Type="http://schemas.openxmlformats.org/officeDocument/2006/relationships/hyperlink" Target="http://www.wikidata.org/entity/Q120248482" TargetMode="External"/><Relationship Id="rId3806" Type="http://schemas.openxmlformats.org/officeDocument/2006/relationships/hyperlink" Target="http://www.wikidata.org/entity/Q1162163" TargetMode="External"/><Relationship Id="rId3809" Type="http://schemas.openxmlformats.org/officeDocument/2006/relationships/hyperlink" Target="http://www.wikidata.org/entity/Q115839946" TargetMode="External"/><Relationship Id="rId3808" Type="http://schemas.openxmlformats.org/officeDocument/2006/relationships/hyperlink" Target="http://www.wikidata.org/entity/Q329439" TargetMode="External"/><Relationship Id="rId1213" Type="http://schemas.openxmlformats.org/officeDocument/2006/relationships/hyperlink" Target="http://www.wikidata.org/entity/Q115823355" TargetMode="External"/><Relationship Id="rId2544" Type="http://schemas.openxmlformats.org/officeDocument/2006/relationships/hyperlink" Target="http://www.wikidata.org/entity/Q2251335" TargetMode="External"/><Relationship Id="rId3876" Type="http://schemas.openxmlformats.org/officeDocument/2006/relationships/hyperlink" Target="http://www.wikidata.org/entity/Q147618" TargetMode="External"/><Relationship Id="rId1214" Type="http://schemas.openxmlformats.org/officeDocument/2006/relationships/hyperlink" Target="http://www.wikidata.org/entity/Q250867" TargetMode="External"/><Relationship Id="rId2545" Type="http://schemas.openxmlformats.org/officeDocument/2006/relationships/hyperlink" Target="http://www.wikidata.org/entity/Q75320316" TargetMode="External"/><Relationship Id="rId3875" Type="http://schemas.openxmlformats.org/officeDocument/2006/relationships/hyperlink" Target="http://www.wikidata.org/entity/Q116621552" TargetMode="External"/><Relationship Id="rId1215" Type="http://schemas.openxmlformats.org/officeDocument/2006/relationships/hyperlink" Target="http://www.wikidata.org/entity/Q113731929" TargetMode="External"/><Relationship Id="rId2546" Type="http://schemas.openxmlformats.org/officeDocument/2006/relationships/hyperlink" Target="http://commons.wikimedia.org/wiki/Special:FilePath/Foto%20Mary%20Clifford.jpg" TargetMode="External"/><Relationship Id="rId3878" Type="http://schemas.openxmlformats.org/officeDocument/2006/relationships/hyperlink" Target="http://www.wikidata.org/entity/Q118733026" TargetMode="External"/><Relationship Id="rId1216" Type="http://schemas.openxmlformats.org/officeDocument/2006/relationships/hyperlink" Target="http://www.wikidata.org/entity/Q250867" TargetMode="External"/><Relationship Id="rId2547" Type="http://schemas.openxmlformats.org/officeDocument/2006/relationships/hyperlink" Target="http://www.wikidata.org/entity/Q115831039" TargetMode="External"/><Relationship Id="rId3877" Type="http://schemas.openxmlformats.org/officeDocument/2006/relationships/hyperlink" Target="http://commons.wikimedia.org/wiki/Special:FilePath/Doodsprentje%20Mathilde%20Catteeuw.tif" TargetMode="External"/><Relationship Id="rId1217" Type="http://schemas.openxmlformats.org/officeDocument/2006/relationships/hyperlink" Target="http://www.wikidata.org/entity/Q23895006" TargetMode="External"/><Relationship Id="rId2548" Type="http://schemas.openxmlformats.org/officeDocument/2006/relationships/hyperlink" Target="http://www.wikidata.org/entity/Q250867" TargetMode="External"/><Relationship Id="rId1218" Type="http://schemas.openxmlformats.org/officeDocument/2006/relationships/hyperlink" Target="http://www.wikidata.org/entity/Q36180" TargetMode="External"/><Relationship Id="rId2549" Type="http://schemas.openxmlformats.org/officeDocument/2006/relationships/hyperlink" Target="http://www.wikidata.org/entity/Q115815697" TargetMode="External"/><Relationship Id="rId3879" Type="http://schemas.openxmlformats.org/officeDocument/2006/relationships/hyperlink" Target="http://www.wikidata.org/entity/Q42603" TargetMode="External"/><Relationship Id="rId1219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3870" Type="http://schemas.openxmlformats.org/officeDocument/2006/relationships/hyperlink" Target="http://www.wikidata.org/entity/Q191808" TargetMode="External"/><Relationship Id="rId2540" Type="http://schemas.openxmlformats.org/officeDocument/2006/relationships/hyperlink" Target="http://www.wikidata.org/entity/Q2251335" TargetMode="External"/><Relationship Id="rId3872" Type="http://schemas.openxmlformats.org/officeDocument/2006/relationships/hyperlink" Target="http://www.wikidata.org/entity/Q36180" TargetMode="External"/><Relationship Id="rId1210" Type="http://schemas.openxmlformats.org/officeDocument/2006/relationships/hyperlink" Target="http://www.wikidata.org/entity/Q955464" TargetMode="External"/><Relationship Id="rId2541" Type="http://schemas.openxmlformats.org/officeDocument/2006/relationships/hyperlink" Target="http://www.wikidata.org/entity/Q115839965" TargetMode="External"/><Relationship Id="rId3871" Type="http://schemas.openxmlformats.org/officeDocument/2006/relationships/hyperlink" Target="http://www.wikidata.org/entity/Q118733026" TargetMode="External"/><Relationship Id="rId1211" Type="http://schemas.openxmlformats.org/officeDocument/2006/relationships/hyperlink" Target="http://www.wikidata.org/entity/Q115819088" TargetMode="External"/><Relationship Id="rId2542" Type="http://schemas.openxmlformats.org/officeDocument/2006/relationships/hyperlink" Target="http://www.wikidata.org/entity/Q114371470" TargetMode="External"/><Relationship Id="rId3874" Type="http://schemas.openxmlformats.org/officeDocument/2006/relationships/hyperlink" Target="http://www.wikidata.org/entity/Q49757" TargetMode="External"/><Relationship Id="rId1212" Type="http://schemas.openxmlformats.org/officeDocument/2006/relationships/hyperlink" Target="http://www.wikidata.org/entity/Q2251335" TargetMode="External"/><Relationship Id="rId2543" Type="http://schemas.openxmlformats.org/officeDocument/2006/relationships/hyperlink" Target="http://www.wikidata.org/entity/Q87648661" TargetMode="External"/><Relationship Id="rId3873" Type="http://schemas.openxmlformats.org/officeDocument/2006/relationships/hyperlink" Target="http://www.wikidata.org/entity/Q118733026" TargetMode="External"/><Relationship Id="rId1202" Type="http://schemas.openxmlformats.org/officeDocument/2006/relationships/hyperlink" Target="http://www.wikidata.org/entity/Q1056391" TargetMode="External"/><Relationship Id="rId2533" Type="http://schemas.openxmlformats.org/officeDocument/2006/relationships/hyperlink" Target="http://www.wikidata.org/entity/Q115831039" TargetMode="External"/><Relationship Id="rId3865" Type="http://schemas.openxmlformats.org/officeDocument/2006/relationships/hyperlink" Target="http://www.wikidata.org/entity/Q120550899" TargetMode="External"/><Relationship Id="rId1203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534" Type="http://schemas.openxmlformats.org/officeDocument/2006/relationships/hyperlink" Target="http://www.wikidata.org/entity/Q118732656" TargetMode="External"/><Relationship Id="rId3864" Type="http://schemas.openxmlformats.org/officeDocument/2006/relationships/hyperlink" Target="http://www.wikidata.org/entity/Q483501" TargetMode="External"/><Relationship Id="rId1204" Type="http://schemas.openxmlformats.org/officeDocument/2006/relationships/hyperlink" Target="http://www.wikidata.org/entity/Q115819088" TargetMode="External"/><Relationship Id="rId2535" Type="http://schemas.openxmlformats.org/officeDocument/2006/relationships/hyperlink" Target="http://www.wikidata.org/entity/Q115825992" TargetMode="External"/><Relationship Id="rId3867" Type="http://schemas.openxmlformats.org/officeDocument/2006/relationships/hyperlink" Target="http://www.wikidata.org/entity/Q120550899" TargetMode="External"/><Relationship Id="rId1205" Type="http://schemas.openxmlformats.org/officeDocument/2006/relationships/hyperlink" Target="http://www.wikidata.org/entity/Q250867" TargetMode="External"/><Relationship Id="rId2536" Type="http://schemas.openxmlformats.org/officeDocument/2006/relationships/hyperlink" Target="http://www.wikidata.org/entity/Q2251335" TargetMode="External"/><Relationship Id="rId3866" Type="http://schemas.openxmlformats.org/officeDocument/2006/relationships/hyperlink" Target="http://www.wikidata.org/entity/Q1028181" TargetMode="External"/><Relationship Id="rId1206" Type="http://schemas.openxmlformats.org/officeDocument/2006/relationships/hyperlink" Target="http://www.wikidata.org/entity/Q23895006" TargetMode="External"/><Relationship Id="rId2537" Type="http://schemas.openxmlformats.org/officeDocument/2006/relationships/hyperlink" Target="http://www.wikidata.org/entity/Q115838249" TargetMode="External"/><Relationship Id="rId3869" Type="http://schemas.openxmlformats.org/officeDocument/2006/relationships/hyperlink" Target="http://www.wikidata.org/entity/Q122791049" TargetMode="External"/><Relationship Id="rId1207" Type="http://schemas.openxmlformats.org/officeDocument/2006/relationships/hyperlink" Target="http://www.wikidata.org/entity/Q250867" TargetMode="External"/><Relationship Id="rId2538" Type="http://schemas.openxmlformats.org/officeDocument/2006/relationships/hyperlink" Target="http://www.wikidata.org/entity/Q114371470" TargetMode="External"/><Relationship Id="rId3868" Type="http://schemas.openxmlformats.org/officeDocument/2006/relationships/hyperlink" Target="http://www.wikidata.org/entity/Q1281618" TargetMode="External"/><Relationship Id="rId1208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539" Type="http://schemas.openxmlformats.org/officeDocument/2006/relationships/hyperlink" Target="http://www.wikidata.org/entity/Q55420570" TargetMode="External"/><Relationship Id="rId1209" Type="http://schemas.openxmlformats.org/officeDocument/2006/relationships/hyperlink" Target="http://www.wikidata.org/entity/Q115823355" TargetMode="External"/><Relationship Id="rId3861" Type="http://schemas.openxmlformats.org/officeDocument/2006/relationships/hyperlink" Target="http://www.wikidata.org/entity/Q120855316" TargetMode="External"/><Relationship Id="rId2530" Type="http://schemas.openxmlformats.org/officeDocument/2006/relationships/hyperlink" Target="http://www.wikidata.org/entity/Q635734" TargetMode="External"/><Relationship Id="rId3860" Type="http://schemas.openxmlformats.org/officeDocument/2006/relationships/hyperlink" Target="http://www.wikidata.org/entity/Q806798" TargetMode="External"/><Relationship Id="rId1200" Type="http://schemas.openxmlformats.org/officeDocument/2006/relationships/hyperlink" Target="http://www.wikidata.org/entity/Q955464" TargetMode="External"/><Relationship Id="rId2531" Type="http://schemas.openxmlformats.org/officeDocument/2006/relationships/hyperlink" Target="http://www.wikidata.org/entity/Q115826199" TargetMode="External"/><Relationship Id="rId3863" Type="http://schemas.openxmlformats.org/officeDocument/2006/relationships/hyperlink" Target="http://www.wikidata.org/entity/Q120550899" TargetMode="External"/><Relationship Id="rId1201" Type="http://schemas.openxmlformats.org/officeDocument/2006/relationships/hyperlink" Target="http://www.wikidata.org/entity/Q23895006" TargetMode="External"/><Relationship Id="rId2532" Type="http://schemas.openxmlformats.org/officeDocument/2006/relationships/hyperlink" Target="http://www.wikidata.org/entity/Q2516866" TargetMode="External"/><Relationship Id="rId3862" Type="http://schemas.openxmlformats.org/officeDocument/2006/relationships/hyperlink" Target="http://www.wikidata.org/entity/Q1930187" TargetMode="External"/><Relationship Id="rId1235" Type="http://schemas.openxmlformats.org/officeDocument/2006/relationships/hyperlink" Target="http://www.wikidata.org/entity/Q329737" TargetMode="External"/><Relationship Id="rId2566" Type="http://schemas.openxmlformats.org/officeDocument/2006/relationships/hyperlink" Target="http://www.wikidata.org/entity/Q1753370" TargetMode="External"/><Relationship Id="rId3898" Type="http://schemas.openxmlformats.org/officeDocument/2006/relationships/hyperlink" Target="http://www.wikidata.org/entity/Q250867" TargetMode="External"/><Relationship Id="rId1236" Type="http://schemas.openxmlformats.org/officeDocument/2006/relationships/hyperlink" Target="http://www.wikidata.org/entity/Q115818861" TargetMode="External"/><Relationship Id="rId2567" Type="http://schemas.openxmlformats.org/officeDocument/2006/relationships/hyperlink" Target="http://www.wikidata.org/entity/Q110039170" TargetMode="External"/><Relationship Id="rId3897" Type="http://schemas.openxmlformats.org/officeDocument/2006/relationships/hyperlink" Target="http://www.wikidata.org/entity/Q120999228" TargetMode="External"/><Relationship Id="rId1237" Type="http://schemas.openxmlformats.org/officeDocument/2006/relationships/hyperlink" Target="http://www.wikidata.org/entity/Q1469535" TargetMode="External"/><Relationship Id="rId2568" Type="http://schemas.openxmlformats.org/officeDocument/2006/relationships/hyperlink" Target="http://www.wikidata.org/entity/Q1753370" TargetMode="External"/><Relationship Id="rId1238" Type="http://schemas.openxmlformats.org/officeDocument/2006/relationships/hyperlink" Target="http://www.wikidata.org/entity/Q115830433" TargetMode="External"/><Relationship Id="rId2569" Type="http://schemas.openxmlformats.org/officeDocument/2006/relationships/hyperlink" Target="http://www.wikidata.org/entity/Q115818849" TargetMode="External"/><Relationship Id="rId3899" Type="http://schemas.openxmlformats.org/officeDocument/2006/relationships/hyperlink" Target="http://www.wikidata.org/entity/Q116508871" TargetMode="External"/><Relationship Id="rId1239" Type="http://schemas.openxmlformats.org/officeDocument/2006/relationships/hyperlink" Target="http://www.wikidata.org/entity/Q1622272" TargetMode="External"/><Relationship Id="rId409" Type="http://schemas.openxmlformats.org/officeDocument/2006/relationships/hyperlink" Target="http://www.wikidata.org/entity/Q14101076" TargetMode="External"/><Relationship Id="rId404" Type="http://schemas.openxmlformats.org/officeDocument/2006/relationships/hyperlink" Target="http://www.wikidata.org/entity/Q1622272" TargetMode="External"/><Relationship Id="rId403" Type="http://schemas.openxmlformats.org/officeDocument/2006/relationships/hyperlink" Target="http://www.wikidata.org/entity/Q571426" TargetMode="External"/><Relationship Id="rId402" Type="http://schemas.openxmlformats.org/officeDocument/2006/relationships/hyperlink" Target="http://commons.wikimedia.org/wiki/Special:FilePath/James%20Weale.jpg" TargetMode="External"/><Relationship Id="rId401" Type="http://schemas.openxmlformats.org/officeDocument/2006/relationships/hyperlink" Target="http://www.wikidata.org/entity/Q212238" TargetMode="External"/><Relationship Id="rId408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407" Type="http://schemas.openxmlformats.org/officeDocument/2006/relationships/hyperlink" Target="http://www.wikidata.org/entity/Q208762" TargetMode="External"/><Relationship Id="rId406" Type="http://schemas.openxmlformats.org/officeDocument/2006/relationships/hyperlink" Target="http://www.wikidata.org/entity/Q2426280" TargetMode="External"/><Relationship Id="rId405" Type="http://schemas.openxmlformats.org/officeDocument/2006/relationships/hyperlink" Target="http://commons.wikimedia.org/wiki/Special:FilePath/Johan%20Hendrik%20Caspar%20Kern.jpg" TargetMode="External"/><Relationship Id="rId3890" Type="http://schemas.openxmlformats.org/officeDocument/2006/relationships/hyperlink" Target="http://www.wikidata.org/entity/Q115981931" TargetMode="External"/><Relationship Id="rId2560" Type="http://schemas.openxmlformats.org/officeDocument/2006/relationships/hyperlink" Target="http://www.wikidata.org/entity/Q1622272" TargetMode="External"/><Relationship Id="rId3892" Type="http://schemas.openxmlformats.org/officeDocument/2006/relationships/hyperlink" Target="http://www.wikidata.org/entity/Q115981938" TargetMode="External"/><Relationship Id="rId1230" Type="http://schemas.openxmlformats.org/officeDocument/2006/relationships/hyperlink" Target="http://www.wikidata.org/entity/Q115830433" TargetMode="External"/><Relationship Id="rId2561" Type="http://schemas.openxmlformats.org/officeDocument/2006/relationships/hyperlink" Target="http://www.wikidata.org/entity/Q115834690" TargetMode="External"/><Relationship Id="rId3891" Type="http://schemas.openxmlformats.org/officeDocument/2006/relationships/hyperlink" Target="http://www.wikidata.org/entity/Q2251335" TargetMode="External"/><Relationship Id="rId400" Type="http://schemas.openxmlformats.org/officeDocument/2006/relationships/hyperlink" Target="http://www.wikidata.org/entity/Q2062803" TargetMode="External"/><Relationship Id="rId1231" Type="http://schemas.openxmlformats.org/officeDocument/2006/relationships/hyperlink" Target="http://www.wikidata.org/entity/Q1056391" TargetMode="External"/><Relationship Id="rId2562" Type="http://schemas.openxmlformats.org/officeDocument/2006/relationships/hyperlink" Target="http://www.wikidata.org/entity/Q2141193" TargetMode="External"/><Relationship Id="rId3894" Type="http://schemas.openxmlformats.org/officeDocument/2006/relationships/hyperlink" Target="http://www.wikidata.org/entity/Q120164850" TargetMode="External"/><Relationship Id="rId1232" Type="http://schemas.openxmlformats.org/officeDocument/2006/relationships/hyperlink" Target="http://www.wikidata.org/entity/Q115830433" TargetMode="External"/><Relationship Id="rId2563" Type="http://schemas.openxmlformats.org/officeDocument/2006/relationships/hyperlink" Target="http://www.wikidata.org/entity/Q115838249" TargetMode="External"/><Relationship Id="rId3893" Type="http://schemas.openxmlformats.org/officeDocument/2006/relationships/hyperlink" Target="http://www.wikidata.org/entity/Q2251335" TargetMode="External"/><Relationship Id="rId1233" Type="http://schemas.openxmlformats.org/officeDocument/2006/relationships/hyperlink" Target="http://www.wikidata.org/entity/Q250867" TargetMode="External"/><Relationship Id="rId2564" Type="http://schemas.openxmlformats.org/officeDocument/2006/relationships/hyperlink" Target="http://www.wikidata.org/entity/Q955464" TargetMode="External"/><Relationship Id="rId3896" Type="http://schemas.openxmlformats.org/officeDocument/2006/relationships/hyperlink" Target="http://www.wikidata.org/entity/Q37226" TargetMode="External"/><Relationship Id="rId1234" Type="http://schemas.openxmlformats.org/officeDocument/2006/relationships/hyperlink" Target="http://www.wikidata.org/entity/Q62117109" TargetMode="External"/><Relationship Id="rId2565" Type="http://schemas.openxmlformats.org/officeDocument/2006/relationships/hyperlink" Target="http://www.wikidata.org/entity/Q115821481" TargetMode="External"/><Relationship Id="rId3895" Type="http://schemas.openxmlformats.org/officeDocument/2006/relationships/hyperlink" Target="http://www.wikidata.org/entity/Q116522102" TargetMode="External"/><Relationship Id="rId1224" Type="http://schemas.openxmlformats.org/officeDocument/2006/relationships/hyperlink" Target="http://www.wikidata.org/entity/Q113731929" TargetMode="External"/><Relationship Id="rId2555" Type="http://schemas.openxmlformats.org/officeDocument/2006/relationships/hyperlink" Target="http://www.wikidata.org/entity/Q115834690" TargetMode="External"/><Relationship Id="rId3887" Type="http://schemas.openxmlformats.org/officeDocument/2006/relationships/hyperlink" Target="http://www.wikidata.org/entity/Q1056391" TargetMode="External"/><Relationship Id="rId1225" Type="http://schemas.openxmlformats.org/officeDocument/2006/relationships/hyperlink" Target="http://www.wikidata.org/entity/Q2251335" TargetMode="External"/><Relationship Id="rId2556" Type="http://schemas.openxmlformats.org/officeDocument/2006/relationships/hyperlink" Target="http://www.wikidata.org/entity/Q250867" TargetMode="External"/><Relationship Id="rId3886" Type="http://schemas.openxmlformats.org/officeDocument/2006/relationships/hyperlink" Target="http://www.wikidata.org/entity/Q115981938" TargetMode="External"/><Relationship Id="rId1226" Type="http://schemas.openxmlformats.org/officeDocument/2006/relationships/hyperlink" Target="http://www.wikidata.org/entity/Q115827506" TargetMode="External"/><Relationship Id="rId2557" Type="http://schemas.openxmlformats.org/officeDocument/2006/relationships/hyperlink" Target="http://www.wikidata.org/entity/Q115825992" TargetMode="External"/><Relationship Id="rId3889" Type="http://schemas.openxmlformats.org/officeDocument/2006/relationships/hyperlink" Target="http://www.wikidata.org/entity/Q250867" TargetMode="External"/><Relationship Id="rId1227" Type="http://schemas.openxmlformats.org/officeDocument/2006/relationships/hyperlink" Target="http://www.wikidata.org/entity/Q2251335" TargetMode="External"/><Relationship Id="rId2558" Type="http://schemas.openxmlformats.org/officeDocument/2006/relationships/hyperlink" Target="http://www.wikidata.org/entity/Q1657500" TargetMode="External"/><Relationship Id="rId3888" Type="http://schemas.openxmlformats.org/officeDocument/2006/relationships/hyperlink" Target="http://www.wikidata.org/entity/Q115981931" TargetMode="External"/><Relationship Id="rId1228" Type="http://schemas.openxmlformats.org/officeDocument/2006/relationships/hyperlink" Target="http://www.wikidata.org/entity/Q17428533" TargetMode="External"/><Relationship Id="rId2559" Type="http://schemas.openxmlformats.org/officeDocument/2006/relationships/hyperlink" Target="http://www.wikidata.org/entity/Q115834690" TargetMode="External"/><Relationship Id="rId1229" Type="http://schemas.openxmlformats.org/officeDocument/2006/relationships/hyperlink" Target="http://www.wikidata.org/entity/Q82955" TargetMode="External"/><Relationship Id="rId3881" Type="http://schemas.openxmlformats.org/officeDocument/2006/relationships/hyperlink" Target="http://www.wikidata.org/entity/Q955464" TargetMode="External"/><Relationship Id="rId2550" Type="http://schemas.openxmlformats.org/officeDocument/2006/relationships/hyperlink" Target="http://www.wikidata.org/entity/Q1753370" TargetMode="External"/><Relationship Id="rId3880" Type="http://schemas.openxmlformats.org/officeDocument/2006/relationships/hyperlink" Target="http://www.wikidata.org/entity/Q115981931" TargetMode="External"/><Relationship Id="rId1220" Type="http://schemas.openxmlformats.org/officeDocument/2006/relationships/hyperlink" Target="http://www.wikidata.org/entity/Q115827506" TargetMode="External"/><Relationship Id="rId2551" Type="http://schemas.openxmlformats.org/officeDocument/2006/relationships/hyperlink" Target="http://www.wikidata.org/entity/Q87648661" TargetMode="External"/><Relationship Id="rId3883" Type="http://schemas.openxmlformats.org/officeDocument/2006/relationships/hyperlink" Target="http://www.wikidata.org/entity/Q1072363" TargetMode="External"/><Relationship Id="rId1221" Type="http://schemas.openxmlformats.org/officeDocument/2006/relationships/hyperlink" Target="http://www.wikidata.org/entity/Q955464" TargetMode="External"/><Relationship Id="rId2552" Type="http://schemas.openxmlformats.org/officeDocument/2006/relationships/hyperlink" Target="http://www.wikidata.org/entity/Q883211" TargetMode="External"/><Relationship Id="rId3882" Type="http://schemas.openxmlformats.org/officeDocument/2006/relationships/hyperlink" Target="http://www.wikidata.org/entity/Q115981931" TargetMode="External"/><Relationship Id="rId1222" Type="http://schemas.openxmlformats.org/officeDocument/2006/relationships/hyperlink" Target="http://www.wikidata.org/entity/Q115827506" TargetMode="External"/><Relationship Id="rId2553" Type="http://schemas.openxmlformats.org/officeDocument/2006/relationships/hyperlink" Target="http://www.wikidata.org/entity/Q115834690" TargetMode="External"/><Relationship Id="rId3885" Type="http://schemas.openxmlformats.org/officeDocument/2006/relationships/hyperlink" Target="http://www.wikidata.org/entity/Q1056391" TargetMode="External"/><Relationship Id="rId1223" Type="http://schemas.openxmlformats.org/officeDocument/2006/relationships/hyperlink" Target="http://www.wikidata.org/entity/Q250867" TargetMode="External"/><Relationship Id="rId2554" Type="http://schemas.openxmlformats.org/officeDocument/2006/relationships/hyperlink" Target="http://www.wikidata.org/entity/Q955464" TargetMode="External"/><Relationship Id="rId3884" Type="http://schemas.openxmlformats.org/officeDocument/2006/relationships/hyperlink" Target="http://www.wikidata.org/entity/Q115981931" TargetMode="External"/><Relationship Id="rId2500" Type="http://schemas.openxmlformats.org/officeDocument/2006/relationships/hyperlink" Target="http://www.wikidata.org/entity/Q115821481" TargetMode="External"/><Relationship Id="rId3832" Type="http://schemas.openxmlformats.org/officeDocument/2006/relationships/hyperlink" Target="http://www.wikidata.org/entity/Q191808" TargetMode="External"/><Relationship Id="rId2501" Type="http://schemas.openxmlformats.org/officeDocument/2006/relationships/hyperlink" Target="http://www.wikidata.org/entity/Q250867" TargetMode="External"/><Relationship Id="rId3831" Type="http://schemas.openxmlformats.org/officeDocument/2006/relationships/hyperlink" Target="http://www.wikidata.org/entity/Q116522102" TargetMode="External"/><Relationship Id="rId2502" Type="http://schemas.openxmlformats.org/officeDocument/2006/relationships/hyperlink" Target="http://www.wikidata.org/entity/Q110039170" TargetMode="External"/><Relationship Id="rId3834" Type="http://schemas.openxmlformats.org/officeDocument/2006/relationships/hyperlink" Target="http://www.wikidata.org/entity/Q7501153" TargetMode="External"/><Relationship Id="rId2503" Type="http://schemas.openxmlformats.org/officeDocument/2006/relationships/hyperlink" Target="http://www.wikidata.org/entity/Q250867" TargetMode="External"/><Relationship Id="rId3833" Type="http://schemas.openxmlformats.org/officeDocument/2006/relationships/hyperlink" Target="http://www.wikidata.org/entity/Q116620937" TargetMode="External"/><Relationship Id="rId2504" Type="http://schemas.openxmlformats.org/officeDocument/2006/relationships/hyperlink" Target="http://www.wikidata.org/entity/Q115822210" TargetMode="External"/><Relationship Id="rId3836" Type="http://schemas.openxmlformats.org/officeDocument/2006/relationships/hyperlink" Target="http://www.wikidata.org/entity/Q1753370" TargetMode="External"/><Relationship Id="rId2505" Type="http://schemas.openxmlformats.org/officeDocument/2006/relationships/hyperlink" Target="http://www.wikidata.org/entity/Q219477" TargetMode="External"/><Relationship Id="rId3835" Type="http://schemas.openxmlformats.org/officeDocument/2006/relationships/hyperlink" Target="http://www.wikidata.org/entity/Q115839946" TargetMode="External"/><Relationship Id="rId2506" Type="http://schemas.openxmlformats.org/officeDocument/2006/relationships/hyperlink" Target="http://www.wikidata.org/entity/Q115806479" TargetMode="External"/><Relationship Id="rId3838" Type="http://schemas.openxmlformats.org/officeDocument/2006/relationships/hyperlink" Target="http://www.wikidata.org/entity/Q1776501" TargetMode="External"/><Relationship Id="rId2507" Type="http://schemas.openxmlformats.org/officeDocument/2006/relationships/hyperlink" Target="http://www.wikidata.org/entity/Q1753370" TargetMode="External"/><Relationship Id="rId3837" Type="http://schemas.openxmlformats.org/officeDocument/2006/relationships/hyperlink" Target="http://www.wikidata.org/entity/Q116620739" TargetMode="External"/><Relationship Id="rId2508" Type="http://schemas.openxmlformats.org/officeDocument/2006/relationships/hyperlink" Target="http://www.wikidata.org/entity/Q115818849" TargetMode="External"/><Relationship Id="rId2509" Type="http://schemas.openxmlformats.org/officeDocument/2006/relationships/hyperlink" Target="http://www.wikidata.org/entity/Q2251335" TargetMode="External"/><Relationship Id="rId3839" Type="http://schemas.openxmlformats.org/officeDocument/2006/relationships/hyperlink" Target="http://www.wikidata.org/entity/Q116522102" TargetMode="External"/><Relationship Id="rId3830" Type="http://schemas.openxmlformats.org/officeDocument/2006/relationships/hyperlink" Target="http://www.wikidata.org/entity/Q191808" TargetMode="External"/><Relationship Id="rId3821" Type="http://schemas.openxmlformats.org/officeDocument/2006/relationships/hyperlink" Target="http://www.wikidata.org/entity/Q115842281" TargetMode="External"/><Relationship Id="rId3820" Type="http://schemas.openxmlformats.org/officeDocument/2006/relationships/hyperlink" Target="http://www.wikidata.org/entity/Q250867" TargetMode="External"/><Relationship Id="rId3823" Type="http://schemas.openxmlformats.org/officeDocument/2006/relationships/hyperlink" Target="http://www.wikidata.org/entity/Q115846413" TargetMode="External"/><Relationship Id="rId3822" Type="http://schemas.openxmlformats.org/officeDocument/2006/relationships/hyperlink" Target="http://www.wikidata.org/entity/Q2251335" TargetMode="External"/><Relationship Id="rId3825" Type="http://schemas.openxmlformats.org/officeDocument/2006/relationships/hyperlink" Target="http://www.wikidata.org/entity/Q115835025" TargetMode="External"/><Relationship Id="rId3824" Type="http://schemas.openxmlformats.org/officeDocument/2006/relationships/hyperlink" Target="http://www.wikidata.org/entity/Q219477" TargetMode="External"/><Relationship Id="rId3827" Type="http://schemas.openxmlformats.org/officeDocument/2006/relationships/hyperlink" Target="http://www.wikidata.org/entity/Q119794240" TargetMode="External"/><Relationship Id="rId3826" Type="http://schemas.openxmlformats.org/officeDocument/2006/relationships/hyperlink" Target="http://www.wikidata.org/entity/Q1776501" TargetMode="External"/><Relationship Id="rId3829" Type="http://schemas.openxmlformats.org/officeDocument/2006/relationships/hyperlink" Target="http://www.wikidata.org/entity/Q116620739" TargetMode="External"/><Relationship Id="rId3828" Type="http://schemas.openxmlformats.org/officeDocument/2006/relationships/hyperlink" Target="http://www.wikidata.org/entity/Q42603" TargetMode="External"/><Relationship Id="rId2522" Type="http://schemas.openxmlformats.org/officeDocument/2006/relationships/hyperlink" Target="http://www.wikidata.org/entity/Q2251335" TargetMode="External"/><Relationship Id="rId3854" Type="http://schemas.openxmlformats.org/officeDocument/2006/relationships/hyperlink" Target="http://www.wikidata.org/entity/Q17303149" TargetMode="External"/><Relationship Id="rId2523" Type="http://schemas.openxmlformats.org/officeDocument/2006/relationships/hyperlink" Target="http://www.wikidata.org/entity/Q115811038" TargetMode="External"/><Relationship Id="rId3853" Type="http://schemas.openxmlformats.org/officeDocument/2006/relationships/hyperlink" Target="http://www.wikidata.org/entity/Q116620937" TargetMode="External"/><Relationship Id="rId2524" Type="http://schemas.openxmlformats.org/officeDocument/2006/relationships/hyperlink" Target="http://www.wikidata.org/entity/Q1753370" TargetMode="External"/><Relationship Id="rId3856" Type="http://schemas.openxmlformats.org/officeDocument/2006/relationships/hyperlink" Target="http://www.wikidata.org/entity/Q21550468" TargetMode="External"/><Relationship Id="rId2525" Type="http://schemas.openxmlformats.org/officeDocument/2006/relationships/hyperlink" Target="http://www.wikidata.org/entity/Q87648661" TargetMode="External"/><Relationship Id="rId3855" Type="http://schemas.openxmlformats.org/officeDocument/2006/relationships/hyperlink" Target="http://www.wikidata.org/entity/Q120248482" TargetMode="External"/><Relationship Id="rId2526" Type="http://schemas.openxmlformats.org/officeDocument/2006/relationships/hyperlink" Target="http://www.wikidata.org/entity/Q201788" TargetMode="External"/><Relationship Id="rId3858" Type="http://schemas.openxmlformats.org/officeDocument/2006/relationships/hyperlink" Target="http://www.wikidata.org/entity/Q212238" TargetMode="External"/><Relationship Id="rId2527" Type="http://schemas.openxmlformats.org/officeDocument/2006/relationships/hyperlink" Target="http://www.wikidata.org/entity/Q115811334" TargetMode="External"/><Relationship Id="rId3857" Type="http://schemas.openxmlformats.org/officeDocument/2006/relationships/hyperlink" Target="http://www.wikidata.org/entity/Q120855316" TargetMode="External"/><Relationship Id="rId2528" Type="http://schemas.openxmlformats.org/officeDocument/2006/relationships/hyperlink" Target="http://www.wikidata.org/entity/Q1753370" TargetMode="External"/><Relationship Id="rId2529" Type="http://schemas.openxmlformats.org/officeDocument/2006/relationships/hyperlink" Target="http://www.wikidata.org/entity/Q87648661" TargetMode="External"/><Relationship Id="rId3859" Type="http://schemas.openxmlformats.org/officeDocument/2006/relationships/hyperlink" Target="http://www.wikidata.org/entity/Q122903266" TargetMode="External"/><Relationship Id="rId3850" Type="http://schemas.openxmlformats.org/officeDocument/2006/relationships/hyperlink" Target="http://www.wikidata.org/entity/Q42603" TargetMode="External"/><Relationship Id="rId2520" Type="http://schemas.openxmlformats.org/officeDocument/2006/relationships/hyperlink" Target="http://www.wikidata.org/entity/Q250867" TargetMode="External"/><Relationship Id="rId3852" Type="http://schemas.openxmlformats.org/officeDocument/2006/relationships/hyperlink" Target="http://www.wikidata.org/entity/Q3029404" TargetMode="External"/><Relationship Id="rId2521" Type="http://schemas.openxmlformats.org/officeDocument/2006/relationships/hyperlink" Target="http://www.wikidata.org/entity/Q110039170" TargetMode="External"/><Relationship Id="rId3851" Type="http://schemas.openxmlformats.org/officeDocument/2006/relationships/hyperlink" Target="http://www.wikidata.org/entity/Q116522102" TargetMode="External"/><Relationship Id="rId2511" Type="http://schemas.openxmlformats.org/officeDocument/2006/relationships/hyperlink" Target="http://www.wikidata.org/entity/Q36834" TargetMode="External"/><Relationship Id="rId3843" Type="http://schemas.openxmlformats.org/officeDocument/2006/relationships/hyperlink" Target="http://www.wikidata.org/entity/Q119040262" TargetMode="External"/><Relationship Id="rId2512" Type="http://schemas.openxmlformats.org/officeDocument/2006/relationships/hyperlink" Target="http://commons.wikimedia.org/wiki/Special:FilePath/Adolf%20Karel%20vader%20Petrus%20moeder%20Carolina%20Verriest%20in%201861.jpg" TargetMode="External"/><Relationship Id="rId3842" Type="http://schemas.openxmlformats.org/officeDocument/2006/relationships/hyperlink" Target="http://www.wikidata.org/entity/Q191808" TargetMode="External"/><Relationship Id="rId2513" Type="http://schemas.openxmlformats.org/officeDocument/2006/relationships/hyperlink" Target="http://www.wikidata.org/entity/Q115826199" TargetMode="External"/><Relationship Id="rId3845" Type="http://schemas.openxmlformats.org/officeDocument/2006/relationships/hyperlink" Target="http://www.wikidata.org/entity/Q120556695" TargetMode="External"/><Relationship Id="rId2514" Type="http://schemas.openxmlformats.org/officeDocument/2006/relationships/hyperlink" Target="http://www.wikidata.org/entity/Q175151" TargetMode="External"/><Relationship Id="rId3844" Type="http://schemas.openxmlformats.org/officeDocument/2006/relationships/hyperlink" Target="http://www.wikidata.org/entity/Q39631" TargetMode="External"/><Relationship Id="rId2515" Type="http://schemas.openxmlformats.org/officeDocument/2006/relationships/hyperlink" Target="http://www.wikidata.org/entity/Q115825992" TargetMode="External"/><Relationship Id="rId3847" Type="http://schemas.openxmlformats.org/officeDocument/2006/relationships/hyperlink" Target="http://www.wikidata.org/entity/Q119041387" TargetMode="External"/><Relationship Id="rId2516" Type="http://schemas.openxmlformats.org/officeDocument/2006/relationships/hyperlink" Target="http://www.wikidata.org/entity/Q955464" TargetMode="External"/><Relationship Id="rId3846" Type="http://schemas.openxmlformats.org/officeDocument/2006/relationships/hyperlink" Target="http://www.wikidata.org/entity/Q36834" TargetMode="External"/><Relationship Id="rId2517" Type="http://schemas.openxmlformats.org/officeDocument/2006/relationships/hyperlink" Target="http://www.wikidata.org/entity/Q115825992" TargetMode="External"/><Relationship Id="rId3849" Type="http://schemas.openxmlformats.org/officeDocument/2006/relationships/hyperlink" Target="http://www.wikidata.org/entity/Q120556534" TargetMode="External"/><Relationship Id="rId2518" Type="http://schemas.openxmlformats.org/officeDocument/2006/relationships/hyperlink" Target="http://www.wikidata.org/entity/Q1056391" TargetMode="External"/><Relationship Id="rId3848" Type="http://schemas.openxmlformats.org/officeDocument/2006/relationships/hyperlink" Target="http://www.wikidata.org/entity/Q39631" TargetMode="External"/><Relationship Id="rId2519" Type="http://schemas.openxmlformats.org/officeDocument/2006/relationships/hyperlink" Target="http://www.wikidata.org/entity/Q115825992" TargetMode="External"/><Relationship Id="rId3841" Type="http://schemas.openxmlformats.org/officeDocument/2006/relationships/hyperlink" Target="http://www.wikidata.org/entity/Q115846413" TargetMode="External"/><Relationship Id="rId2510" Type="http://schemas.openxmlformats.org/officeDocument/2006/relationships/hyperlink" Target="http://www.wikidata.org/entity/Q100534520" TargetMode="External"/><Relationship Id="rId3840" Type="http://schemas.openxmlformats.org/officeDocument/2006/relationships/hyperlink" Target="http://www.wikidata.org/entity/Q1776501" TargetMode="External"/><Relationship Id="rId4327" Type="http://schemas.openxmlformats.org/officeDocument/2006/relationships/hyperlink" Target="http://www.wikidata.org/entity/Q191808" TargetMode="External"/><Relationship Id="rId4326" Type="http://schemas.openxmlformats.org/officeDocument/2006/relationships/hyperlink" Target="http://www.wikidata.org/entity/Q124619468" TargetMode="External"/><Relationship Id="rId4329" Type="http://schemas.openxmlformats.org/officeDocument/2006/relationships/hyperlink" Target="http://www.wikidata.org/entity/Q122971559" TargetMode="External"/><Relationship Id="rId4328" Type="http://schemas.openxmlformats.org/officeDocument/2006/relationships/hyperlink" Target="http://commons.wikimedia.org/wiki/Special:FilePath/Schilderij%20Henri%20Dobbelaere%20Engelendale.jpg" TargetMode="External"/><Relationship Id="rId469" Type="http://schemas.openxmlformats.org/officeDocument/2006/relationships/hyperlink" Target="http://commons.wikimedia.org/wiki/Special:FilePath/Rubio%20i%20ors.jpg" TargetMode="External"/><Relationship Id="rId468" Type="http://schemas.openxmlformats.org/officeDocument/2006/relationships/hyperlink" Target="http://www.wikidata.org/entity/Q201788" TargetMode="External"/><Relationship Id="rId467" Type="http://schemas.openxmlformats.org/officeDocument/2006/relationships/hyperlink" Target="http://www.wikidata.org/entity/Q3067739" TargetMode="External"/><Relationship Id="rId1290" Type="http://schemas.openxmlformats.org/officeDocument/2006/relationships/hyperlink" Target="http://www.wikidata.org/entity/Q250867" TargetMode="External"/><Relationship Id="rId1291" Type="http://schemas.openxmlformats.org/officeDocument/2006/relationships/hyperlink" Target="http://www.wikidata.org/entity/Q56174577" TargetMode="External"/><Relationship Id="rId1292" Type="http://schemas.openxmlformats.org/officeDocument/2006/relationships/hyperlink" Target="http://www.wikidata.org/entity/Q516463" TargetMode="External"/><Relationship Id="rId462" Type="http://schemas.openxmlformats.org/officeDocument/2006/relationships/hyperlink" Target="http://www.wikidata.org/entity/Q2580620" TargetMode="External"/><Relationship Id="rId1293" Type="http://schemas.openxmlformats.org/officeDocument/2006/relationships/hyperlink" Target="http://www.wikidata.org/entity/Q56174577" TargetMode="External"/><Relationship Id="rId461" Type="http://schemas.openxmlformats.org/officeDocument/2006/relationships/hyperlink" Target="http://commons.wikimedia.org/wiki/Special:FilePath/Johan%20Hendrik%20Caspar%20Kern.jpg" TargetMode="External"/><Relationship Id="rId1294" Type="http://schemas.openxmlformats.org/officeDocument/2006/relationships/hyperlink" Target="http://www.wikidata.org/entity/Q1028181" TargetMode="External"/><Relationship Id="rId460" Type="http://schemas.openxmlformats.org/officeDocument/2006/relationships/hyperlink" Target="http://www.wikidata.org/entity/Q1731155" TargetMode="External"/><Relationship Id="rId1295" Type="http://schemas.openxmlformats.org/officeDocument/2006/relationships/hyperlink" Target="http://www.wikidata.org/entity/Q56174577" TargetMode="External"/><Relationship Id="rId4321" Type="http://schemas.openxmlformats.org/officeDocument/2006/relationships/hyperlink" Target="http://www.wikidata.org/entity/Q18120029" TargetMode="External"/><Relationship Id="rId1296" Type="http://schemas.openxmlformats.org/officeDocument/2006/relationships/hyperlink" Target="http://www.wikidata.org/entity/Q2516866" TargetMode="External"/><Relationship Id="rId4320" Type="http://schemas.openxmlformats.org/officeDocument/2006/relationships/hyperlink" Target="http://www.wikidata.org/entity/Q42853596" TargetMode="External"/><Relationship Id="rId466" Type="http://schemas.openxmlformats.org/officeDocument/2006/relationships/hyperlink" Target="http://commons.wikimedia.org/wiki/Special:FilePath/Portret%20van%20Jan%20Nolet%20de%20Brauwere%20van%20Steeland%2C%20RP-P-1906-1206.jpg" TargetMode="External"/><Relationship Id="rId1297" Type="http://schemas.openxmlformats.org/officeDocument/2006/relationships/hyperlink" Target="http://www.wikidata.org/entity/Q13575367" TargetMode="External"/><Relationship Id="rId4323" Type="http://schemas.openxmlformats.org/officeDocument/2006/relationships/hyperlink" Target="http://www.wikidata.org/entity/Q122974430" TargetMode="External"/><Relationship Id="rId465" Type="http://schemas.openxmlformats.org/officeDocument/2006/relationships/hyperlink" Target="http://www.wikidata.org/entity/Q4263842" TargetMode="External"/><Relationship Id="rId1298" Type="http://schemas.openxmlformats.org/officeDocument/2006/relationships/hyperlink" Target="http://www.wikidata.org/entity/Q2251335" TargetMode="External"/><Relationship Id="rId4322" Type="http://schemas.openxmlformats.org/officeDocument/2006/relationships/hyperlink" Target="http://www.wikidata.org/entity/Q122974373" TargetMode="External"/><Relationship Id="rId464" Type="http://schemas.openxmlformats.org/officeDocument/2006/relationships/hyperlink" Target="http://www.wikidata.org/entity/Q329468" TargetMode="External"/><Relationship Id="rId1299" Type="http://schemas.openxmlformats.org/officeDocument/2006/relationships/hyperlink" Target="http://www.wikidata.org/entity/Q115830433" TargetMode="External"/><Relationship Id="rId4325" Type="http://schemas.openxmlformats.org/officeDocument/2006/relationships/hyperlink" Target="http://www.wikidata.org/entity/Q1776501" TargetMode="External"/><Relationship Id="rId463" Type="http://schemas.openxmlformats.org/officeDocument/2006/relationships/hyperlink" Target="http://www.wikidata.org/entity/Q1056391" TargetMode="External"/><Relationship Id="rId4324" Type="http://schemas.openxmlformats.org/officeDocument/2006/relationships/hyperlink" Target="http://www.wikidata.org/entity/Q129121545" TargetMode="External"/><Relationship Id="rId4316" Type="http://schemas.openxmlformats.org/officeDocument/2006/relationships/hyperlink" Target="http://www.wikidata.org/entity/Q42853596" TargetMode="External"/><Relationship Id="rId4315" Type="http://schemas.openxmlformats.org/officeDocument/2006/relationships/hyperlink" Target="http://www.wikidata.org/entity/Q49757" TargetMode="External"/><Relationship Id="rId4318" Type="http://schemas.openxmlformats.org/officeDocument/2006/relationships/hyperlink" Target="http://www.wikidata.org/entity/Q42853596" TargetMode="External"/><Relationship Id="rId4317" Type="http://schemas.openxmlformats.org/officeDocument/2006/relationships/hyperlink" Target="http://www.wikidata.org/entity/Q806798" TargetMode="External"/><Relationship Id="rId4319" Type="http://schemas.openxmlformats.org/officeDocument/2006/relationships/hyperlink" Target="http://www.wikidata.org/entity/Q6051619" TargetMode="External"/><Relationship Id="rId459" Type="http://schemas.openxmlformats.org/officeDocument/2006/relationships/hyperlink" Target="http://www.wikidata.org/entity/Q571426" TargetMode="External"/><Relationship Id="rId458" Type="http://schemas.openxmlformats.org/officeDocument/2006/relationships/hyperlink" Target="http://www.wikidata.org/entity/Q201788" TargetMode="External"/><Relationship Id="rId457" Type="http://schemas.openxmlformats.org/officeDocument/2006/relationships/hyperlink" Target="http://www.wikidata.org/entity/Q2580620" TargetMode="External"/><Relationship Id="rId456" Type="http://schemas.openxmlformats.org/officeDocument/2006/relationships/hyperlink" Target="http://www.wikidata.org/entity/Q182436" TargetMode="External"/><Relationship Id="rId1280" Type="http://schemas.openxmlformats.org/officeDocument/2006/relationships/hyperlink" Target="http://www.wikidata.org/entity/Q189010" TargetMode="External"/><Relationship Id="rId1281" Type="http://schemas.openxmlformats.org/officeDocument/2006/relationships/hyperlink" Target="http://www.wikidata.org/entity/Q115836854" TargetMode="External"/><Relationship Id="rId451" Type="http://schemas.openxmlformats.org/officeDocument/2006/relationships/hyperlink" Target="http://www.wikidata.org/entity/Q1622272" TargetMode="External"/><Relationship Id="rId1282" Type="http://schemas.openxmlformats.org/officeDocument/2006/relationships/hyperlink" Target="http://www.wikidata.org/entity/Q2251335" TargetMode="External"/><Relationship Id="rId450" Type="http://schemas.openxmlformats.org/officeDocument/2006/relationships/hyperlink" Target="http://www.wikidata.org/entity/Q18093100" TargetMode="External"/><Relationship Id="rId1283" Type="http://schemas.openxmlformats.org/officeDocument/2006/relationships/hyperlink" Target="http://www.wikidata.org/entity/Q113731929" TargetMode="External"/><Relationship Id="rId1284" Type="http://schemas.openxmlformats.org/officeDocument/2006/relationships/hyperlink" Target="http://www.wikidata.org/entity/Q1958649" TargetMode="External"/><Relationship Id="rId4310" Type="http://schemas.openxmlformats.org/officeDocument/2006/relationships/hyperlink" Target="http://www.wikidata.org/entity/Q56036025" TargetMode="External"/><Relationship Id="rId1285" Type="http://schemas.openxmlformats.org/officeDocument/2006/relationships/hyperlink" Target="http://www.wikidata.org/entity/Q13575367" TargetMode="External"/><Relationship Id="rId455" Type="http://schemas.openxmlformats.org/officeDocument/2006/relationships/hyperlink" Target="http://www.wikidata.org/entity/Q2580620" TargetMode="External"/><Relationship Id="rId1286" Type="http://schemas.openxmlformats.org/officeDocument/2006/relationships/hyperlink" Target="http://www.wikidata.org/entity/Q955464" TargetMode="External"/><Relationship Id="rId4312" Type="http://schemas.openxmlformats.org/officeDocument/2006/relationships/hyperlink" Target="http://www.wikidata.org/entity/Q56036025" TargetMode="External"/><Relationship Id="rId454" Type="http://schemas.openxmlformats.org/officeDocument/2006/relationships/hyperlink" Target="http://www.wikidata.org/entity/Q998550" TargetMode="External"/><Relationship Id="rId1287" Type="http://schemas.openxmlformats.org/officeDocument/2006/relationships/hyperlink" Target="http://www.wikidata.org/entity/Q115827506" TargetMode="External"/><Relationship Id="rId4311" Type="http://schemas.openxmlformats.org/officeDocument/2006/relationships/hyperlink" Target="http://www.wikidata.org/entity/Q6673651" TargetMode="External"/><Relationship Id="rId453" Type="http://schemas.openxmlformats.org/officeDocument/2006/relationships/hyperlink" Target="http://www.wikidata.org/entity/Q3431564" TargetMode="External"/><Relationship Id="rId1288" Type="http://schemas.openxmlformats.org/officeDocument/2006/relationships/hyperlink" Target="http://www.wikidata.org/entity/Q1753370" TargetMode="External"/><Relationship Id="rId4314" Type="http://schemas.openxmlformats.org/officeDocument/2006/relationships/hyperlink" Target="http://www.wikidata.org/entity/Q56036025" TargetMode="External"/><Relationship Id="rId452" Type="http://schemas.openxmlformats.org/officeDocument/2006/relationships/hyperlink" Target="http://commons.wikimedia.org/wiki/Special:FilePath/WLvanHelten.jpg" TargetMode="External"/><Relationship Id="rId1289" Type="http://schemas.openxmlformats.org/officeDocument/2006/relationships/hyperlink" Target="http://www.wikidata.org/entity/Q13575367" TargetMode="External"/><Relationship Id="rId4313" Type="http://schemas.openxmlformats.org/officeDocument/2006/relationships/hyperlink" Target="http://www.wikidata.org/entity/Q36180" TargetMode="External"/><Relationship Id="rId3018" Type="http://schemas.openxmlformats.org/officeDocument/2006/relationships/hyperlink" Target="http://www.wikidata.org/entity/Q105186" TargetMode="External"/><Relationship Id="rId4349" Type="http://schemas.openxmlformats.org/officeDocument/2006/relationships/hyperlink" Target="http://commons.wikimedia.org/wiki/Special:FilePath/Schilderij%20Henri%20Dobbelaere%20Engelendale.jpg" TargetMode="External"/><Relationship Id="rId3017" Type="http://schemas.openxmlformats.org/officeDocument/2006/relationships/hyperlink" Target="http://www.wikidata.org/entity/Q125535110" TargetMode="External"/><Relationship Id="rId4348" Type="http://schemas.openxmlformats.org/officeDocument/2006/relationships/hyperlink" Target="http://www.wikidata.org/entity/Q1646408" TargetMode="External"/><Relationship Id="rId3019" Type="http://schemas.openxmlformats.org/officeDocument/2006/relationships/hyperlink" Target="http://www.wikidata.org/entity/Q123717111" TargetMode="External"/><Relationship Id="rId491" Type="http://schemas.openxmlformats.org/officeDocument/2006/relationships/hyperlink" Target="http://www.wikidata.org/entity/Q674426" TargetMode="External"/><Relationship Id="rId490" Type="http://schemas.openxmlformats.org/officeDocument/2006/relationships/hyperlink" Target="http://www.wikidata.org/entity/Q2062803" TargetMode="External"/><Relationship Id="rId489" Type="http://schemas.openxmlformats.org/officeDocument/2006/relationships/hyperlink" Target="http://www.wikidata.org/entity/Q49757" TargetMode="External"/><Relationship Id="rId484" Type="http://schemas.openxmlformats.org/officeDocument/2006/relationships/hyperlink" Target="http://www.wikidata.org/entity/Q21549953" TargetMode="External"/><Relationship Id="rId3010" Type="http://schemas.openxmlformats.org/officeDocument/2006/relationships/hyperlink" Target="http://www.wikidata.org/entity/Q115980044" TargetMode="External"/><Relationship Id="rId4341" Type="http://schemas.openxmlformats.org/officeDocument/2006/relationships/hyperlink" Target="http://commons.wikimedia.org/wiki/Special:FilePath/Schilderij%20Henri%20Dobbelaere%20Engelendale.jpg" TargetMode="External"/><Relationship Id="rId483" Type="http://schemas.openxmlformats.org/officeDocument/2006/relationships/hyperlink" Target="http://commons.wikimedia.org/wiki/Special:FilePath/BoekenoogenGJ.jpg" TargetMode="External"/><Relationship Id="rId4340" Type="http://schemas.openxmlformats.org/officeDocument/2006/relationships/hyperlink" Target="http://www.wikidata.org/entity/Q186360" TargetMode="External"/><Relationship Id="rId482" Type="http://schemas.openxmlformats.org/officeDocument/2006/relationships/hyperlink" Target="http://www.wikidata.org/entity/Q14467526" TargetMode="External"/><Relationship Id="rId3012" Type="http://schemas.openxmlformats.org/officeDocument/2006/relationships/hyperlink" Target="http://www.wikidata.org/entity/Q117264774" TargetMode="External"/><Relationship Id="rId4343" Type="http://schemas.openxmlformats.org/officeDocument/2006/relationships/hyperlink" Target="http://www.wikidata.org/entity/Q2251335" TargetMode="External"/><Relationship Id="rId481" Type="http://schemas.openxmlformats.org/officeDocument/2006/relationships/hyperlink" Target="http://www.wikidata.org/entity/Q2319173" TargetMode="External"/><Relationship Id="rId3011" Type="http://schemas.openxmlformats.org/officeDocument/2006/relationships/hyperlink" Target="http://www.wikidata.org/entity/Q1753370" TargetMode="External"/><Relationship Id="rId4342" Type="http://schemas.openxmlformats.org/officeDocument/2006/relationships/hyperlink" Target="http://www.wikidata.org/entity/Q129121545" TargetMode="External"/><Relationship Id="rId488" Type="http://schemas.openxmlformats.org/officeDocument/2006/relationships/hyperlink" Target="http://www.wikidata.org/entity/Q2181847" TargetMode="External"/><Relationship Id="rId3014" Type="http://schemas.openxmlformats.org/officeDocument/2006/relationships/hyperlink" Target="http://www.wikidata.org/entity/Q122842403" TargetMode="External"/><Relationship Id="rId4345" Type="http://schemas.openxmlformats.org/officeDocument/2006/relationships/hyperlink" Target="http://www.wikidata.org/entity/Q830337" TargetMode="External"/><Relationship Id="rId487" Type="http://schemas.openxmlformats.org/officeDocument/2006/relationships/hyperlink" Target="http://www.wikidata.org/entity/Q6673651" TargetMode="External"/><Relationship Id="rId3013" Type="http://schemas.openxmlformats.org/officeDocument/2006/relationships/hyperlink" Target="http://www.wikidata.org/entity/Q191808" TargetMode="External"/><Relationship Id="rId4344" Type="http://schemas.openxmlformats.org/officeDocument/2006/relationships/hyperlink" Target="http://www.wikidata.org/entity/Q124619468" TargetMode="External"/><Relationship Id="rId486" Type="http://schemas.openxmlformats.org/officeDocument/2006/relationships/hyperlink" Target="http://www.wikidata.org/entity/Q2580620" TargetMode="External"/><Relationship Id="rId3016" Type="http://schemas.openxmlformats.org/officeDocument/2006/relationships/hyperlink" Target="http://www.wikidata.org/entity/Q2251335" TargetMode="External"/><Relationship Id="rId4347" Type="http://schemas.openxmlformats.org/officeDocument/2006/relationships/hyperlink" Target="http://www.wikidata.org/entity/Q124619468" TargetMode="External"/><Relationship Id="rId485" Type="http://schemas.openxmlformats.org/officeDocument/2006/relationships/hyperlink" Target="http://www.wikidata.org/entity/Q2599593" TargetMode="External"/><Relationship Id="rId3015" Type="http://schemas.openxmlformats.org/officeDocument/2006/relationships/hyperlink" Target="http://www.wikidata.org/entity/Q120651810" TargetMode="External"/><Relationship Id="rId4346" Type="http://schemas.openxmlformats.org/officeDocument/2006/relationships/hyperlink" Target="http://commons.wikimedia.org/wiki/Special:FilePath/Schilderij%20Henri%20Dobbelaere%20Engelendale.jpg" TargetMode="External"/><Relationship Id="rId3007" Type="http://schemas.openxmlformats.org/officeDocument/2006/relationships/hyperlink" Target="http://www.wikidata.org/entity/Q119625198" TargetMode="External"/><Relationship Id="rId4338" Type="http://schemas.openxmlformats.org/officeDocument/2006/relationships/hyperlink" Target="http://www.wikidata.org/entity/Q1753370" TargetMode="External"/><Relationship Id="rId3006" Type="http://schemas.openxmlformats.org/officeDocument/2006/relationships/hyperlink" Target="http://www.wikidata.org/entity/Q119217748" TargetMode="External"/><Relationship Id="rId4337" Type="http://schemas.openxmlformats.org/officeDocument/2006/relationships/hyperlink" Target="http://www.wikidata.org/entity/Q122971559" TargetMode="External"/><Relationship Id="rId3009" Type="http://schemas.openxmlformats.org/officeDocument/2006/relationships/hyperlink" Target="http://www.wikidata.org/entity/Q1776501" TargetMode="External"/><Relationship Id="rId3008" Type="http://schemas.openxmlformats.org/officeDocument/2006/relationships/hyperlink" Target="http://www.wikidata.org/entity/Q123416923" TargetMode="External"/><Relationship Id="rId4339" Type="http://schemas.openxmlformats.org/officeDocument/2006/relationships/hyperlink" Target="http://www.wikidata.org/entity/Q124619468" TargetMode="External"/><Relationship Id="rId480" Type="http://schemas.openxmlformats.org/officeDocument/2006/relationships/hyperlink" Target="http://www.wikidata.org/entity/Q2251335" TargetMode="External"/><Relationship Id="rId479" Type="http://schemas.openxmlformats.org/officeDocument/2006/relationships/hyperlink" Target="http://www.wikidata.org/entity/Q2580620" TargetMode="External"/><Relationship Id="rId478" Type="http://schemas.openxmlformats.org/officeDocument/2006/relationships/hyperlink" Target="http://commons.wikimedia.org/wiki/Special:FilePath/Edward%20De%20Gryse%20-%20priester-deken%20-%20Kortrijk.jpg" TargetMode="External"/><Relationship Id="rId473" Type="http://schemas.openxmlformats.org/officeDocument/2006/relationships/hyperlink" Target="http://www.wikidata.org/entity/Q2319173" TargetMode="External"/><Relationship Id="rId4330" Type="http://schemas.openxmlformats.org/officeDocument/2006/relationships/hyperlink" Target="http://www.wikidata.org/entity/Q955464" TargetMode="External"/><Relationship Id="rId472" Type="http://schemas.openxmlformats.org/officeDocument/2006/relationships/hyperlink" Target="http://commons.wikimedia.org/wiki/Special:FilePath/Portret%20van%20Edmond%20Van%20der%20Straeten%201895%20barcode%20910000105444.jpg" TargetMode="External"/><Relationship Id="rId471" Type="http://schemas.openxmlformats.org/officeDocument/2006/relationships/hyperlink" Target="http://www.wikidata.org/entity/Q446966" TargetMode="External"/><Relationship Id="rId3001" Type="http://schemas.openxmlformats.org/officeDocument/2006/relationships/hyperlink" Target="http://www.wikidata.org/entity/Q116621789" TargetMode="External"/><Relationship Id="rId4332" Type="http://schemas.openxmlformats.org/officeDocument/2006/relationships/hyperlink" Target="http://www.wikidata.org/entity/Q1162163" TargetMode="External"/><Relationship Id="rId470" Type="http://schemas.openxmlformats.org/officeDocument/2006/relationships/hyperlink" Target="http://www.wikidata.org/entity/Q18533827" TargetMode="External"/><Relationship Id="rId3000" Type="http://schemas.openxmlformats.org/officeDocument/2006/relationships/hyperlink" Target="http://www.wikidata.org/entity/Q250867" TargetMode="External"/><Relationship Id="rId4331" Type="http://schemas.openxmlformats.org/officeDocument/2006/relationships/hyperlink" Target="http://www.wikidata.org/entity/Q122971559" TargetMode="External"/><Relationship Id="rId477" Type="http://schemas.openxmlformats.org/officeDocument/2006/relationships/hyperlink" Target="http://www.wikidata.org/entity/Q1622272" TargetMode="External"/><Relationship Id="rId3003" Type="http://schemas.openxmlformats.org/officeDocument/2006/relationships/hyperlink" Target="http://www.wikidata.org/entity/Q117226377" TargetMode="External"/><Relationship Id="rId4334" Type="http://schemas.openxmlformats.org/officeDocument/2006/relationships/hyperlink" Target="http://www.wikidata.org/entity/Q250867" TargetMode="External"/><Relationship Id="rId476" Type="http://schemas.openxmlformats.org/officeDocument/2006/relationships/hyperlink" Target="http://www.wikidata.org/entity/Q2345694" TargetMode="External"/><Relationship Id="rId3002" Type="http://schemas.openxmlformats.org/officeDocument/2006/relationships/hyperlink" Target="http://www.wikidata.org/entity/Q116659577" TargetMode="External"/><Relationship Id="rId4333" Type="http://schemas.openxmlformats.org/officeDocument/2006/relationships/hyperlink" Target="http://www.wikidata.org/entity/Q122971559" TargetMode="External"/><Relationship Id="rId475" Type="http://schemas.openxmlformats.org/officeDocument/2006/relationships/hyperlink" Target="http://commons.wikimedia.org/wiki/Special:FilePath/BoekenoogenGJ.jpg" TargetMode="External"/><Relationship Id="rId3005" Type="http://schemas.openxmlformats.org/officeDocument/2006/relationships/hyperlink" Target="http://www.wikidata.org/entity/Q2251335" TargetMode="External"/><Relationship Id="rId4336" Type="http://schemas.openxmlformats.org/officeDocument/2006/relationships/hyperlink" Target="http://www.wikidata.org/entity/Q2251335" TargetMode="External"/><Relationship Id="rId474" Type="http://schemas.openxmlformats.org/officeDocument/2006/relationships/hyperlink" Target="http://www.wikidata.org/entity/Q876864" TargetMode="External"/><Relationship Id="rId3004" Type="http://schemas.openxmlformats.org/officeDocument/2006/relationships/hyperlink" Target="http://www.wikidata.org/entity/Q120999304" TargetMode="External"/><Relationship Id="rId4335" Type="http://schemas.openxmlformats.org/officeDocument/2006/relationships/hyperlink" Target="http://www.wikidata.org/entity/Q122971559" TargetMode="External"/><Relationship Id="rId1257" Type="http://schemas.openxmlformats.org/officeDocument/2006/relationships/hyperlink" Target="http://www.wikidata.org/entity/Q250867" TargetMode="External"/><Relationship Id="rId2588" Type="http://schemas.openxmlformats.org/officeDocument/2006/relationships/hyperlink" Target="http://www.wikidata.org/entity/Q2251335" TargetMode="External"/><Relationship Id="rId1258" Type="http://schemas.openxmlformats.org/officeDocument/2006/relationships/hyperlink" Target="http://www.wikidata.org/entity/Q115834873" TargetMode="External"/><Relationship Id="rId2589" Type="http://schemas.openxmlformats.org/officeDocument/2006/relationships/hyperlink" Target="http://www.wikidata.org/entity/Q55420570" TargetMode="External"/><Relationship Id="rId1259" Type="http://schemas.openxmlformats.org/officeDocument/2006/relationships/hyperlink" Target="http://www.wikidata.org/entity/Q250867" TargetMode="External"/><Relationship Id="rId426" Type="http://schemas.openxmlformats.org/officeDocument/2006/relationships/hyperlink" Target="http://www.wikidata.org/entity/Q11071766" TargetMode="External"/><Relationship Id="rId425" Type="http://schemas.openxmlformats.org/officeDocument/2006/relationships/hyperlink" Target="http://commons.wikimedia.org/wiki/Special:FilePath/PieterG%C3%A9nard.jpg" TargetMode="External"/><Relationship Id="rId424" Type="http://schemas.openxmlformats.org/officeDocument/2006/relationships/hyperlink" Target="http://www.wikidata.org/entity/Q201788" TargetMode="External"/><Relationship Id="rId423" Type="http://schemas.openxmlformats.org/officeDocument/2006/relationships/hyperlink" Target="http://www.wikidata.org/entity/Q14101076" TargetMode="External"/><Relationship Id="rId429" Type="http://schemas.openxmlformats.org/officeDocument/2006/relationships/hyperlink" Target="http://www.wikidata.org/entity/Q250867" TargetMode="External"/><Relationship Id="rId428" Type="http://schemas.openxmlformats.org/officeDocument/2006/relationships/hyperlink" Target="http://www.wikidata.org/entity/Q2426280" TargetMode="External"/><Relationship Id="rId427" Type="http://schemas.openxmlformats.org/officeDocument/2006/relationships/hyperlink" Target="http://www.wikidata.org/entity/Q435940" TargetMode="External"/><Relationship Id="rId2580" Type="http://schemas.openxmlformats.org/officeDocument/2006/relationships/hyperlink" Target="http://www.wikidata.org/entity/Q11977377" TargetMode="External"/><Relationship Id="rId1250" Type="http://schemas.openxmlformats.org/officeDocument/2006/relationships/hyperlink" Target="http://www.wikidata.org/entity/Q115830433" TargetMode="External"/><Relationship Id="rId2581" Type="http://schemas.openxmlformats.org/officeDocument/2006/relationships/hyperlink" Target="http://www.wikidata.org/entity/Q115839320" TargetMode="External"/><Relationship Id="rId1251" Type="http://schemas.openxmlformats.org/officeDocument/2006/relationships/hyperlink" Target="http://www.wikidata.org/entity/Q2251335" TargetMode="External"/><Relationship Id="rId2582" Type="http://schemas.openxmlformats.org/officeDocument/2006/relationships/hyperlink" Target="http://www.wikidata.org/entity/Q250867" TargetMode="External"/><Relationship Id="rId1252" Type="http://schemas.openxmlformats.org/officeDocument/2006/relationships/hyperlink" Target="http://www.wikidata.org/entity/Q115818861" TargetMode="External"/><Relationship Id="rId2583" Type="http://schemas.openxmlformats.org/officeDocument/2006/relationships/hyperlink" Target="http://www.wikidata.org/entity/Q115821481" TargetMode="External"/><Relationship Id="rId422" Type="http://schemas.openxmlformats.org/officeDocument/2006/relationships/hyperlink" Target="http://commons.wikimedia.org/wiki/Special:FilePath/PieterG%C3%A9nard.jpg" TargetMode="External"/><Relationship Id="rId1253" Type="http://schemas.openxmlformats.org/officeDocument/2006/relationships/hyperlink" Target="http://www.wikidata.org/entity/Q1753370" TargetMode="External"/><Relationship Id="rId2584" Type="http://schemas.openxmlformats.org/officeDocument/2006/relationships/hyperlink" Target="http://www.wikidata.org/entity/Q756215" TargetMode="External"/><Relationship Id="rId421" Type="http://schemas.openxmlformats.org/officeDocument/2006/relationships/hyperlink" Target="http://www.wikidata.org/entity/Q182436" TargetMode="External"/><Relationship Id="rId1254" Type="http://schemas.openxmlformats.org/officeDocument/2006/relationships/hyperlink" Target="http://www.wikidata.org/entity/Q115819088" TargetMode="External"/><Relationship Id="rId2585" Type="http://schemas.openxmlformats.org/officeDocument/2006/relationships/hyperlink" Target="http://www.wikidata.org/entity/Q115839965" TargetMode="External"/><Relationship Id="rId420" Type="http://schemas.openxmlformats.org/officeDocument/2006/relationships/hyperlink" Target="http://www.wikidata.org/entity/Q14101076" TargetMode="External"/><Relationship Id="rId1255" Type="http://schemas.openxmlformats.org/officeDocument/2006/relationships/hyperlink" Target="http://www.wikidata.org/entity/Q1753370" TargetMode="External"/><Relationship Id="rId2586" Type="http://schemas.openxmlformats.org/officeDocument/2006/relationships/hyperlink" Target="http://www.wikidata.org/entity/Q4991371" TargetMode="External"/><Relationship Id="rId1256" Type="http://schemas.openxmlformats.org/officeDocument/2006/relationships/hyperlink" Target="http://www.wikidata.org/entity/Q115834834" TargetMode="External"/><Relationship Id="rId2587" Type="http://schemas.openxmlformats.org/officeDocument/2006/relationships/hyperlink" Target="http://www.wikidata.org/entity/Q115839320" TargetMode="External"/><Relationship Id="rId1246" Type="http://schemas.openxmlformats.org/officeDocument/2006/relationships/hyperlink" Target="http://www.wikidata.org/entity/Q115834873" TargetMode="External"/><Relationship Id="rId2577" Type="http://schemas.openxmlformats.org/officeDocument/2006/relationships/hyperlink" Target="http://www.wikidata.org/entity/Q115839975" TargetMode="External"/><Relationship Id="rId1247" Type="http://schemas.openxmlformats.org/officeDocument/2006/relationships/hyperlink" Target="http://www.wikidata.org/entity/Q955464" TargetMode="External"/><Relationship Id="rId2578" Type="http://schemas.openxmlformats.org/officeDocument/2006/relationships/hyperlink" Target="http://www.wikidata.org/entity/Q955464" TargetMode="External"/><Relationship Id="rId1248" Type="http://schemas.openxmlformats.org/officeDocument/2006/relationships/hyperlink" Target="http://www.wikidata.org/entity/Q115834873" TargetMode="External"/><Relationship Id="rId2579" Type="http://schemas.openxmlformats.org/officeDocument/2006/relationships/hyperlink" Target="http://www.wikidata.org/entity/Q110039170" TargetMode="External"/><Relationship Id="rId1249" Type="http://schemas.openxmlformats.org/officeDocument/2006/relationships/hyperlink" Target="http://www.wikidata.org/entity/Q1162163" TargetMode="External"/><Relationship Id="rId415" Type="http://schemas.openxmlformats.org/officeDocument/2006/relationships/hyperlink" Target="http://www.wikidata.org/entity/Q14915627" TargetMode="External"/><Relationship Id="rId414" Type="http://schemas.openxmlformats.org/officeDocument/2006/relationships/hyperlink" Target="http://www.wikidata.org/entity/Q18533827" TargetMode="External"/><Relationship Id="rId413" Type="http://schemas.openxmlformats.org/officeDocument/2006/relationships/hyperlink" Target="http://www.wikidata.org/entity/Q39631" TargetMode="External"/><Relationship Id="rId412" Type="http://schemas.openxmlformats.org/officeDocument/2006/relationships/hyperlink" Target="http://www.wikidata.org/entity/Q1894475" TargetMode="External"/><Relationship Id="rId419" Type="http://schemas.openxmlformats.org/officeDocument/2006/relationships/hyperlink" Target="http://commons.wikimedia.org/wiki/Special:FilePath/WLvanHelten.jpg" TargetMode="External"/><Relationship Id="rId418" Type="http://schemas.openxmlformats.org/officeDocument/2006/relationships/hyperlink" Target="http://www.wikidata.org/entity/Q14467526" TargetMode="External"/><Relationship Id="rId417" Type="http://schemas.openxmlformats.org/officeDocument/2006/relationships/hyperlink" Target="http://www.wikidata.org/entity/Q18093100" TargetMode="External"/><Relationship Id="rId416" Type="http://schemas.openxmlformats.org/officeDocument/2006/relationships/hyperlink" Target="http://commons.wikimedia.org/wiki/Special:FilePath/Portret%20van%20Edmond%20Van%20der%20Straeten%201895%20barcode%20910000105444.jpg" TargetMode="External"/><Relationship Id="rId2570" Type="http://schemas.openxmlformats.org/officeDocument/2006/relationships/hyperlink" Target="http://www.wikidata.org/entity/Q2113250" TargetMode="External"/><Relationship Id="rId1240" Type="http://schemas.openxmlformats.org/officeDocument/2006/relationships/hyperlink" Target="http://www.wikidata.org/entity/Q113925472" TargetMode="External"/><Relationship Id="rId2571" Type="http://schemas.openxmlformats.org/officeDocument/2006/relationships/hyperlink" Target="http://www.wikidata.org/entity/Q115839320" TargetMode="External"/><Relationship Id="rId1241" Type="http://schemas.openxmlformats.org/officeDocument/2006/relationships/hyperlink" Target="http://www.wikidata.org/entity/Q435940" TargetMode="External"/><Relationship Id="rId2572" Type="http://schemas.openxmlformats.org/officeDocument/2006/relationships/hyperlink" Target="http://www.wikidata.org/entity/Q955464" TargetMode="External"/><Relationship Id="rId411" Type="http://schemas.openxmlformats.org/officeDocument/2006/relationships/hyperlink" Target="http://commons.wikimedia.org/wiki/Special:FilePath/PieterG%C3%A9nard.jpg" TargetMode="External"/><Relationship Id="rId1242" Type="http://schemas.openxmlformats.org/officeDocument/2006/relationships/hyperlink" Target="http://www.wikidata.org/entity/Q115830433" TargetMode="External"/><Relationship Id="rId2573" Type="http://schemas.openxmlformats.org/officeDocument/2006/relationships/hyperlink" Target="http://www.wikidata.org/entity/Q115834690" TargetMode="External"/><Relationship Id="rId410" Type="http://schemas.openxmlformats.org/officeDocument/2006/relationships/hyperlink" Target="http://www.wikidata.org/entity/Q82955" TargetMode="External"/><Relationship Id="rId1243" Type="http://schemas.openxmlformats.org/officeDocument/2006/relationships/hyperlink" Target="http://www.wikidata.org/entity/Q1044528" TargetMode="External"/><Relationship Id="rId2574" Type="http://schemas.openxmlformats.org/officeDocument/2006/relationships/hyperlink" Target="http://www.wikidata.org/entity/Q2251335" TargetMode="External"/><Relationship Id="rId1244" Type="http://schemas.openxmlformats.org/officeDocument/2006/relationships/hyperlink" Target="http://www.wikidata.org/entity/Q115834834" TargetMode="External"/><Relationship Id="rId2575" Type="http://schemas.openxmlformats.org/officeDocument/2006/relationships/hyperlink" Target="http://www.wikidata.org/entity/Q115839965" TargetMode="External"/><Relationship Id="rId1245" Type="http://schemas.openxmlformats.org/officeDocument/2006/relationships/hyperlink" Target="http://www.wikidata.org/entity/Q955464" TargetMode="External"/><Relationship Id="rId2576" Type="http://schemas.openxmlformats.org/officeDocument/2006/relationships/hyperlink" Target="http://www.wikidata.org/entity/Q955464" TargetMode="External"/><Relationship Id="rId1279" Type="http://schemas.openxmlformats.org/officeDocument/2006/relationships/hyperlink" Target="http://www.wikidata.org/entity/Q17428533" TargetMode="External"/><Relationship Id="rId4305" Type="http://schemas.openxmlformats.org/officeDocument/2006/relationships/hyperlink" Target="http://www.wikidata.org/entity/Q182436" TargetMode="External"/><Relationship Id="rId4304" Type="http://schemas.openxmlformats.org/officeDocument/2006/relationships/hyperlink" Target="http://www.wikidata.org/entity/Q56036025" TargetMode="External"/><Relationship Id="rId4307" Type="http://schemas.openxmlformats.org/officeDocument/2006/relationships/hyperlink" Target="http://www.wikidata.org/entity/Q214917" TargetMode="External"/><Relationship Id="rId4306" Type="http://schemas.openxmlformats.org/officeDocument/2006/relationships/hyperlink" Target="http://www.wikidata.org/entity/Q56036025" TargetMode="External"/><Relationship Id="rId4309" Type="http://schemas.openxmlformats.org/officeDocument/2006/relationships/hyperlink" Target="http://www.wikidata.org/entity/Q733786" TargetMode="External"/><Relationship Id="rId4308" Type="http://schemas.openxmlformats.org/officeDocument/2006/relationships/hyperlink" Target="http://www.wikidata.org/entity/Q56036025" TargetMode="External"/><Relationship Id="rId448" Type="http://schemas.openxmlformats.org/officeDocument/2006/relationships/hyperlink" Target="http://www.wikidata.org/entity/Q635734" TargetMode="External"/><Relationship Id="rId447" Type="http://schemas.openxmlformats.org/officeDocument/2006/relationships/hyperlink" Target="http://www.wikidata.org/entity/Q14101076" TargetMode="External"/><Relationship Id="rId446" Type="http://schemas.openxmlformats.org/officeDocument/2006/relationships/hyperlink" Target="http://www.wikidata.org/entity/Q2251335" TargetMode="External"/><Relationship Id="rId445" Type="http://schemas.openxmlformats.org/officeDocument/2006/relationships/hyperlink" Target="http://www.wikidata.org/entity/Q3431564" TargetMode="External"/><Relationship Id="rId449" Type="http://schemas.openxmlformats.org/officeDocument/2006/relationships/hyperlink" Target="http://commons.wikimedia.org/wiki/Special:FilePath/PieterG%C3%A9nard.jpg" TargetMode="External"/><Relationship Id="rId1270" Type="http://schemas.openxmlformats.org/officeDocument/2006/relationships/hyperlink" Target="http://www.wikidata.org/entity/Q250867" TargetMode="External"/><Relationship Id="rId440" Type="http://schemas.openxmlformats.org/officeDocument/2006/relationships/hyperlink" Target="http://www.wikidata.org/entity/Q2426280" TargetMode="External"/><Relationship Id="rId1271" Type="http://schemas.openxmlformats.org/officeDocument/2006/relationships/hyperlink" Target="http://www.wikidata.org/entity/Q115834834" TargetMode="External"/><Relationship Id="rId1272" Type="http://schemas.openxmlformats.org/officeDocument/2006/relationships/hyperlink" Target="http://www.wikidata.org/entity/Q2251335" TargetMode="External"/><Relationship Id="rId1273" Type="http://schemas.openxmlformats.org/officeDocument/2006/relationships/hyperlink" Target="http://www.wikidata.org/entity/Q115834873" TargetMode="External"/><Relationship Id="rId1274" Type="http://schemas.openxmlformats.org/officeDocument/2006/relationships/hyperlink" Target="http://www.wikidata.org/entity/Q2251335" TargetMode="External"/><Relationship Id="rId444" Type="http://schemas.openxmlformats.org/officeDocument/2006/relationships/hyperlink" Target="http://www.wikidata.org/entity/Q82955" TargetMode="External"/><Relationship Id="rId1275" Type="http://schemas.openxmlformats.org/officeDocument/2006/relationships/hyperlink" Target="http://www.wikidata.org/entity/Q115823355" TargetMode="External"/><Relationship Id="rId4301" Type="http://schemas.openxmlformats.org/officeDocument/2006/relationships/hyperlink" Target="http://commons.wikimedia.org/wiki/Special:FilePath/Amaat%20Vyncke.jpg" TargetMode="External"/><Relationship Id="rId443" Type="http://schemas.openxmlformats.org/officeDocument/2006/relationships/hyperlink" Target="http://www.wikidata.org/entity/Q3431564" TargetMode="External"/><Relationship Id="rId1276" Type="http://schemas.openxmlformats.org/officeDocument/2006/relationships/hyperlink" Target="http://www.wikidata.org/entity/Q1753370" TargetMode="External"/><Relationship Id="rId4300" Type="http://schemas.openxmlformats.org/officeDocument/2006/relationships/hyperlink" Target="http://www.wikidata.org/entity/Q47064" TargetMode="External"/><Relationship Id="rId442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1277" Type="http://schemas.openxmlformats.org/officeDocument/2006/relationships/hyperlink" Target="http://www.wikidata.org/entity/Q115830433" TargetMode="External"/><Relationship Id="rId4303" Type="http://schemas.openxmlformats.org/officeDocument/2006/relationships/hyperlink" Target="http://www.wikidata.org/entity/Q121594" TargetMode="External"/><Relationship Id="rId441" Type="http://schemas.openxmlformats.org/officeDocument/2006/relationships/hyperlink" Target="http://www.wikidata.org/entity/Q36180" TargetMode="External"/><Relationship Id="rId1278" Type="http://schemas.openxmlformats.org/officeDocument/2006/relationships/hyperlink" Target="http://www.wikidata.org/entity/Q1104153" TargetMode="External"/><Relationship Id="rId4302" Type="http://schemas.openxmlformats.org/officeDocument/2006/relationships/hyperlink" Target="http://www.wikidata.org/entity/Q56036025" TargetMode="External"/><Relationship Id="rId1268" Type="http://schemas.openxmlformats.org/officeDocument/2006/relationships/hyperlink" Target="http://www.wikidata.org/entity/Q955464" TargetMode="External"/><Relationship Id="rId2599" Type="http://schemas.openxmlformats.org/officeDocument/2006/relationships/hyperlink" Target="http://www.wikidata.org/entity/Q80687" TargetMode="External"/><Relationship Id="rId1269" Type="http://schemas.openxmlformats.org/officeDocument/2006/relationships/hyperlink" Target="http://www.wikidata.org/entity/Q115838563" TargetMode="External"/><Relationship Id="rId437" Type="http://schemas.openxmlformats.org/officeDocument/2006/relationships/hyperlink" Target="http://www.wikidata.org/entity/Q2345694" TargetMode="External"/><Relationship Id="rId436" Type="http://schemas.openxmlformats.org/officeDocument/2006/relationships/hyperlink" Target="http://commons.wikimedia.org/wiki/Special:FilePath/James%20Weale.jpg" TargetMode="External"/><Relationship Id="rId435" Type="http://schemas.openxmlformats.org/officeDocument/2006/relationships/hyperlink" Target="http://www.wikidata.org/entity/Q1660363" TargetMode="External"/><Relationship Id="rId434" Type="http://schemas.openxmlformats.org/officeDocument/2006/relationships/hyperlink" Target="http://www.wikidata.org/entity/Q2062803" TargetMode="External"/><Relationship Id="rId439" Type="http://schemas.openxmlformats.org/officeDocument/2006/relationships/hyperlink" Target="http://commons.wikimedia.org/wiki/Special:FilePath/Edward%20De%20Gryse%20-%20priester-deken%20-%20Kortrijk.jpg" TargetMode="External"/><Relationship Id="rId438" Type="http://schemas.openxmlformats.org/officeDocument/2006/relationships/hyperlink" Target="http://www.wikidata.org/entity/Q115705951" TargetMode="External"/><Relationship Id="rId2590" Type="http://schemas.openxmlformats.org/officeDocument/2006/relationships/hyperlink" Target="http://www.wikidata.org/entity/Q1753370" TargetMode="External"/><Relationship Id="rId1260" Type="http://schemas.openxmlformats.org/officeDocument/2006/relationships/hyperlink" Target="http://www.wikidata.org/entity/Q23895006" TargetMode="External"/><Relationship Id="rId2591" Type="http://schemas.openxmlformats.org/officeDocument/2006/relationships/hyperlink" Target="http://www.wikidata.org/entity/Q115839975" TargetMode="External"/><Relationship Id="rId1261" Type="http://schemas.openxmlformats.org/officeDocument/2006/relationships/hyperlink" Target="http://www.wikidata.org/entity/Q6673651" TargetMode="External"/><Relationship Id="rId2592" Type="http://schemas.openxmlformats.org/officeDocument/2006/relationships/hyperlink" Target="http://www.wikidata.org/entity/Q2251335" TargetMode="External"/><Relationship Id="rId1262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2593" Type="http://schemas.openxmlformats.org/officeDocument/2006/relationships/hyperlink" Target="http://www.wikidata.org/entity/Q115821481" TargetMode="External"/><Relationship Id="rId1263" Type="http://schemas.openxmlformats.org/officeDocument/2006/relationships/hyperlink" Target="http://www.wikidata.org/entity/Q115836854" TargetMode="External"/><Relationship Id="rId2594" Type="http://schemas.openxmlformats.org/officeDocument/2006/relationships/hyperlink" Target="http://www.wikidata.org/entity/Q352388" TargetMode="External"/><Relationship Id="rId433" Type="http://schemas.openxmlformats.org/officeDocument/2006/relationships/hyperlink" Target="http://commons.wikimedia.org/wiki/Special:FilePath/Edward%20De%20Gryse%20-%20priester-deken%20-%20Kortrijk.jpg" TargetMode="External"/><Relationship Id="rId1264" Type="http://schemas.openxmlformats.org/officeDocument/2006/relationships/hyperlink" Target="http://www.wikidata.org/entity/Q955464" TargetMode="External"/><Relationship Id="rId2595" Type="http://schemas.openxmlformats.org/officeDocument/2006/relationships/hyperlink" Target="http://www.wikidata.org/entity/Q113466955" TargetMode="External"/><Relationship Id="rId432" Type="http://schemas.openxmlformats.org/officeDocument/2006/relationships/hyperlink" Target="http://www.wikidata.org/entity/Q250867" TargetMode="External"/><Relationship Id="rId1265" Type="http://schemas.openxmlformats.org/officeDocument/2006/relationships/hyperlink" Target="http://www.wikidata.org/entity/Q115836854" TargetMode="External"/><Relationship Id="rId2596" Type="http://schemas.openxmlformats.org/officeDocument/2006/relationships/hyperlink" Target="http://www.wikidata.org/entity/Q285759" TargetMode="External"/><Relationship Id="rId431" Type="http://schemas.openxmlformats.org/officeDocument/2006/relationships/hyperlink" Target="http://www.wikidata.org/entity/Q2345694" TargetMode="External"/><Relationship Id="rId1266" Type="http://schemas.openxmlformats.org/officeDocument/2006/relationships/hyperlink" Target="http://www.wikidata.org/entity/Q250867" TargetMode="External"/><Relationship Id="rId2597" Type="http://schemas.openxmlformats.org/officeDocument/2006/relationships/hyperlink" Target="http://commons.wikimedia.org/wiki/Special:FilePath/Cordelia%20Van%20de%20Wiele%20-%20secretaresse%20Guido%20Gezelle.jpg" TargetMode="External"/><Relationship Id="rId430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1267" Type="http://schemas.openxmlformats.org/officeDocument/2006/relationships/hyperlink" Target="http://www.wikidata.org/entity/Q115838563" TargetMode="External"/><Relationship Id="rId2598" Type="http://schemas.openxmlformats.org/officeDocument/2006/relationships/hyperlink" Target="http://www.wikidata.org/entity/Q113466955" TargetMode="External"/><Relationship Id="rId3070" Type="http://schemas.openxmlformats.org/officeDocument/2006/relationships/hyperlink" Target="http://www.wikidata.org/entity/Q219477" TargetMode="External"/><Relationship Id="rId3072" Type="http://schemas.openxmlformats.org/officeDocument/2006/relationships/hyperlink" Target="http://www.wikidata.org/entity/Q120897770" TargetMode="External"/><Relationship Id="rId3071" Type="http://schemas.openxmlformats.org/officeDocument/2006/relationships/hyperlink" Target="http://commons.wikimedia.org/wiki/Special:FilePath/Foto%20Dymphna%20Gezelle%20%282%29.jpg" TargetMode="External"/><Relationship Id="rId3074" Type="http://schemas.openxmlformats.org/officeDocument/2006/relationships/hyperlink" Target="http://www.wikidata.org/entity/Q120199426" TargetMode="External"/><Relationship Id="rId3073" Type="http://schemas.openxmlformats.org/officeDocument/2006/relationships/hyperlink" Target="http://www.wikidata.org/entity/Q2101758" TargetMode="External"/><Relationship Id="rId3076" Type="http://schemas.openxmlformats.org/officeDocument/2006/relationships/hyperlink" Target="http://www.wikidata.org/entity/Q122818902" TargetMode="External"/><Relationship Id="rId3075" Type="http://schemas.openxmlformats.org/officeDocument/2006/relationships/hyperlink" Target="http://www.wikidata.org/entity/Q42603" TargetMode="External"/><Relationship Id="rId3078" Type="http://schemas.openxmlformats.org/officeDocument/2006/relationships/hyperlink" Target="http://www.wikidata.org/entity/Q116679969" TargetMode="External"/><Relationship Id="rId3077" Type="http://schemas.openxmlformats.org/officeDocument/2006/relationships/hyperlink" Target="http://www.wikidata.org/entity/Q25110562" TargetMode="External"/><Relationship Id="rId3079" Type="http://schemas.openxmlformats.org/officeDocument/2006/relationships/hyperlink" Target="http://www.wikidata.org/entity/Q40348" TargetMode="External"/><Relationship Id="rId3061" Type="http://schemas.openxmlformats.org/officeDocument/2006/relationships/hyperlink" Target="http://www.wikidata.org/entity/Q120442396" TargetMode="External"/><Relationship Id="rId3060" Type="http://schemas.openxmlformats.org/officeDocument/2006/relationships/hyperlink" Target="http://www.wikidata.org/entity/Q37226" TargetMode="External"/><Relationship Id="rId3063" Type="http://schemas.openxmlformats.org/officeDocument/2006/relationships/hyperlink" Target="http://www.wikidata.org/entity/Q123741345" TargetMode="External"/><Relationship Id="rId3062" Type="http://schemas.openxmlformats.org/officeDocument/2006/relationships/hyperlink" Target="http://www.wikidata.org/entity/Q4958876" TargetMode="External"/><Relationship Id="rId3065" Type="http://schemas.openxmlformats.org/officeDocument/2006/relationships/hyperlink" Target="http://www.wikidata.org/entity/Q125257906" TargetMode="External"/><Relationship Id="rId3064" Type="http://schemas.openxmlformats.org/officeDocument/2006/relationships/hyperlink" Target="http://www.wikidata.org/entity/Q3704253" TargetMode="External"/><Relationship Id="rId3067" Type="http://schemas.openxmlformats.org/officeDocument/2006/relationships/hyperlink" Target="http://www.wikidata.org/entity/Q119039938" TargetMode="External"/><Relationship Id="rId3066" Type="http://schemas.openxmlformats.org/officeDocument/2006/relationships/hyperlink" Target="http://www.wikidata.org/entity/Q76604670" TargetMode="External"/><Relationship Id="rId3069" Type="http://schemas.openxmlformats.org/officeDocument/2006/relationships/hyperlink" Target="http://www.wikidata.org/entity/Q117244211" TargetMode="External"/><Relationship Id="rId3068" Type="http://schemas.openxmlformats.org/officeDocument/2006/relationships/hyperlink" Target="http://www.wikidata.org/entity/Q208762" TargetMode="External"/><Relationship Id="rId3090" Type="http://schemas.openxmlformats.org/officeDocument/2006/relationships/hyperlink" Target="http://www.wikidata.org/entity/Q125472922" TargetMode="External"/><Relationship Id="rId3092" Type="http://schemas.openxmlformats.org/officeDocument/2006/relationships/hyperlink" Target="http://www.wikidata.org/entity/Q120176244" TargetMode="External"/><Relationship Id="rId3091" Type="http://schemas.openxmlformats.org/officeDocument/2006/relationships/hyperlink" Target="http://www.wikidata.org/entity/Q131512" TargetMode="External"/><Relationship Id="rId3094" Type="http://schemas.openxmlformats.org/officeDocument/2006/relationships/hyperlink" Target="http://www.wikidata.org/entity/Q120176244" TargetMode="External"/><Relationship Id="rId3093" Type="http://schemas.openxmlformats.org/officeDocument/2006/relationships/hyperlink" Target="http://www.wikidata.org/entity/Q219477" TargetMode="External"/><Relationship Id="rId3096" Type="http://schemas.openxmlformats.org/officeDocument/2006/relationships/hyperlink" Target="http://www.wikidata.org/entity/Q125559455" TargetMode="External"/><Relationship Id="rId3095" Type="http://schemas.openxmlformats.org/officeDocument/2006/relationships/hyperlink" Target="http://www.wikidata.org/entity/Q250867" TargetMode="External"/><Relationship Id="rId3098" Type="http://schemas.openxmlformats.org/officeDocument/2006/relationships/hyperlink" Target="http://www.wikidata.org/entity/Q122884757" TargetMode="External"/><Relationship Id="rId3097" Type="http://schemas.openxmlformats.org/officeDocument/2006/relationships/hyperlink" Target="http://www.wikidata.org/entity/Q435940" TargetMode="External"/><Relationship Id="rId3099" Type="http://schemas.openxmlformats.org/officeDocument/2006/relationships/hyperlink" Target="http://www.wikidata.org/entity/Q333634" TargetMode="External"/><Relationship Id="rId3081" Type="http://schemas.openxmlformats.org/officeDocument/2006/relationships/hyperlink" Target="http://www.wikidata.org/entity/Q250867" TargetMode="External"/><Relationship Id="rId3080" Type="http://schemas.openxmlformats.org/officeDocument/2006/relationships/hyperlink" Target="http://www.wikidata.org/entity/Q122872579" TargetMode="External"/><Relationship Id="rId3083" Type="http://schemas.openxmlformats.org/officeDocument/2006/relationships/hyperlink" Target="http://www.wikidata.org/entity/Q1540278" TargetMode="External"/><Relationship Id="rId3082" Type="http://schemas.openxmlformats.org/officeDocument/2006/relationships/hyperlink" Target="http://www.wikidata.org/entity/Q118289639" TargetMode="External"/><Relationship Id="rId3085" Type="http://schemas.openxmlformats.org/officeDocument/2006/relationships/hyperlink" Target="http://www.wikidata.org/entity/Q618532" TargetMode="External"/><Relationship Id="rId3084" Type="http://schemas.openxmlformats.org/officeDocument/2006/relationships/hyperlink" Target="http://www.wikidata.org/entity/Q123741345" TargetMode="External"/><Relationship Id="rId3087" Type="http://schemas.openxmlformats.org/officeDocument/2006/relationships/hyperlink" Target="http://www.wikidata.org/entity/Q39631" TargetMode="External"/><Relationship Id="rId3086" Type="http://schemas.openxmlformats.org/officeDocument/2006/relationships/hyperlink" Target="http://www.wikidata.org/entity/Q123722465" TargetMode="External"/><Relationship Id="rId3089" Type="http://schemas.openxmlformats.org/officeDocument/2006/relationships/hyperlink" Target="http://www.wikidata.org/entity/Q738142" TargetMode="External"/><Relationship Id="rId3088" Type="http://schemas.openxmlformats.org/officeDocument/2006/relationships/hyperlink" Target="http://www.wikidata.org/entity/Q125472922" TargetMode="External"/><Relationship Id="rId3039" Type="http://schemas.openxmlformats.org/officeDocument/2006/relationships/hyperlink" Target="http://www.wikidata.org/entity/Q1540278" TargetMode="External"/><Relationship Id="rId1" Type="http://schemas.openxmlformats.org/officeDocument/2006/relationships/hyperlink" Target="http://www.wikidata.org/entity/Q3166510" TargetMode="External"/><Relationship Id="rId2" Type="http://schemas.openxmlformats.org/officeDocument/2006/relationships/hyperlink" Target="http://www.wikidata.org/entity/Q1044528" TargetMode="External"/><Relationship Id="rId3" Type="http://schemas.openxmlformats.org/officeDocument/2006/relationships/hyperlink" Target="http://commons.wikimedia.org/wiki/Special:FilePath/Brugge%20-%20Bisschop%20Faict%20%281864-1894%29%20-%20Brugge%20-%20Belgi%C3%AB.jpg" TargetMode="External"/><Relationship Id="rId4" Type="http://schemas.openxmlformats.org/officeDocument/2006/relationships/hyperlink" Target="http://www.wikidata.org/entity/Q378133" TargetMode="External"/><Relationship Id="rId3030" Type="http://schemas.openxmlformats.org/officeDocument/2006/relationships/hyperlink" Target="http://www.wikidata.org/entity/Q120552708" TargetMode="External"/><Relationship Id="rId9" Type="http://schemas.openxmlformats.org/officeDocument/2006/relationships/hyperlink" Target="http://commons.wikimedia.org/wiki/Special:FilePath/Wiseman.jpg" TargetMode="External"/><Relationship Id="rId3032" Type="http://schemas.openxmlformats.org/officeDocument/2006/relationships/hyperlink" Target="http://www.wikidata.org/entity/Q118766019" TargetMode="External"/><Relationship Id="rId3031" Type="http://schemas.openxmlformats.org/officeDocument/2006/relationships/hyperlink" Target="http://www.wikidata.org/entity/Q175151" TargetMode="External"/><Relationship Id="rId3034" Type="http://schemas.openxmlformats.org/officeDocument/2006/relationships/hyperlink" Target="http://www.wikidata.org/entity/Q118766019" TargetMode="External"/><Relationship Id="rId3033" Type="http://schemas.openxmlformats.org/officeDocument/2006/relationships/hyperlink" Target="http://www.wikidata.org/entity/Q40348" TargetMode="External"/><Relationship Id="rId5" Type="http://schemas.openxmlformats.org/officeDocument/2006/relationships/hyperlink" Target="http://www.wikidata.org/entity/Q82955" TargetMode="External"/><Relationship Id="rId3036" Type="http://schemas.openxmlformats.org/officeDocument/2006/relationships/hyperlink" Target="http://www.wikidata.org/entity/Q120552708" TargetMode="External"/><Relationship Id="rId6" Type="http://schemas.openxmlformats.org/officeDocument/2006/relationships/hyperlink" Target="http://commons.wikimedia.org/wiki/Special:FilePath/Hendrik%20Conscience.jpg" TargetMode="External"/><Relationship Id="rId3035" Type="http://schemas.openxmlformats.org/officeDocument/2006/relationships/hyperlink" Target="http://www.wikidata.org/entity/Q16533" TargetMode="External"/><Relationship Id="rId7" Type="http://schemas.openxmlformats.org/officeDocument/2006/relationships/hyperlink" Target="http://www.wikidata.org/entity/Q672816" TargetMode="External"/><Relationship Id="rId3038" Type="http://schemas.openxmlformats.org/officeDocument/2006/relationships/hyperlink" Target="http://www.wikidata.org/entity/Q122818902" TargetMode="External"/><Relationship Id="rId8" Type="http://schemas.openxmlformats.org/officeDocument/2006/relationships/hyperlink" Target="http://www.wikidata.org/entity/Q25393460" TargetMode="External"/><Relationship Id="rId3037" Type="http://schemas.openxmlformats.org/officeDocument/2006/relationships/hyperlink" Target="http://www.wikidata.org/entity/Q2516866" TargetMode="External"/><Relationship Id="rId3029" Type="http://schemas.openxmlformats.org/officeDocument/2006/relationships/hyperlink" Target="http://www.wikidata.org/entity/Q435940" TargetMode="External"/><Relationship Id="rId3028" Type="http://schemas.openxmlformats.org/officeDocument/2006/relationships/hyperlink" Target="http://www.wikidata.org/entity/Q115980136" TargetMode="External"/><Relationship Id="rId4350" Type="http://schemas.openxmlformats.org/officeDocument/2006/relationships/hyperlink" Target="http://www.wikidata.org/entity/Q129121545" TargetMode="External"/><Relationship Id="rId3021" Type="http://schemas.openxmlformats.org/officeDocument/2006/relationships/hyperlink" Target="http://www.wikidata.org/entity/Q122884757" TargetMode="External"/><Relationship Id="rId4352" Type="http://schemas.openxmlformats.org/officeDocument/2006/relationships/drawing" Target="../drawings/drawing2.xml"/><Relationship Id="rId3020" Type="http://schemas.openxmlformats.org/officeDocument/2006/relationships/hyperlink" Target="http://www.wikidata.org/entity/Q435940" TargetMode="External"/><Relationship Id="rId4351" Type="http://schemas.openxmlformats.org/officeDocument/2006/relationships/hyperlink" Target="http://www.wikidata.org/entity/Q191808" TargetMode="External"/><Relationship Id="rId3023" Type="http://schemas.openxmlformats.org/officeDocument/2006/relationships/hyperlink" Target="http://www.wikidata.org/entity/Q129072389" TargetMode="External"/><Relationship Id="rId3022" Type="http://schemas.openxmlformats.org/officeDocument/2006/relationships/hyperlink" Target="http://www.wikidata.org/entity/Q49757" TargetMode="External"/><Relationship Id="rId3025" Type="http://schemas.openxmlformats.org/officeDocument/2006/relationships/hyperlink" Target="http://www.wikidata.org/entity/Q114371470" TargetMode="External"/><Relationship Id="rId3024" Type="http://schemas.openxmlformats.org/officeDocument/2006/relationships/hyperlink" Target="http://www.wikidata.org/entity/Q120442396" TargetMode="External"/><Relationship Id="rId3027" Type="http://schemas.openxmlformats.org/officeDocument/2006/relationships/hyperlink" Target="http://www.wikidata.org/entity/Q115705951" TargetMode="External"/><Relationship Id="rId3026" Type="http://schemas.openxmlformats.org/officeDocument/2006/relationships/hyperlink" Target="http://www.wikidata.org/entity/Q120442396" TargetMode="External"/><Relationship Id="rId3050" Type="http://schemas.openxmlformats.org/officeDocument/2006/relationships/hyperlink" Target="http://www.wikidata.org/entity/Q39631" TargetMode="External"/><Relationship Id="rId3052" Type="http://schemas.openxmlformats.org/officeDocument/2006/relationships/hyperlink" Target="http://www.wikidata.org/entity/Q955464" TargetMode="External"/><Relationship Id="rId3051" Type="http://schemas.openxmlformats.org/officeDocument/2006/relationships/hyperlink" Target="http://www.wikidata.org/entity/Q120442396" TargetMode="External"/><Relationship Id="rId3054" Type="http://schemas.openxmlformats.org/officeDocument/2006/relationships/hyperlink" Target="http://www.wikidata.org/entity/Q1622272" TargetMode="External"/><Relationship Id="rId3053" Type="http://schemas.openxmlformats.org/officeDocument/2006/relationships/hyperlink" Target="http://www.wikidata.org/entity/Q120442396" TargetMode="External"/><Relationship Id="rId3056" Type="http://schemas.openxmlformats.org/officeDocument/2006/relationships/hyperlink" Target="http://www.wikidata.org/entity/Q1104153" TargetMode="External"/><Relationship Id="rId3055" Type="http://schemas.openxmlformats.org/officeDocument/2006/relationships/hyperlink" Target="http://www.wikidata.org/entity/Q120471627" TargetMode="External"/><Relationship Id="rId3058" Type="http://schemas.openxmlformats.org/officeDocument/2006/relationships/hyperlink" Target="http://www.wikidata.org/entity/Q15627169" TargetMode="External"/><Relationship Id="rId3057" Type="http://schemas.openxmlformats.org/officeDocument/2006/relationships/hyperlink" Target="http://www.wikidata.org/entity/Q116679969" TargetMode="External"/><Relationship Id="rId3059" Type="http://schemas.openxmlformats.org/officeDocument/2006/relationships/hyperlink" Target="http://www.wikidata.org/entity/Q117246862" TargetMode="External"/><Relationship Id="rId3041" Type="http://schemas.openxmlformats.org/officeDocument/2006/relationships/hyperlink" Target="http://www.wikidata.org/entity/Q250867" TargetMode="External"/><Relationship Id="rId3040" Type="http://schemas.openxmlformats.org/officeDocument/2006/relationships/hyperlink" Target="http://www.wikidata.org/entity/Q120471627" TargetMode="External"/><Relationship Id="rId3043" Type="http://schemas.openxmlformats.org/officeDocument/2006/relationships/hyperlink" Target="http://www.wikidata.org/entity/Q250867" TargetMode="External"/><Relationship Id="rId3042" Type="http://schemas.openxmlformats.org/officeDocument/2006/relationships/hyperlink" Target="http://www.wikidata.org/entity/Q119039938" TargetMode="External"/><Relationship Id="rId3045" Type="http://schemas.openxmlformats.org/officeDocument/2006/relationships/hyperlink" Target="http://www.wikidata.org/entity/Q998550" TargetMode="External"/><Relationship Id="rId3044" Type="http://schemas.openxmlformats.org/officeDocument/2006/relationships/hyperlink" Target="http://www.wikidata.org/entity/Q120552708" TargetMode="External"/><Relationship Id="rId3047" Type="http://schemas.openxmlformats.org/officeDocument/2006/relationships/hyperlink" Target="http://www.wikidata.org/entity/Q1776501" TargetMode="External"/><Relationship Id="rId3046" Type="http://schemas.openxmlformats.org/officeDocument/2006/relationships/hyperlink" Target="http://www.wikidata.org/entity/Q117244211" TargetMode="External"/><Relationship Id="rId3049" Type="http://schemas.openxmlformats.org/officeDocument/2006/relationships/hyperlink" Target="http://www.wikidata.org/entity/Q120727152" TargetMode="External"/><Relationship Id="rId3048" Type="http://schemas.openxmlformats.org/officeDocument/2006/relationships/hyperlink" Target="http://commons.wikimedia.org/wiki/Special:FilePath/Foto%20Dymphna%20Gezelle%20%282%29.jpg" TargetMode="External"/><Relationship Id="rId3911" Type="http://schemas.openxmlformats.org/officeDocument/2006/relationships/hyperlink" Target="http://www.wikidata.org/entity/Q116621552" TargetMode="External"/><Relationship Id="rId3910" Type="http://schemas.openxmlformats.org/officeDocument/2006/relationships/hyperlink" Target="http://www.wikidata.org/entity/Q955464" TargetMode="External"/><Relationship Id="rId3913" Type="http://schemas.openxmlformats.org/officeDocument/2006/relationships/hyperlink" Target="http://commons.wikimedia.org/wiki/Special:FilePath/Doodsprentje%20Mathilde%20Catteeuw.tif" TargetMode="External"/><Relationship Id="rId3912" Type="http://schemas.openxmlformats.org/officeDocument/2006/relationships/hyperlink" Target="http://www.wikidata.org/entity/Q2313151" TargetMode="External"/><Relationship Id="rId3915" Type="http://schemas.openxmlformats.org/officeDocument/2006/relationships/hyperlink" Target="http://www.wikidata.org/entity/Q250867" TargetMode="External"/><Relationship Id="rId3914" Type="http://schemas.openxmlformats.org/officeDocument/2006/relationships/hyperlink" Target="http://www.wikidata.org/entity/Q120884878" TargetMode="External"/><Relationship Id="rId3917" Type="http://schemas.openxmlformats.org/officeDocument/2006/relationships/hyperlink" Target="http://www.wikidata.org/entity/Q955464" TargetMode="External"/><Relationship Id="rId3916" Type="http://schemas.openxmlformats.org/officeDocument/2006/relationships/hyperlink" Target="http://www.wikidata.org/entity/Q115979812" TargetMode="External"/><Relationship Id="rId3919" Type="http://schemas.openxmlformats.org/officeDocument/2006/relationships/hyperlink" Target="http://www.wikidata.org/entity/Q250867" TargetMode="External"/><Relationship Id="rId3918" Type="http://schemas.openxmlformats.org/officeDocument/2006/relationships/hyperlink" Target="http://www.wikidata.org/entity/Q123416074" TargetMode="External"/><Relationship Id="rId3900" Type="http://schemas.openxmlformats.org/officeDocument/2006/relationships/hyperlink" Target="http://www.wikidata.org/entity/Q116621363" TargetMode="External"/><Relationship Id="rId3902" Type="http://schemas.openxmlformats.org/officeDocument/2006/relationships/hyperlink" Target="http://www.wikidata.org/entity/Q115981931" TargetMode="External"/><Relationship Id="rId3901" Type="http://schemas.openxmlformats.org/officeDocument/2006/relationships/hyperlink" Target="http://www.wikidata.org/entity/Q116621811" TargetMode="External"/><Relationship Id="rId3904" Type="http://schemas.openxmlformats.org/officeDocument/2006/relationships/hyperlink" Target="http://www.wikidata.org/entity/Q117244772" TargetMode="External"/><Relationship Id="rId3903" Type="http://schemas.openxmlformats.org/officeDocument/2006/relationships/hyperlink" Target="http://www.wikidata.org/entity/Q1657500" TargetMode="External"/><Relationship Id="rId3906" Type="http://schemas.openxmlformats.org/officeDocument/2006/relationships/hyperlink" Target="http://www.wikidata.org/entity/Q37226" TargetMode="External"/><Relationship Id="rId3905" Type="http://schemas.openxmlformats.org/officeDocument/2006/relationships/hyperlink" Target="http://www.wikidata.org/entity/Q115846413" TargetMode="External"/><Relationship Id="rId3908" Type="http://schemas.openxmlformats.org/officeDocument/2006/relationships/hyperlink" Target="http://www.wikidata.org/entity/Q2251335" TargetMode="External"/><Relationship Id="rId3907" Type="http://schemas.openxmlformats.org/officeDocument/2006/relationships/hyperlink" Target="http://www.wikidata.org/entity/Q120999228" TargetMode="External"/><Relationship Id="rId3909" Type="http://schemas.openxmlformats.org/officeDocument/2006/relationships/hyperlink" Target="http://www.wikidata.org/entity/Q120884878" TargetMode="External"/><Relationship Id="rId3931" Type="http://schemas.openxmlformats.org/officeDocument/2006/relationships/hyperlink" Target="http://www.wikidata.org/entity/Q13575404" TargetMode="External"/><Relationship Id="rId2600" Type="http://schemas.openxmlformats.org/officeDocument/2006/relationships/hyperlink" Target="http://commons.wikimedia.org/wiki/Special:FilePath/Cordelia%20Van%20de%20Wiele%20-%20secretaresse%20Guido%20Gezelle.jpg" TargetMode="External"/><Relationship Id="rId3930" Type="http://schemas.openxmlformats.org/officeDocument/2006/relationships/hyperlink" Target="http://commons.wikimedia.org/wiki/Special:FilePath/EdwardVanEven.jpg" TargetMode="External"/><Relationship Id="rId2601" Type="http://schemas.openxmlformats.org/officeDocument/2006/relationships/hyperlink" Target="http://www.wikidata.org/entity/Q115844439" TargetMode="External"/><Relationship Id="rId3933" Type="http://schemas.openxmlformats.org/officeDocument/2006/relationships/hyperlink" Target="http://commons.wikimedia.org/wiki/Special:FilePath/EdwardVanEven.jpg" TargetMode="External"/><Relationship Id="rId2602" Type="http://schemas.openxmlformats.org/officeDocument/2006/relationships/hyperlink" Target="http://www.wikidata.org/entity/Q82955" TargetMode="External"/><Relationship Id="rId3932" Type="http://schemas.openxmlformats.org/officeDocument/2006/relationships/hyperlink" Target="http://www.wikidata.org/entity/Q6673651" TargetMode="External"/><Relationship Id="rId2603" Type="http://schemas.openxmlformats.org/officeDocument/2006/relationships/hyperlink" Target="http://www.wikidata.org/entity/Q115822210" TargetMode="External"/><Relationship Id="rId3935" Type="http://schemas.openxmlformats.org/officeDocument/2006/relationships/hyperlink" Target="http://www.wikidata.org/entity/Q49757" TargetMode="External"/><Relationship Id="rId2604" Type="http://schemas.openxmlformats.org/officeDocument/2006/relationships/hyperlink" Target="http://www.wikidata.org/entity/Q435940" TargetMode="External"/><Relationship Id="rId3934" Type="http://schemas.openxmlformats.org/officeDocument/2006/relationships/hyperlink" Target="http://www.wikidata.org/entity/Q136703696" TargetMode="External"/><Relationship Id="rId2605" Type="http://schemas.openxmlformats.org/officeDocument/2006/relationships/hyperlink" Target="http://www.wikidata.org/entity/Q115825992" TargetMode="External"/><Relationship Id="rId3937" Type="http://schemas.openxmlformats.org/officeDocument/2006/relationships/hyperlink" Target="http://www.wikidata.org/entity/Q250867" TargetMode="External"/><Relationship Id="rId2606" Type="http://schemas.openxmlformats.org/officeDocument/2006/relationships/hyperlink" Target="http://www.wikidata.org/entity/Q435940" TargetMode="External"/><Relationship Id="rId3936" Type="http://schemas.openxmlformats.org/officeDocument/2006/relationships/hyperlink" Target="http://www.wikidata.org/entity/Q136734381" TargetMode="External"/><Relationship Id="rId808" Type="http://schemas.openxmlformats.org/officeDocument/2006/relationships/hyperlink" Target="http://www.wikidata.org/entity/Q2251335" TargetMode="External"/><Relationship Id="rId2607" Type="http://schemas.openxmlformats.org/officeDocument/2006/relationships/hyperlink" Target="http://www.wikidata.org/entity/Q75279907" TargetMode="External"/><Relationship Id="rId3939" Type="http://schemas.openxmlformats.org/officeDocument/2006/relationships/hyperlink" Target="http://www.wikidata.org/entity/Q2251335" TargetMode="External"/><Relationship Id="rId807" Type="http://schemas.openxmlformats.org/officeDocument/2006/relationships/hyperlink" Target="http://www.wikidata.org/entity/Q2413334" TargetMode="External"/><Relationship Id="rId2608" Type="http://schemas.openxmlformats.org/officeDocument/2006/relationships/hyperlink" Target="http://www.wikidata.org/entity/Q191808" TargetMode="External"/><Relationship Id="rId3938" Type="http://schemas.openxmlformats.org/officeDocument/2006/relationships/hyperlink" Target="http://www.wikidata.org/entity/Q115979812" TargetMode="External"/><Relationship Id="rId806" Type="http://schemas.openxmlformats.org/officeDocument/2006/relationships/hyperlink" Target="http://commons.wikimedia.org/wiki/Special:FilePath/Edgar%20Tinel%201911.jpg" TargetMode="External"/><Relationship Id="rId2609" Type="http://schemas.openxmlformats.org/officeDocument/2006/relationships/hyperlink" Target="http://www.wikidata.org/entity/Q115308515" TargetMode="External"/><Relationship Id="rId805" Type="http://schemas.openxmlformats.org/officeDocument/2006/relationships/hyperlink" Target="http://www.wikidata.org/entity/Q36834" TargetMode="External"/><Relationship Id="rId809" Type="http://schemas.openxmlformats.org/officeDocument/2006/relationships/hyperlink" Target="http://commons.wikimedia.org/wiki/Special:FilePath/Max%20Rooses.jpg" TargetMode="External"/><Relationship Id="rId800" Type="http://schemas.openxmlformats.org/officeDocument/2006/relationships/hyperlink" Target="http://commons.wikimedia.org/wiki/Special:FilePath/HugoVerriest.jpg" TargetMode="External"/><Relationship Id="rId804" Type="http://schemas.openxmlformats.org/officeDocument/2006/relationships/hyperlink" Target="http://www.wikidata.org/entity/Q377071" TargetMode="External"/><Relationship Id="rId803" Type="http://schemas.openxmlformats.org/officeDocument/2006/relationships/hyperlink" Target="http://commons.wikimedia.org/wiki/Special:FilePath/Jan%20Bols%2C%20borststuk%20door%20E.%20Fabronius.tif" TargetMode="External"/><Relationship Id="rId802" Type="http://schemas.openxmlformats.org/officeDocument/2006/relationships/hyperlink" Target="http://www.wikidata.org/entity/Q955464" TargetMode="External"/><Relationship Id="rId801" Type="http://schemas.openxmlformats.org/officeDocument/2006/relationships/hyperlink" Target="http://www.wikidata.org/entity/Q1920135" TargetMode="External"/><Relationship Id="rId3920" Type="http://schemas.openxmlformats.org/officeDocument/2006/relationships/hyperlink" Target="http://www.wikidata.org/entity/Q115979812" TargetMode="External"/><Relationship Id="rId3922" Type="http://schemas.openxmlformats.org/officeDocument/2006/relationships/hyperlink" Target="http://www.wikidata.org/entity/Q115979812" TargetMode="External"/><Relationship Id="rId3921" Type="http://schemas.openxmlformats.org/officeDocument/2006/relationships/hyperlink" Target="http://www.wikidata.org/entity/Q1162163" TargetMode="External"/><Relationship Id="rId3924" Type="http://schemas.openxmlformats.org/officeDocument/2006/relationships/hyperlink" Target="http://www.wikidata.org/entity/Q125275288" TargetMode="External"/><Relationship Id="rId3923" Type="http://schemas.openxmlformats.org/officeDocument/2006/relationships/hyperlink" Target="http://www.wikidata.org/entity/Q250867" TargetMode="External"/><Relationship Id="rId3926" Type="http://schemas.openxmlformats.org/officeDocument/2006/relationships/hyperlink" Target="http://www.wikidata.org/entity/Q122971209" TargetMode="External"/><Relationship Id="rId3925" Type="http://schemas.openxmlformats.org/officeDocument/2006/relationships/hyperlink" Target="http://www.wikidata.org/entity/Q7313543" TargetMode="External"/><Relationship Id="rId3928" Type="http://schemas.openxmlformats.org/officeDocument/2006/relationships/hyperlink" Target="http://www.wikidata.org/entity/Q13575404" TargetMode="External"/><Relationship Id="rId3927" Type="http://schemas.openxmlformats.org/officeDocument/2006/relationships/hyperlink" Target="http://www.wikidata.org/entity/Q33109310" TargetMode="External"/><Relationship Id="rId3929" Type="http://schemas.openxmlformats.org/officeDocument/2006/relationships/hyperlink" Target="http://www.wikidata.org/entity/Q10732476" TargetMode="External"/><Relationship Id="rId1334" Type="http://schemas.openxmlformats.org/officeDocument/2006/relationships/hyperlink" Target="http://www.wikidata.org/entity/Q1753370" TargetMode="External"/><Relationship Id="rId2665" Type="http://schemas.openxmlformats.org/officeDocument/2006/relationships/hyperlink" Target="http://www.wikidata.org/entity/Q115979048" TargetMode="External"/><Relationship Id="rId3997" Type="http://schemas.openxmlformats.org/officeDocument/2006/relationships/hyperlink" Target="http://www.wikidata.org/entity/Q123051567" TargetMode="External"/><Relationship Id="rId1335" Type="http://schemas.openxmlformats.org/officeDocument/2006/relationships/hyperlink" Target="http://www.wikidata.org/entity/Q115834873" TargetMode="External"/><Relationship Id="rId2666" Type="http://schemas.openxmlformats.org/officeDocument/2006/relationships/hyperlink" Target="http://www.wikidata.org/entity/Q1753370" TargetMode="External"/><Relationship Id="rId3996" Type="http://schemas.openxmlformats.org/officeDocument/2006/relationships/hyperlink" Target="http://www.wikidata.org/entity/Q123050592" TargetMode="External"/><Relationship Id="rId1336" Type="http://schemas.openxmlformats.org/officeDocument/2006/relationships/hyperlink" Target="http://www.wikidata.org/entity/Q25378518" TargetMode="External"/><Relationship Id="rId2667" Type="http://schemas.openxmlformats.org/officeDocument/2006/relationships/hyperlink" Target="http://www.wikidata.org/entity/Q100534520" TargetMode="External"/><Relationship Id="rId3999" Type="http://schemas.openxmlformats.org/officeDocument/2006/relationships/hyperlink" Target="http://www.wikidata.org/entity/Q123600982" TargetMode="External"/><Relationship Id="rId1337" Type="http://schemas.openxmlformats.org/officeDocument/2006/relationships/hyperlink" Target="http://www.wikidata.org/entity/Q45029767" TargetMode="External"/><Relationship Id="rId2668" Type="http://schemas.openxmlformats.org/officeDocument/2006/relationships/hyperlink" Target="http://www.wikidata.org/entity/Q40348" TargetMode="External"/><Relationship Id="rId3998" Type="http://schemas.openxmlformats.org/officeDocument/2006/relationships/hyperlink" Target="http://www.wikidata.org/entity/Q123554207" TargetMode="External"/><Relationship Id="rId1338" Type="http://schemas.openxmlformats.org/officeDocument/2006/relationships/hyperlink" Target="http://www.wikidata.org/entity/Q1162163" TargetMode="External"/><Relationship Id="rId2669" Type="http://schemas.openxmlformats.org/officeDocument/2006/relationships/hyperlink" Target="http://commons.wikimedia.org/wiki/Special:FilePath/Adolf%20Karel%20vader%20Petrus%20moeder%20Carolina%20Verriest%20in%201861.jpg" TargetMode="External"/><Relationship Id="rId1339" Type="http://schemas.openxmlformats.org/officeDocument/2006/relationships/hyperlink" Target="http://www.wikidata.org/entity/Q64727835" TargetMode="External"/><Relationship Id="rId745" Type="http://schemas.openxmlformats.org/officeDocument/2006/relationships/hyperlink" Target="http://www.wikidata.org/entity/Q18120029" TargetMode="External"/><Relationship Id="rId744" Type="http://schemas.openxmlformats.org/officeDocument/2006/relationships/hyperlink" Target="http://www.wikidata.org/entity/Q2065109" TargetMode="External"/><Relationship Id="rId743" Type="http://schemas.openxmlformats.org/officeDocument/2006/relationships/hyperlink" Target="http://commons.wikimedia.org/wiki/Special:FilePath/Josephus%20Alberdingk%20Thijm%20portret%20%281864-1889%29.png" TargetMode="External"/><Relationship Id="rId742" Type="http://schemas.openxmlformats.org/officeDocument/2006/relationships/hyperlink" Target="http://www.wikidata.org/entity/Q2516866" TargetMode="External"/><Relationship Id="rId749" Type="http://schemas.openxmlformats.org/officeDocument/2006/relationships/hyperlink" Target="http://www.wikidata.org/entity/Q719358" TargetMode="External"/><Relationship Id="rId748" Type="http://schemas.openxmlformats.org/officeDocument/2006/relationships/hyperlink" Target="http://www.wikidata.org/entity/Q201788" TargetMode="External"/><Relationship Id="rId747" Type="http://schemas.openxmlformats.org/officeDocument/2006/relationships/hyperlink" Target="http://www.wikidata.org/entity/Q2360914" TargetMode="External"/><Relationship Id="rId746" Type="http://schemas.openxmlformats.org/officeDocument/2006/relationships/hyperlink" Target="http://commons.wikimedia.org/wiki/Special:FilePath/Ferdinand%20Vander%20Haeghen.jpg" TargetMode="External"/><Relationship Id="rId3991" Type="http://schemas.openxmlformats.org/officeDocument/2006/relationships/hyperlink" Target="http://www.wikidata.org/entity/Q122790642" TargetMode="External"/><Relationship Id="rId2660" Type="http://schemas.openxmlformats.org/officeDocument/2006/relationships/hyperlink" Target="http://www.wikidata.org/entity/Q113486838" TargetMode="External"/><Relationship Id="rId3990" Type="http://schemas.openxmlformats.org/officeDocument/2006/relationships/hyperlink" Target="http://www.wikidata.org/entity/Q16947657" TargetMode="External"/><Relationship Id="rId741" Type="http://schemas.openxmlformats.org/officeDocument/2006/relationships/hyperlink" Target="http://www.wikidata.org/entity/Q1978794" TargetMode="External"/><Relationship Id="rId1330" Type="http://schemas.openxmlformats.org/officeDocument/2006/relationships/hyperlink" Target="http://commons.wikimedia.org/wiki/Special:FilePath/Bartholomew%20Woodlock%2C%20portrait.png" TargetMode="External"/><Relationship Id="rId2661" Type="http://schemas.openxmlformats.org/officeDocument/2006/relationships/hyperlink" Target="http://www.wikidata.org/entity/Q115844439" TargetMode="External"/><Relationship Id="rId3993" Type="http://schemas.openxmlformats.org/officeDocument/2006/relationships/hyperlink" Target="http://www.wikidata.org/entity/Q122854006" TargetMode="External"/><Relationship Id="rId740" Type="http://schemas.openxmlformats.org/officeDocument/2006/relationships/hyperlink" Target="http://commons.wikimedia.org/wiki/Special:FilePath/G%C3%A9rard%20van%20Caloen%20%28detail%29.jpg" TargetMode="External"/><Relationship Id="rId1331" Type="http://schemas.openxmlformats.org/officeDocument/2006/relationships/hyperlink" Target="http://www.wikidata.org/entity/Q61506427" TargetMode="External"/><Relationship Id="rId2662" Type="http://schemas.openxmlformats.org/officeDocument/2006/relationships/hyperlink" Target="http://www.wikidata.org/entity/Q39631" TargetMode="External"/><Relationship Id="rId3992" Type="http://schemas.openxmlformats.org/officeDocument/2006/relationships/hyperlink" Target="http://www.wikidata.org/entity/Q122842204" TargetMode="External"/><Relationship Id="rId1332" Type="http://schemas.openxmlformats.org/officeDocument/2006/relationships/hyperlink" Target="http://www.wikidata.org/entity/Q82955" TargetMode="External"/><Relationship Id="rId2663" Type="http://schemas.openxmlformats.org/officeDocument/2006/relationships/hyperlink" Target="http://www.wikidata.org/entity/Q115811922" TargetMode="External"/><Relationship Id="rId3995" Type="http://schemas.openxmlformats.org/officeDocument/2006/relationships/hyperlink" Target="http://www.wikidata.org/entity/Q82955" TargetMode="External"/><Relationship Id="rId1333" Type="http://schemas.openxmlformats.org/officeDocument/2006/relationships/hyperlink" Target="http://www.wikidata.org/entity/Q98322098" TargetMode="External"/><Relationship Id="rId2664" Type="http://schemas.openxmlformats.org/officeDocument/2006/relationships/hyperlink" Target="http://www.wikidata.org/entity/Q114371470" TargetMode="External"/><Relationship Id="rId3994" Type="http://schemas.openxmlformats.org/officeDocument/2006/relationships/hyperlink" Target="http://www.wikidata.org/entity/Q1978131" TargetMode="External"/><Relationship Id="rId1323" Type="http://schemas.openxmlformats.org/officeDocument/2006/relationships/hyperlink" Target="http://www.wikidata.org/entity/Q62117109" TargetMode="External"/><Relationship Id="rId2654" Type="http://schemas.openxmlformats.org/officeDocument/2006/relationships/hyperlink" Target="http://www.wikidata.org/entity/Q115818849" TargetMode="External"/><Relationship Id="rId3986" Type="http://schemas.openxmlformats.org/officeDocument/2006/relationships/hyperlink" Target="http://www.wikidata.org/entity/Q121594" TargetMode="External"/><Relationship Id="rId1324" Type="http://schemas.openxmlformats.org/officeDocument/2006/relationships/hyperlink" Target="http://www.wikidata.org/entity/Q3075052" TargetMode="External"/><Relationship Id="rId2655" Type="http://schemas.openxmlformats.org/officeDocument/2006/relationships/hyperlink" Target="http://www.wikidata.org/entity/Q45684" TargetMode="External"/><Relationship Id="rId3985" Type="http://schemas.openxmlformats.org/officeDocument/2006/relationships/hyperlink" Target="http://www.wikidata.org/entity/Q961180" TargetMode="External"/><Relationship Id="rId1325" Type="http://schemas.openxmlformats.org/officeDocument/2006/relationships/hyperlink" Target="http://www.wikidata.org/entity/Q4865289" TargetMode="External"/><Relationship Id="rId2656" Type="http://schemas.openxmlformats.org/officeDocument/2006/relationships/hyperlink" Target="http://www.wikidata.org/entity/Q115979048" TargetMode="External"/><Relationship Id="rId3988" Type="http://schemas.openxmlformats.org/officeDocument/2006/relationships/hyperlink" Target="http://www.wikidata.org/entity/Q121078322" TargetMode="External"/><Relationship Id="rId1326" Type="http://schemas.openxmlformats.org/officeDocument/2006/relationships/hyperlink" Target="http://www.wikidata.org/entity/Q1056391" TargetMode="External"/><Relationship Id="rId2657" Type="http://schemas.openxmlformats.org/officeDocument/2006/relationships/hyperlink" Target="http://www.wikidata.org/entity/Q955464" TargetMode="External"/><Relationship Id="rId3987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1327" Type="http://schemas.openxmlformats.org/officeDocument/2006/relationships/hyperlink" Target="http://commons.wikimedia.org/wiki/Special:FilePath/Bartholomew%20Woodlock%2C%20portrait.png" TargetMode="External"/><Relationship Id="rId2658" Type="http://schemas.openxmlformats.org/officeDocument/2006/relationships/hyperlink" Target="http://www.wikidata.org/entity/Q115979048" TargetMode="External"/><Relationship Id="rId1328" Type="http://schemas.openxmlformats.org/officeDocument/2006/relationships/hyperlink" Target="http://www.wikidata.org/entity/Q4865289" TargetMode="External"/><Relationship Id="rId2659" Type="http://schemas.openxmlformats.org/officeDocument/2006/relationships/hyperlink" Target="http://www.wikidata.org/entity/Q250867" TargetMode="External"/><Relationship Id="rId3989" Type="http://schemas.openxmlformats.org/officeDocument/2006/relationships/hyperlink" Target="http://www.wikidata.org/entity/Q122915335" TargetMode="External"/><Relationship Id="rId1329" Type="http://schemas.openxmlformats.org/officeDocument/2006/relationships/hyperlink" Target="http://www.wikidata.org/entity/Q1231865" TargetMode="External"/><Relationship Id="rId739" Type="http://schemas.openxmlformats.org/officeDocument/2006/relationships/hyperlink" Target="http://www.wikidata.org/entity/Q10567966" TargetMode="External"/><Relationship Id="rId734" Type="http://schemas.openxmlformats.org/officeDocument/2006/relationships/hyperlink" Target="http://commons.wikimedia.org/wiki/Special:FilePath/Edgar%20Tinel%201911.jpg" TargetMode="External"/><Relationship Id="rId733" Type="http://schemas.openxmlformats.org/officeDocument/2006/relationships/hyperlink" Target="http://www.wikidata.org/entity/Q486748" TargetMode="External"/><Relationship Id="rId732" Type="http://schemas.openxmlformats.org/officeDocument/2006/relationships/hyperlink" Target="http://www.wikidata.org/entity/Q377071" TargetMode="External"/><Relationship Id="rId731" Type="http://schemas.openxmlformats.org/officeDocument/2006/relationships/hyperlink" Target="http://commons.wikimedia.org/wiki/Special:FilePath/Max%20Rooses.jpg" TargetMode="External"/><Relationship Id="rId738" Type="http://schemas.openxmlformats.org/officeDocument/2006/relationships/hyperlink" Target="http://www.wikidata.org/entity/Q2606766" TargetMode="External"/><Relationship Id="rId737" Type="http://schemas.openxmlformats.org/officeDocument/2006/relationships/hyperlink" Target="http://commons.wikimedia.org/wiki/Special:FilePath/Langendonck.jpg" TargetMode="External"/><Relationship Id="rId736" Type="http://schemas.openxmlformats.org/officeDocument/2006/relationships/hyperlink" Target="http://www.wikidata.org/entity/Q49757" TargetMode="External"/><Relationship Id="rId735" Type="http://schemas.openxmlformats.org/officeDocument/2006/relationships/hyperlink" Target="http://www.wikidata.org/entity/Q2754460" TargetMode="External"/><Relationship Id="rId3980" Type="http://schemas.openxmlformats.org/officeDocument/2006/relationships/hyperlink" Target="http://www.wikidata.org/entity/Q45684" TargetMode="External"/><Relationship Id="rId730" Type="http://schemas.openxmlformats.org/officeDocument/2006/relationships/hyperlink" Target="http://www.wikidata.org/entity/Q4164507" TargetMode="External"/><Relationship Id="rId2650" Type="http://schemas.openxmlformats.org/officeDocument/2006/relationships/hyperlink" Target="http://www.wikidata.org/entity/Q82955" TargetMode="External"/><Relationship Id="rId3982" Type="http://schemas.openxmlformats.org/officeDocument/2006/relationships/hyperlink" Target="http://www.wikidata.org/entity/Q694116" TargetMode="External"/><Relationship Id="rId1320" Type="http://schemas.openxmlformats.org/officeDocument/2006/relationships/hyperlink" Target="http://www.wikidata.org/entity/Q2443377" TargetMode="External"/><Relationship Id="rId2651" Type="http://schemas.openxmlformats.org/officeDocument/2006/relationships/hyperlink" Target="http://commons.wikimedia.org/wiki/Special:FilePath/Adolf%20Karel%20vader%20Petrus%20moeder%20Carolina%20Verriest%20in%201861.jpg" TargetMode="External"/><Relationship Id="rId3981" Type="http://schemas.openxmlformats.org/officeDocument/2006/relationships/hyperlink" Target="http://www.wikidata.org/entity/Q123615494" TargetMode="External"/><Relationship Id="rId1321" Type="http://schemas.openxmlformats.org/officeDocument/2006/relationships/hyperlink" Target="http://www.wikidata.org/entity/Q115838563" TargetMode="External"/><Relationship Id="rId2652" Type="http://schemas.openxmlformats.org/officeDocument/2006/relationships/hyperlink" Target="http://www.wikidata.org/entity/Q75279907" TargetMode="External"/><Relationship Id="rId3984" Type="http://schemas.openxmlformats.org/officeDocument/2006/relationships/hyperlink" Target="http://www.wikidata.org/entity/Q1776501" TargetMode="External"/><Relationship Id="rId1322" Type="http://schemas.openxmlformats.org/officeDocument/2006/relationships/hyperlink" Target="http://www.wikidata.org/entity/Q1753370" TargetMode="External"/><Relationship Id="rId2653" Type="http://schemas.openxmlformats.org/officeDocument/2006/relationships/hyperlink" Target="http://www.wikidata.org/entity/Q830337" TargetMode="External"/><Relationship Id="rId3983" Type="http://schemas.openxmlformats.org/officeDocument/2006/relationships/hyperlink" Target="http://www.wikidata.org/entity/Q123417058" TargetMode="External"/><Relationship Id="rId1356" Type="http://schemas.openxmlformats.org/officeDocument/2006/relationships/hyperlink" Target="http://www.wikidata.org/entity/Q28973666" TargetMode="External"/><Relationship Id="rId2687" Type="http://schemas.openxmlformats.org/officeDocument/2006/relationships/hyperlink" Target="http://www.wikidata.org/entity/Q115815004" TargetMode="External"/><Relationship Id="rId1357" Type="http://schemas.openxmlformats.org/officeDocument/2006/relationships/hyperlink" Target="http://www.wikidata.org/entity/Q1622272" TargetMode="External"/><Relationship Id="rId2688" Type="http://schemas.openxmlformats.org/officeDocument/2006/relationships/hyperlink" Target="http://www.wikidata.org/entity/Q250867" TargetMode="External"/><Relationship Id="rId1358" Type="http://schemas.openxmlformats.org/officeDocument/2006/relationships/hyperlink" Target="http://www.wikidata.org/entity/Q28973666" TargetMode="External"/><Relationship Id="rId2689" Type="http://schemas.openxmlformats.org/officeDocument/2006/relationships/hyperlink" Target="http://www.wikidata.org/entity/Q115817390" TargetMode="External"/><Relationship Id="rId1359" Type="http://schemas.openxmlformats.org/officeDocument/2006/relationships/hyperlink" Target="http://www.wikidata.org/entity/Q2251335" TargetMode="External"/><Relationship Id="rId767" Type="http://schemas.openxmlformats.org/officeDocument/2006/relationships/hyperlink" Target="http://www.wikidata.org/entity/Q2361397" TargetMode="External"/><Relationship Id="rId766" Type="http://schemas.openxmlformats.org/officeDocument/2006/relationships/hyperlink" Target="http://www.wikidata.org/entity/Q589298" TargetMode="External"/><Relationship Id="rId765" Type="http://schemas.openxmlformats.org/officeDocument/2006/relationships/hyperlink" Target="http://www.wikidata.org/entity/Q2361397" TargetMode="External"/><Relationship Id="rId764" Type="http://schemas.openxmlformats.org/officeDocument/2006/relationships/hyperlink" Target="http://www.wikidata.org/entity/Q333634" TargetMode="External"/><Relationship Id="rId769" Type="http://schemas.openxmlformats.org/officeDocument/2006/relationships/hyperlink" Target="http://www.wikidata.org/entity/Q2360914" TargetMode="External"/><Relationship Id="rId768" Type="http://schemas.openxmlformats.org/officeDocument/2006/relationships/hyperlink" Target="http://www.wikidata.org/entity/Q1930187" TargetMode="External"/><Relationship Id="rId2680" Type="http://schemas.openxmlformats.org/officeDocument/2006/relationships/hyperlink" Target="http://www.wikidata.org/entity/Q114371470" TargetMode="External"/><Relationship Id="rId1350" Type="http://schemas.openxmlformats.org/officeDocument/2006/relationships/hyperlink" Target="http://www.wikidata.org/entity/Q17428533" TargetMode="External"/><Relationship Id="rId2681" Type="http://schemas.openxmlformats.org/officeDocument/2006/relationships/hyperlink" Target="http://www.wikidata.org/entity/Q115808465" TargetMode="External"/><Relationship Id="rId1351" Type="http://schemas.openxmlformats.org/officeDocument/2006/relationships/hyperlink" Target="http://www.wikidata.org/entity/Q40348" TargetMode="External"/><Relationship Id="rId2682" Type="http://schemas.openxmlformats.org/officeDocument/2006/relationships/hyperlink" Target="http://www.wikidata.org/entity/Q2251335" TargetMode="External"/><Relationship Id="rId763" Type="http://schemas.openxmlformats.org/officeDocument/2006/relationships/hyperlink" Target="http://www.wikidata.org/entity/Q2361397" TargetMode="External"/><Relationship Id="rId1352" Type="http://schemas.openxmlformats.org/officeDocument/2006/relationships/hyperlink" Target="http://www.wikidata.org/entity/Q62117109" TargetMode="External"/><Relationship Id="rId2683" Type="http://schemas.openxmlformats.org/officeDocument/2006/relationships/hyperlink" Target="http://www.wikidata.org/entity/Q115817390" TargetMode="External"/><Relationship Id="rId762" Type="http://schemas.openxmlformats.org/officeDocument/2006/relationships/hyperlink" Target="http://www.wikidata.org/entity/Q182436" TargetMode="External"/><Relationship Id="rId1353" Type="http://schemas.openxmlformats.org/officeDocument/2006/relationships/hyperlink" Target="http://www.wikidata.org/entity/Q36180" TargetMode="External"/><Relationship Id="rId2684" Type="http://schemas.openxmlformats.org/officeDocument/2006/relationships/hyperlink" Target="http://www.wikidata.org/entity/Q118732656" TargetMode="External"/><Relationship Id="rId761" Type="http://schemas.openxmlformats.org/officeDocument/2006/relationships/hyperlink" Target="http://www.wikidata.org/entity/Q2361397" TargetMode="External"/><Relationship Id="rId1354" Type="http://schemas.openxmlformats.org/officeDocument/2006/relationships/hyperlink" Target="http://www.wikidata.org/entity/Q45029767" TargetMode="External"/><Relationship Id="rId2685" Type="http://schemas.openxmlformats.org/officeDocument/2006/relationships/hyperlink" Target="http://www.wikidata.org/entity/Q110039252" TargetMode="External"/><Relationship Id="rId760" Type="http://schemas.openxmlformats.org/officeDocument/2006/relationships/hyperlink" Target="http://www.wikidata.org/entity/Q82955" TargetMode="External"/><Relationship Id="rId1355" Type="http://schemas.openxmlformats.org/officeDocument/2006/relationships/hyperlink" Target="http://www.wikidata.org/entity/Q1657500" TargetMode="External"/><Relationship Id="rId2686" Type="http://schemas.openxmlformats.org/officeDocument/2006/relationships/hyperlink" Target="http://www.wikidata.org/entity/Q115705951" TargetMode="External"/><Relationship Id="rId1345" Type="http://schemas.openxmlformats.org/officeDocument/2006/relationships/hyperlink" Target="http://www.wikidata.org/entity/Q4865289" TargetMode="External"/><Relationship Id="rId2676" Type="http://schemas.openxmlformats.org/officeDocument/2006/relationships/hyperlink" Target="http://www.wikidata.org/entity/Q219477" TargetMode="External"/><Relationship Id="rId1346" Type="http://schemas.openxmlformats.org/officeDocument/2006/relationships/hyperlink" Target="http://www.wikidata.org/entity/Q1622272" TargetMode="External"/><Relationship Id="rId2677" Type="http://schemas.openxmlformats.org/officeDocument/2006/relationships/hyperlink" Target="http://www.wikidata.org/entity/Q115808465" TargetMode="External"/><Relationship Id="rId1347" Type="http://schemas.openxmlformats.org/officeDocument/2006/relationships/hyperlink" Target="http://commons.wikimedia.org/wiki/Special:FilePath/Bartholomew%20Woodlock%2C%20portrait.png" TargetMode="External"/><Relationship Id="rId2678" Type="http://schemas.openxmlformats.org/officeDocument/2006/relationships/hyperlink" Target="http://www.wikidata.org/entity/Q250867" TargetMode="External"/><Relationship Id="rId1348" Type="http://schemas.openxmlformats.org/officeDocument/2006/relationships/hyperlink" Target="http://www.wikidata.org/entity/Q45029767" TargetMode="External"/><Relationship Id="rId2679" Type="http://schemas.openxmlformats.org/officeDocument/2006/relationships/hyperlink" Target="http://www.wikidata.org/entity/Q115817390" TargetMode="External"/><Relationship Id="rId1349" Type="http://schemas.openxmlformats.org/officeDocument/2006/relationships/hyperlink" Target="http://www.wikidata.org/entity/Q2251335" TargetMode="External"/><Relationship Id="rId756" Type="http://schemas.openxmlformats.org/officeDocument/2006/relationships/hyperlink" Target="http://commons.wikimedia.org/wiki/Special:FilePath/Edgar%20Tinel%201911.jpg" TargetMode="External"/><Relationship Id="rId755" Type="http://schemas.openxmlformats.org/officeDocument/2006/relationships/hyperlink" Target="http://www.wikidata.org/entity/Q1622272" TargetMode="External"/><Relationship Id="rId754" Type="http://schemas.openxmlformats.org/officeDocument/2006/relationships/hyperlink" Target="http://www.wikidata.org/entity/Q377071" TargetMode="External"/><Relationship Id="rId753" Type="http://schemas.openxmlformats.org/officeDocument/2006/relationships/hyperlink" Target="http://www.wikidata.org/entity/Q635734" TargetMode="External"/><Relationship Id="rId759" Type="http://schemas.openxmlformats.org/officeDocument/2006/relationships/hyperlink" Target="http://www.wikidata.org/entity/Q2361397" TargetMode="External"/><Relationship Id="rId758" Type="http://schemas.openxmlformats.org/officeDocument/2006/relationships/hyperlink" Target="http://www.wikidata.org/entity/Q2516866" TargetMode="External"/><Relationship Id="rId757" Type="http://schemas.openxmlformats.org/officeDocument/2006/relationships/hyperlink" Target="http://www.wikidata.org/entity/Q2360914" TargetMode="External"/><Relationship Id="rId2670" Type="http://schemas.openxmlformats.org/officeDocument/2006/relationships/hyperlink" Target="http://www.wikidata.org/entity/Q100534520" TargetMode="External"/><Relationship Id="rId1340" Type="http://schemas.openxmlformats.org/officeDocument/2006/relationships/hyperlink" Target="http://www.wikidata.org/entity/Q611644" TargetMode="External"/><Relationship Id="rId2671" Type="http://schemas.openxmlformats.org/officeDocument/2006/relationships/hyperlink" Target="http://www.wikidata.org/entity/Q49757" TargetMode="External"/><Relationship Id="rId752" Type="http://schemas.openxmlformats.org/officeDocument/2006/relationships/hyperlink" Target="http://www.wikidata.org/entity/Q2360914" TargetMode="External"/><Relationship Id="rId1341" Type="http://schemas.openxmlformats.org/officeDocument/2006/relationships/hyperlink" Target="http://www.wikidata.org/entity/Q64727835" TargetMode="External"/><Relationship Id="rId2672" Type="http://schemas.openxmlformats.org/officeDocument/2006/relationships/hyperlink" Target="http://commons.wikimedia.org/wiki/Special:FilePath/Adolf%20Karel%20vader%20Petrus%20moeder%20Carolina%20Verriest%20in%201861.jpg" TargetMode="External"/><Relationship Id="rId751" Type="http://schemas.openxmlformats.org/officeDocument/2006/relationships/hyperlink" Target="http://commons.wikimedia.org/wiki/Special:FilePath/Theophiel%20Coopman%20%281852-1915%29.jpg" TargetMode="External"/><Relationship Id="rId1342" Type="http://schemas.openxmlformats.org/officeDocument/2006/relationships/hyperlink" Target="http://www.wikidata.org/entity/Q250867" TargetMode="External"/><Relationship Id="rId2673" Type="http://schemas.openxmlformats.org/officeDocument/2006/relationships/hyperlink" Target="http://www.wikidata.org/entity/Q115808465" TargetMode="External"/><Relationship Id="rId750" Type="http://schemas.openxmlformats.org/officeDocument/2006/relationships/hyperlink" Target="http://www.wikidata.org/entity/Q1162163" TargetMode="External"/><Relationship Id="rId1343" Type="http://schemas.openxmlformats.org/officeDocument/2006/relationships/hyperlink" Target="http://www.wikidata.org/entity/Q45029767" TargetMode="External"/><Relationship Id="rId2674" Type="http://schemas.openxmlformats.org/officeDocument/2006/relationships/hyperlink" Target="http://www.wikidata.org/entity/Q955464" TargetMode="External"/><Relationship Id="rId1344" Type="http://schemas.openxmlformats.org/officeDocument/2006/relationships/hyperlink" Target="http://www.wikidata.org/entity/Q250867" TargetMode="External"/><Relationship Id="rId2675" Type="http://schemas.openxmlformats.org/officeDocument/2006/relationships/hyperlink" Target="http://www.wikidata.org/entity/Q115808465" TargetMode="External"/><Relationship Id="rId2621" Type="http://schemas.openxmlformats.org/officeDocument/2006/relationships/hyperlink" Target="http://www.wikidata.org/entity/Q115839975" TargetMode="External"/><Relationship Id="rId3953" Type="http://schemas.openxmlformats.org/officeDocument/2006/relationships/hyperlink" Target="http://www.wikidata.org/entity/Q82955" TargetMode="External"/><Relationship Id="rId2622" Type="http://schemas.openxmlformats.org/officeDocument/2006/relationships/hyperlink" Target="http://www.wikidata.org/entity/Q1753370" TargetMode="External"/><Relationship Id="rId3952" Type="http://schemas.openxmlformats.org/officeDocument/2006/relationships/hyperlink" Target="http://www.wikidata.org/entity/Q123615494" TargetMode="External"/><Relationship Id="rId2623" Type="http://schemas.openxmlformats.org/officeDocument/2006/relationships/hyperlink" Target="http://www.wikidata.org/entity/Q115806479" TargetMode="External"/><Relationship Id="rId3955" Type="http://schemas.openxmlformats.org/officeDocument/2006/relationships/hyperlink" Target="http://www.wikidata.org/entity/Q191808" TargetMode="External"/><Relationship Id="rId2624" Type="http://schemas.openxmlformats.org/officeDocument/2006/relationships/hyperlink" Target="http://www.wikidata.org/entity/Q42603" TargetMode="External"/><Relationship Id="rId3954" Type="http://schemas.openxmlformats.org/officeDocument/2006/relationships/hyperlink" Target="http://www.wikidata.org/entity/Q131928133" TargetMode="External"/><Relationship Id="rId2625" Type="http://schemas.openxmlformats.org/officeDocument/2006/relationships/hyperlink" Target="http://www.wikidata.org/entity/Q56036023" TargetMode="External"/><Relationship Id="rId3957" Type="http://schemas.openxmlformats.org/officeDocument/2006/relationships/hyperlink" Target="http://www.wikidata.org/entity/Q16513769" TargetMode="External"/><Relationship Id="rId2626" Type="http://schemas.openxmlformats.org/officeDocument/2006/relationships/hyperlink" Target="http://www.wikidata.org/entity/Q40348" TargetMode="External"/><Relationship Id="rId3956" Type="http://schemas.openxmlformats.org/officeDocument/2006/relationships/hyperlink" Target="http://www.wikidata.org/entity/Q126734623" TargetMode="External"/><Relationship Id="rId2627" Type="http://schemas.openxmlformats.org/officeDocument/2006/relationships/hyperlink" Target="http://www.wikidata.org/entity/Q115844249" TargetMode="External"/><Relationship Id="rId3959" Type="http://schemas.openxmlformats.org/officeDocument/2006/relationships/hyperlink" Target="http://www.wikidata.org/entity/Q1162163" TargetMode="External"/><Relationship Id="rId2628" Type="http://schemas.openxmlformats.org/officeDocument/2006/relationships/hyperlink" Target="http://www.wikidata.org/entity/Q191808" TargetMode="External"/><Relationship Id="rId3958" Type="http://schemas.openxmlformats.org/officeDocument/2006/relationships/hyperlink" Target="http://www.wikidata.org/entity/Q115982585" TargetMode="External"/><Relationship Id="rId709" Type="http://schemas.openxmlformats.org/officeDocument/2006/relationships/hyperlink" Target="http://www.wikidata.org/entity/Q16947657" TargetMode="External"/><Relationship Id="rId2629" Type="http://schemas.openxmlformats.org/officeDocument/2006/relationships/hyperlink" Target="http://www.wikidata.org/entity/Q115308515" TargetMode="External"/><Relationship Id="rId708" Type="http://schemas.openxmlformats.org/officeDocument/2006/relationships/hyperlink" Target="http://www.wikidata.org/entity/Q22002048" TargetMode="External"/><Relationship Id="rId707" Type="http://schemas.openxmlformats.org/officeDocument/2006/relationships/hyperlink" Target="http://www.wikidata.org/entity/Q7239684" TargetMode="External"/><Relationship Id="rId706" Type="http://schemas.openxmlformats.org/officeDocument/2006/relationships/hyperlink" Target="http://www.wikidata.org/entity/Q94896539" TargetMode="External"/><Relationship Id="rId701" Type="http://schemas.openxmlformats.org/officeDocument/2006/relationships/hyperlink" Target="http://www.wikidata.org/entity/Q2251335" TargetMode="External"/><Relationship Id="rId700" Type="http://schemas.openxmlformats.org/officeDocument/2006/relationships/hyperlink" Target="http://www.wikidata.org/entity/Q22002048" TargetMode="External"/><Relationship Id="rId705" Type="http://schemas.openxmlformats.org/officeDocument/2006/relationships/hyperlink" Target="http://www.wikidata.org/entity/Q2251335" TargetMode="External"/><Relationship Id="rId704" Type="http://schemas.openxmlformats.org/officeDocument/2006/relationships/hyperlink" Target="http://www.wikidata.org/entity/Q28973684" TargetMode="External"/><Relationship Id="rId703" Type="http://schemas.openxmlformats.org/officeDocument/2006/relationships/hyperlink" Target="http://www.wikidata.org/entity/Q201788" TargetMode="External"/><Relationship Id="rId702" Type="http://schemas.openxmlformats.org/officeDocument/2006/relationships/hyperlink" Target="http://www.wikidata.org/entity/Q55672664" TargetMode="External"/><Relationship Id="rId3951" Type="http://schemas.openxmlformats.org/officeDocument/2006/relationships/hyperlink" Target="http://www.wikidata.org/entity/Q37226" TargetMode="External"/><Relationship Id="rId2620" Type="http://schemas.openxmlformats.org/officeDocument/2006/relationships/hyperlink" Target="http://www.wikidata.org/entity/Q1753370" TargetMode="External"/><Relationship Id="rId3950" Type="http://schemas.openxmlformats.org/officeDocument/2006/relationships/hyperlink" Target="http://www.wikidata.org/entity/Q125357784" TargetMode="External"/><Relationship Id="rId2610" Type="http://schemas.openxmlformats.org/officeDocument/2006/relationships/hyperlink" Target="http://www.wikidata.org/entity/Q250867" TargetMode="External"/><Relationship Id="rId3942" Type="http://schemas.openxmlformats.org/officeDocument/2006/relationships/hyperlink" Target="http://www.wikidata.org/entity/Q2496044" TargetMode="External"/><Relationship Id="rId2611" Type="http://schemas.openxmlformats.org/officeDocument/2006/relationships/hyperlink" Target="http://www.wikidata.org/entity/Q115839965" TargetMode="External"/><Relationship Id="rId3941" Type="http://schemas.openxmlformats.org/officeDocument/2006/relationships/hyperlink" Target="http://www.wikidata.org/entity/Q118395622" TargetMode="External"/><Relationship Id="rId2612" Type="http://schemas.openxmlformats.org/officeDocument/2006/relationships/hyperlink" Target="http://www.wikidata.org/entity/Q1469535" TargetMode="External"/><Relationship Id="rId3944" Type="http://schemas.openxmlformats.org/officeDocument/2006/relationships/hyperlink" Target="http://www.wikidata.org/entity/Q2496044" TargetMode="External"/><Relationship Id="rId2613" Type="http://schemas.openxmlformats.org/officeDocument/2006/relationships/hyperlink" Target="http://www.wikidata.org/entity/Q115839975" TargetMode="External"/><Relationship Id="rId3943" Type="http://schemas.openxmlformats.org/officeDocument/2006/relationships/hyperlink" Target="http://www.wikidata.org/entity/Q36180" TargetMode="External"/><Relationship Id="rId2614" Type="http://schemas.openxmlformats.org/officeDocument/2006/relationships/hyperlink" Target="http://www.wikidata.org/entity/Q1469535" TargetMode="External"/><Relationship Id="rId3946" Type="http://schemas.openxmlformats.org/officeDocument/2006/relationships/hyperlink" Target="http://www.wikidata.org/entity/Q131923924" TargetMode="External"/><Relationship Id="rId2615" Type="http://schemas.openxmlformats.org/officeDocument/2006/relationships/hyperlink" Target="http://www.wikidata.org/entity/Q115838249" TargetMode="External"/><Relationship Id="rId3945" Type="http://schemas.openxmlformats.org/officeDocument/2006/relationships/hyperlink" Target="http://www.wikidata.org/entity/Q49757" TargetMode="External"/><Relationship Id="rId2616" Type="http://schemas.openxmlformats.org/officeDocument/2006/relationships/hyperlink" Target="http://www.wikidata.org/entity/Q1753370" TargetMode="External"/><Relationship Id="rId3948" Type="http://schemas.openxmlformats.org/officeDocument/2006/relationships/hyperlink" Target="http://www.wikidata.org/entity/Q136735429" TargetMode="External"/><Relationship Id="rId2617" Type="http://schemas.openxmlformats.org/officeDocument/2006/relationships/hyperlink" Target="http://www.wikidata.org/entity/Q115308515" TargetMode="External"/><Relationship Id="rId3947" Type="http://schemas.openxmlformats.org/officeDocument/2006/relationships/hyperlink" Target="http://www.wikidata.org/entity/Q191808" TargetMode="External"/><Relationship Id="rId2618" Type="http://schemas.openxmlformats.org/officeDocument/2006/relationships/hyperlink" Target="http://www.wikidata.org/entity/Q2251335" TargetMode="External"/><Relationship Id="rId2619" Type="http://schemas.openxmlformats.org/officeDocument/2006/relationships/hyperlink" Target="http://www.wikidata.org/entity/Q115839965" TargetMode="External"/><Relationship Id="rId3949" Type="http://schemas.openxmlformats.org/officeDocument/2006/relationships/hyperlink" Target="http://www.wikidata.org/entity/Q474306" TargetMode="External"/><Relationship Id="rId3940" Type="http://schemas.openxmlformats.org/officeDocument/2006/relationships/hyperlink" Target="http://www.wikidata.org/entity/Q115982585" TargetMode="External"/><Relationship Id="rId1312" Type="http://schemas.openxmlformats.org/officeDocument/2006/relationships/hyperlink" Target="http://commons.wikimedia.org/wiki/Special:FilePath/Pierre%20Nicolas%20Croquison.jpg" TargetMode="External"/><Relationship Id="rId2643" Type="http://schemas.openxmlformats.org/officeDocument/2006/relationships/hyperlink" Target="http://www.wikidata.org/entity/Q115855636" TargetMode="External"/><Relationship Id="rId3975" Type="http://schemas.openxmlformats.org/officeDocument/2006/relationships/hyperlink" Target="http://www.wikidata.org/entity/Q1622272" TargetMode="External"/><Relationship Id="rId1313" Type="http://schemas.openxmlformats.org/officeDocument/2006/relationships/hyperlink" Target="http://www.wikidata.org/entity/Q115836854" TargetMode="External"/><Relationship Id="rId2644" Type="http://schemas.openxmlformats.org/officeDocument/2006/relationships/hyperlink" Target="http://www.wikidata.org/entity/Q191808" TargetMode="External"/><Relationship Id="rId3974" Type="http://schemas.openxmlformats.org/officeDocument/2006/relationships/hyperlink" Target="http://www.wikidata.org/entity/Q13769746" TargetMode="External"/><Relationship Id="rId1314" Type="http://schemas.openxmlformats.org/officeDocument/2006/relationships/hyperlink" Target="http://www.wikidata.org/entity/Q1753370" TargetMode="External"/><Relationship Id="rId2645" Type="http://schemas.openxmlformats.org/officeDocument/2006/relationships/hyperlink" Target="http://www.wikidata.org/entity/Q115822210" TargetMode="External"/><Relationship Id="rId3977" Type="http://schemas.openxmlformats.org/officeDocument/2006/relationships/hyperlink" Target="http://www.wikidata.org/entity/Q131928133" TargetMode="External"/><Relationship Id="rId1315" Type="http://schemas.openxmlformats.org/officeDocument/2006/relationships/hyperlink" Target="http://www.wikidata.org/entity/Q13575367" TargetMode="External"/><Relationship Id="rId2646" Type="http://schemas.openxmlformats.org/officeDocument/2006/relationships/hyperlink" Target="http://www.wikidata.org/entity/Q42603" TargetMode="External"/><Relationship Id="rId3976" Type="http://schemas.openxmlformats.org/officeDocument/2006/relationships/hyperlink" Target="http://commons.wikimedia.org/wiki/Special:FilePath/GlasraamLodewijkScharpe.jpg" TargetMode="External"/><Relationship Id="rId1316" Type="http://schemas.openxmlformats.org/officeDocument/2006/relationships/hyperlink" Target="http://www.wikidata.org/entity/Q1657500" TargetMode="External"/><Relationship Id="rId2647" Type="http://schemas.openxmlformats.org/officeDocument/2006/relationships/hyperlink" Target="http://www.wikidata.org/entity/Q87648661" TargetMode="External"/><Relationship Id="rId3979" Type="http://schemas.openxmlformats.org/officeDocument/2006/relationships/hyperlink" Target="http://www.wikidata.org/entity/Q2496044" TargetMode="External"/><Relationship Id="rId1317" Type="http://schemas.openxmlformats.org/officeDocument/2006/relationships/hyperlink" Target="http://www.wikidata.org/entity/Q98322098" TargetMode="External"/><Relationship Id="rId2648" Type="http://schemas.openxmlformats.org/officeDocument/2006/relationships/hyperlink" Target="http://www.wikidata.org/entity/Q42973" TargetMode="External"/><Relationship Id="rId3978" Type="http://schemas.openxmlformats.org/officeDocument/2006/relationships/hyperlink" Target="http://www.wikidata.org/entity/Q1776501" TargetMode="External"/><Relationship Id="rId1318" Type="http://schemas.openxmlformats.org/officeDocument/2006/relationships/hyperlink" Target="http://www.wikidata.org/entity/Q2251335" TargetMode="External"/><Relationship Id="rId2649" Type="http://schemas.openxmlformats.org/officeDocument/2006/relationships/hyperlink" Target="http://www.wikidata.org/entity/Q100534520" TargetMode="External"/><Relationship Id="rId1319" Type="http://schemas.openxmlformats.org/officeDocument/2006/relationships/hyperlink" Target="http://www.wikidata.org/entity/Q56174577" TargetMode="External"/><Relationship Id="rId729" Type="http://schemas.openxmlformats.org/officeDocument/2006/relationships/hyperlink" Target="http://www.wikidata.org/entity/Q2413334" TargetMode="External"/><Relationship Id="rId728" Type="http://schemas.openxmlformats.org/officeDocument/2006/relationships/hyperlink" Target="http://commons.wikimedia.org/wiki/Special:FilePath/Edgar%20Tinel%201911.jpg" TargetMode="External"/><Relationship Id="rId723" Type="http://schemas.openxmlformats.org/officeDocument/2006/relationships/hyperlink" Target="http://commons.wikimedia.org/wiki/Special:FilePath/Portret%20van%20Jean%20Casier%201880%20barcode%20910000105033.jpg" TargetMode="External"/><Relationship Id="rId722" Type="http://schemas.openxmlformats.org/officeDocument/2006/relationships/hyperlink" Target="http://www.wikidata.org/entity/Q82955" TargetMode="External"/><Relationship Id="rId721" Type="http://schemas.openxmlformats.org/officeDocument/2006/relationships/hyperlink" Target="http://www.wikidata.org/entity/Q3171149" TargetMode="External"/><Relationship Id="rId720" Type="http://schemas.openxmlformats.org/officeDocument/2006/relationships/hyperlink" Target="http://www.wikidata.org/entity/Q1958649" TargetMode="External"/><Relationship Id="rId727" Type="http://schemas.openxmlformats.org/officeDocument/2006/relationships/hyperlink" Target="http://www.wikidata.org/entity/Q1056391" TargetMode="External"/><Relationship Id="rId726" Type="http://schemas.openxmlformats.org/officeDocument/2006/relationships/hyperlink" Target="http://www.wikidata.org/entity/Q377071" TargetMode="External"/><Relationship Id="rId725" Type="http://schemas.openxmlformats.org/officeDocument/2006/relationships/hyperlink" Target="http://www.wikidata.org/entity/Q36834" TargetMode="External"/><Relationship Id="rId724" Type="http://schemas.openxmlformats.org/officeDocument/2006/relationships/hyperlink" Target="http://www.wikidata.org/entity/Q2182589" TargetMode="External"/><Relationship Id="rId3971" Type="http://schemas.openxmlformats.org/officeDocument/2006/relationships/hyperlink" Target="http://www.wikidata.org/entity/Q43683879" TargetMode="External"/><Relationship Id="rId2640" Type="http://schemas.openxmlformats.org/officeDocument/2006/relationships/hyperlink" Target="http://www.wikidata.org/entity/Q1753370" TargetMode="External"/><Relationship Id="rId3970" Type="http://schemas.openxmlformats.org/officeDocument/2006/relationships/hyperlink" Target="http://www.wikidata.org/entity/Q122971209" TargetMode="External"/><Relationship Id="rId1310" Type="http://schemas.openxmlformats.org/officeDocument/2006/relationships/hyperlink" Target="http://www.wikidata.org/entity/Q28584401" TargetMode="External"/><Relationship Id="rId2641" Type="http://schemas.openxmlformats.org/officeDocument/2006/relationships/hyperlink" Target="http://www.wikidata.org/entity/Q115818718" TargetMode="External"/><Relationship Id="rId3973" Type="http://schemas.openxmlformats.org/officeDocument/2006/relationships/hyperlink" Target="http://www.wikidata.org/entity/Q2251335" TargetMode="External"/><Relationship Id="rId1311" Type="http://schemas.openxmlformats.org/officeDocument/2006/relationships/hyperlink" Target="http://www.wikidata.org/entity/Q2251335" TargetMode="External"/><Relationship Id="rId2642" Type="http://schemas.openxmlformats.org/officeDocument/2006/relationships/hyperlink" Target="http://www.wikidata.org/entity/Q42603" TargetMode="External"/><Relationship Id="rId3972" Type="http://schemas.openxmlformats.org/officeDocument/2006/relationships/hyperlink" Target="http://www.wikidata.org/entity/Q115982585" TargetMode="External"/><Relationship Id="rId1301" Type="http://schemas.openxmlformats.org/officeDocument/2006/relationships/hyperlink" Target="http://www.wikidata.org/entity/Q4865289" TargetMode="External"/><Relationship Id="rId2632" Type="http://schemas.openxmlformats.org/officeDocument/2006/relationships/hyperlink" Target="http://www.wikidata.org/entity/Q1776501" TargetMode="External"/><Relationship Id="rId3964" Type="http://schemas.openxmlformats.org/officeDocument/2006/relationships/hyperlink" Target="http://www.wikidata.org/entity/Q123615494" TargetMode="External"/><Relationship Id="rId1302" Type="http://schemas.openxmlformats.org/officeDocument/2006/relationships/hyperlink" Target="http://www.wikidata.org/entity/Q4964182" TargetMode="External"/><Relationship Id="rId2633" Type="http://schemas.openxmlformats.org/officeDocument/2006/relationships/hyperlink" Target="http://www.wikidata.org/entity/Q115852702" TargetMode="External"/><Relationship Id="rId3963" Type="http://schemas.openxmlformats.org/officeDocument/2006/relationships/hyperlink" Target="http://www.wikidata.org/entity/Q250867" TargetMode="External"/><Relationship Id="rId1303" Type="http://schemas.openxmlformats.org/officeDocument/2006/relationships/hyperlink" Target="http://commons.wikimedia.org/wiki/Special:FilePath/Bartholomew%20Woodlock%2C%20portrait.png" TargetMode="External"/><Relationship Id="rId2634" Type="http://schemas.openxmlformats.org/officeDocument/2006/relationships/hyperlink" Target="http://www.wikidata.org/entity/Q191808" TargetMode="External"/><Relationship Id="rId3966" Type="http://schemas.openxmlformats.org/officeDocument/2006/relationships/hyperlink" Target="http://www.wikidata.org/entity/Q123417058" TargetMode="External"/><Relationship Id="rId1304" Type="http://schemas.openxmlformats.org/officeDocument/2006/relationships/hyperlink" Target="http://www.wikidata.org/entity/Q98322098" TargetMode="External"/><Relationship Id="rId2635" Type="http://schemas.openxmlformats.org/officeDocument/2006/relationships/hyperlink" Target="http://www.wikidata.org/entity/Q115825992" TargetMode="External"/><Relationship Id="rId3965" Type="http://schemas.openxmlformats.org/officeDocument/2006/relationships/hyperlink" Target="http://www.wikidata.org/entity/Q6606110" TargetMode="External"/><Relationship Id="rId1305" Type="http://schemas.openxmlformats.org/officeDocument/2006/relationships/hyperlink" Target="http://www.wikidata.org/entity/Q955464" TargetMode="External"/><Relationship Id="rId2636" Type="http://schemas.openxmlformats.org/officeDocument/2006/relationships/hyperlink" Target="http://www.wikidata.org/entity/Q918824" TargetMode="External"/><Relationship Id="rId3968" Type="http://schemas.openxmlformats.org/officeDocument/2006/relationships/hyperlink" Target="http://www.wikidata.org/entity/Q120829902" TargetMode="External"/><Relationship Id="rId1306" Type="http://schemas.openxmlformats.org/officeDocument/2006/relationships/hyperlink" Target="http://www.wikidata.org/entity/Q98322098" TargetMode="External"/><Relationship Id="rId2637" Type="http://schemas.openxmlformats.org/officeDocument/2006/relationships/hyperlink" Target="http://www.wikidata.org/entity/Q115815697" TargetMode="External"/><Relationship Id="rId3967" Type="http://schemas.openxmlformats.org/officeDocument/2006/relationships/hyperlink" Target="http://www.wikidata.org/entity/Q191808" TargetMode="External"/><Relationship Id="rId1307" Type="http://schemas.openxmlformats.org/officeDocument/2006/relationships/hyperlink" Target="http://www.wikidata.org/entity/Q589298" TargetMode="External"/><Relationship Id="rId2638" Type="http://schemas.openxmlformats.org/officeDocument/2006/relationships/hyperlink" Target="http://www.wikidata.org/entity/Q42603" TargetMode="External"/><Relationship Id="rId1308" Type="http://schemas.openxmlformats.org/officeDocument/2006/relationships/hyperlink" Target="http://www.wikidata.org/entity/Q98322098" TargetMode="External"/><Relationship Id="rId2639" Type="http://schemas.openxmlformats.org/officeDocument/2006/relationships/hyperlink" Target="http://www.wikidata.org/entity/Q115308515" TargetMode="External"/><Relationship Id="rId3969" Type="http://schemas.openxmlformats.org/officeDocument/2006/relationships/hyperlink" Target="http://www.wikidata.org/entity/Q114371470" TargetMode="External"/><Relationship Id="rId1309" Type="http://schemas.openxmlformats.org/officeDocument/2006/relationships/hyperlink" Target="http://www.wikidata.org/entity/Q250867" TargetMode="External"/><Relationship Id="rId719" Type="http://schemas.openxmlformats.org/officeDocument/2006/relationships/hyperlink" Target="http://www.wikidata.org/entity/Q94896539" TargetMode="External"/><Relationship Id="rId718" Type="http://schemas.openxmlformats.org/officeDocument/2006/relationships/hyperlink" Target="http://www.wikidata.org/entity/Q36180" TargetMode="External"/><Relationship Id="rId717" Type="http://schemas.openxmlformats.org/officeDocument/2006/relationships/hyperlink" Target="http://www.wikidata.org/entity/Q26845752" TargetMode="External"/><Relationship Id="rId712" Type="http://schemas.openxmlformats.org/officeDocument/2006/relationships/hyperlink" Target="http://www.wikidata.org/entity/Q37793252" TargetMode="External"/><Relationship Id="rId711" Type="http://schemas.openxmlformats.org/officeDocument/2006/relationships/hyperlink" Target="http://www.wikidata.org/entity/Q201788" TargetMode="External"/><Relationship Id="rId710" Type="http://schemas.openxmlformats.org/officeDocument/2006/relationships/hyperlink" Target="http://www.wikidata.org/entity/Q37793252" TargetMode="External"/><Relationship Id="rId716" Type="http://schemas.openxmlformats.org/officeDocument/2006/relationships/hyperlink" Target="http://commons.wikimedia.org/wiki/Special:FilePath/De%20Potter%20Frans%20070512.png" TargetMode="External"/><Relationship Id="rId715" Type="http://schemas.openxmlformats.org/officeDocument/2006/relationships/hyperlink" Target="http://www.wikidata.org/entity/Q114037016" TargetMode="External"/><Relationship Id="rId714" Type="http://schemas.openxmlformats.org/officeDocument/2006/relationships/hyperlink" Target="http://www.wikidata.org/entity/Q15461013" TargetMode="External"/><Relationship Id="rId713" Type="http://schemas.openxmlformats.org/officeDocument/2006/relationships/hyperlink" Target="http://www.wikidata.org/entity/Q1930187" TargetMode="External"/><Relationship Id="rId3960" Type="http://schemas.openxmlformats.org/officeDocument/2006/relationships/hyperlink" Target="http://www.wikidata.org/entity/Q123414712" TargetMode="External"/><Relationship Id="rId2630" Type="http://schemas.openxmlformats.org/officeDocument/2006/relationships/hyperlink" Target="http://www.wikidata.org/entity/Q1657500" TargetMode="External"/><Relationship Id="rId3962" Type="http://schemas.openxmlformats.org/officeDocument/2006/relationships/hyperlink" Target="http://www.wikidata.org/entity/Q115982585" TargetMode="External"/><Relationship Id="rId1300" Type="http://schemas.openxmlformats.org/officeDocument/2006/relationships/hyperlink" Target="http://www.wikidata.org/entity/Q1958649" TargetMode="External"/><Relationship Id="rId2631" Type="http://schemas.openxmlformats.org/officeDocument/2006/relationships/hyperlink" Target="http://www.wikidata.org/entity/Q115844249" TargetMode="External"/><Relationship Id="rId3961" Type="http://schemas.openxmlformats.org/officeDocument/2006/relationships/hyperlink" Target="http://www.wikidata.org/entity/Q191808" TargetMode="External"/><Relationship Id="rId3117" Type="http://schemas.openxmlformats.org/officeDocument/2006/relationships/hyperlink" Target="http://www.wikidata.org/entity/Q82955" TargetMode="External"/><Relationship Id="rId3116" Type="http://schemas.openxmlformats.org/officeDocument/2006/relationships/hyperlink" Target="http://www.wikidata.org/entity/Q120727152" TargetMode="External"/><Relationship Id="rId3119" Type="http://schemas.openxmlformats.org/officeDocument/2006/relationships/hyperlink" Target="http://www.wikidata.org/entity/Q219477" TargetMode="External"/><Relationship Id="rId3118" Type="http://schemas.openxmlformats.org/officeDocument/2006/relationships/hyperlink" Target="http://www.wikidata.org/entity/Q123689724" TargetMode="External"/><Relationship Id="rId3111" Type="http://schemas.openxmlformats.org/officeDocument/2006/relationships/hyperlink" Target="http://www.wikidata.org/entity/Q955464" TargetMode="External"/><Relationship Id="rId3110" Type="http://schemas.openxmlformats.org/officeDocument/2006/relationships/hyperlink" Target="http://www.wikidata.org/entity/Q123689724" TargetMode="External"/><Relationship Id="rId3113" Type="http://schemas.openxmlformats.org/officeDocument/2006/relationships/hyperlink" Target="http://www.wikidata.org/entity/Q955464" TargetMode="External"/><Relationship Id="rId3112" Type="http://schemas.openxmlformats.org/officeDocument/2006/relationships/hyperlink" Target="http://www.wikidata.org/entity/Q123689972" TargetMode="External"/><Relationship Id="rId3115" Type="http://schemas.openxmlformats.org/officeDocument/2006/relationships/hyperlink" Target="http://www.wikidata.org/entity/Q1162163" TargetMode="External"/><Relationship Id="rId3114" Type="http://schemas.openxmlformats.org/officeDocument/2006/relationships/hyperlink" Target="http://www.wikidata.org/entity/Q123689972" TargetMode="External"/><Relationship Id="rId3106" Type="http://schemas.openxmlformats.org/officeDocument/2006/relationships/hyperlink" Target="http://www.wikidata.org/entity/Q129069726" TargetMode="External"/><Relationship Id="rId3105" Type="http://schemas.openxmlformats.org/officeDocument/2006/relationships/hyperlink" Target="http://www.wikidata.org/entity/Q1650915" TargetMode="External"/><Relationship Id="rId3108" Type="http://schemas.openxmlformats.org/officeDocument/2006/relationships/hyperlink" Target="http://www.wikidata.org/entity/Q125361599" TargetMode="External"/><Relationship Id="rId3107" Type="http://schemas.openxmlformats.org/officeDocument/2006/relationships/hyperlink" Target="http://www.wikidata.org/entity/Q191808" TargetMode="External"/><Relationship Id="rId3109" Type="http://schemas.openxmlformats.org/officeDocument/2006/relationships/hyperlink" Target="http://www.wikidata.org/entity/Q191808" TargetMode="External"/><Relationship Id="rId3100" Type="http://schemas.openxmlformats.org/officeDocument/2006/relationships/hyperlink" Target="http://www.wikidata.org/entity/Q122884757" TargetMode="External"/><Relationship Id="rId3102" Type="http://schemas.openxmlformats.org/officeDocument/2006/relationships/hyperlink" Target="http://www.wikidata.org/entity/Q123689972" TargetMode="External"/><Relationship Id="rId3101" Type="http://schemas.openxmlformats.org/officeDocument/2006/relationships/hyperlink" Target="http://www.wikidata.org/entity/Q876864" TargetMode="External"/><Relationship Id="rId3104" Type="http://schemas.openxmlformats.org/officeDocument/2006/relationships/hyperlink" Target="http://www.wikidata.org/entity/Q122884757" TargetMode="External"/><Relationship Id="rId3103" Type="http://schemas.openxmlformats.org/officeDocument/2006/relationships/hyperlink" Target="http://www.wikidata.org/entity/Q115705951" TargetMode="External"/><Relationship Id="rId3139" Type="http://schemas.openxmlformats.org/officeDocument/2006/relationships/hyperlink" Target="http://www.wikidata.org/entity/Q120973922" TargetMode="External"/><Relationship Id="rId3138" Type="http://schemas.openxmlformats.org/officeDocument/2006/relationships/hyperlink" Target="http://www.wikidata.org/entity/Q82955" TargetMode="External"/><Relationship Id="rId3131" Type="http://schemas.openxmlformats.org/officeDocument/2006/relationships/hyperlink" Target="http://www.wikidata.org/entity/Q191808" TargetMode="External"/><Relationship Id="rId3130" Type="http://schemas.openxmlformats.org/officeDocument/2006/relationships/hyperlink" Target="http://www.wikidata.org/entity/Q117244211" TargetMode="External"/><Relationship Id="rId3133" Type="http://schemas.openxmlformats.org/officeDocument/2006/relationships/hyperlink" Target="http://www.wikidata.org/entity/Q123689972" TargetMode="External"/><Relationship Id="rId3132" Type="http://schemas.openxmlformats.org/officeDocument/2006/relationships/hyperlink" Target="http://commons.wikimedia.org/wiki/Special:FilePath/Foto%20Dymphna%20Gezelle%20%282%29.jpg" TargetMode="External"/><Relationship Id="rId3135" Type="http://schemas.openxmlformats.org/officeDocument/2006/relationships/hyperlink" Target="http://www.wikidata.org/entity/Q122872579" TargetMode="External"/><Relationship Id="rId3134" Type="http://schemas.openxmlformats.org/officeDocument/2006/relationships/hyperlink" Target="http://www.wikidata.org/entity/Q2251335" TargetMode="External"/><Relationship Id="rId3137" Type="http://schemas.openxmlformats.org/officeDocument/2006/relationships/hyperlink" Target="http://www.wikidata.org/entity/Q120973166" TargetMode="External"/><Relationship Id="rId3136" Type="http://schemas.openxmlformats.org/officeDocument/2006/relationships/hyperlink" Target="http://www.wikidata.org/entity/Q435940" TargetMode="External"/><Relationship Id="rId3128" Type="http://schemas.openxmlformats.org/officeDocument/2006/relationships/hyperlink" Target="http://www.wikidata.org/entity/Q120191174" TargetMode="External"/><Relationship Id="rId3127" Type="http://schemas.openxmlformats.org/officeDocument/2006/relationships/hyperlink" Target="http://www.wikidata.org/entity/Q42603" TargetMode="External"/><Relationship Id="rId3129" Type="http://schemas.openxmlformats.org/officeDocument/2006/relationships/hyperlink" Target="http://www.wikidata.org/entity/Q219477" TargetMode="External"/><Relationship Id="rId3120" Type="http://schemas.openxmlformats.org/officeDocument/2006/relationships/hyperlink" Target="http://www.wikidata.org/entity/Q123689724" TargetMode="External"/><Relationship Id="rId3122" Type="http://schemas.openxmlformats.org/officeDocument/2006/relationships/hyperlink" Target="http://www.wikidata.org/entity/Q123689724" TargetMode="External"/><Relationship Id="rId3121" Type="http://schemas.openxmlformats.org/officeDocument/2006/relationships/hyperlink" Target="http://www.wikidata.org/entity/Q1056391" TargetMode="External"/><Relationship Id="rId3124" Type="http://schemas.openxmlformats.org/officeDocument/2006/relationships/hyperlink" Target="http://www.wikidata.org/entity/Q123689972" TargetMode="External"/><Relationship Id="rId3123" Type="http://schemas.openxmlformats.org/officeDocument/2006/relationships/hyperlink" Target="http://www.wikidata.org/entity/Q250867" TargetMode="External"/><Relationship Id="rId3126" Type="http://schemas.openxmlformats.org/officeDocument/2006/relationships/hyperlink" Target="http://www.wikidata.org/entity/Q120442396" TargetMode="External"/><Relationship Id="rId3125" Type="http://schemas.openxmlformats.org/officeDocument/2006/relationships/hyperlink" Target="http://www.wikidata.org/entity/Q250867" TargetMode="External"/><Relationship Id="rId1378" Type="http://schemas.openxmlformats.org/officeDocument/2006/relationships/hyperlink" Target="http://www.wikidata.org/entity/Q62080181" TargetMode="External"/><Relationship Id="rId1379" Type="http://schemas.openxmlformats.org/officeDocument/2006/relationships/hyperlink" Target="http://www.wikidata.org/entity/Q1044528" TargetMode="External"/><Relationship Id="rId789" Type="http://schemas.openxmlformats.org/officeDocument/2006/relationships/hyperlink" Target="http://www.wikidata.org/entity/Q1162163" TargetMode="External"/><Relationship Id="rId788" Type="http://schemas.openxmlformats.org/officeDocument/2006/relationships/hyperlink" Target="http://www.wikidata.org/entity/Q981444" TargetMode="External"/><Relationship Id="rId787" Type="http://schemas.openxmlformats.org/officeDocument/2006/relationships/hyperlink" Target="http://www.wikidata.org/entity/Q14467526" TargetMode="External"/><Relationship Id="rId786" Type="http://schemas.openxmlformats.org/officeDocument/2006/relationships/hyperlink" Target="http://www.wikidata.org/entity/Q2360914" TargetMode="External"/><Relationship Id="rId781" Type="http://schemas.openxmlformats.org/officeDocument/2006/relationships/hyperlink" Target="http://www.wikidata.org/entity/Q182436" TargetMode="External"/><Relationship Id="rId1370" Type="http://schemas.openxmlformats.org/officeDocument/2006/relationships/hyperlink" Target="http://www.wikidata.org/entity/Q62080181" TargetMode="External"/><Relationship Id="rId780" Type="http://schemas.openxmlformats.org/officeDocument/2006/relationships/hyperlink" Target="http://www.wikidata.org/entity/Q2065109" TargetMode="External"/><Relationship Id="rId1371" Type="http://schemas.openxmlformats.org/officeDocument/2006/relationships/hyperlink" Target="http://www.wikidata.org/entity/Q250867" TargetMode="External"/><Relationship Id="rId1372" Type="http://schemas.openxmlformats.org/officeDocument/2006/relationships/hyperlink" Target="http://www.wikidata.org/entity/Q28584401" TargetMode="External"/><Relationship Id="rId1373" Type="http://schemas.openxmlformats.org/officeDocument/2006/relationships/hyperlink" Target="http://www.wikidata.org/entity/Q42973" TargetMode="External"/><Relationship Id="rId785" Type="http://schemas.openxmlformats.org/officeDocument/2006/relationships/hyperlink" Target="http://commons.wikimedia.org/wiki/Special:FilePath/Ferdinand%20Vander%20Haeghen.jpg" TargetMode="External"/><Relationship Id="rId1374" Type="http://schemas.openxmlformats.org/officeDocument/2006/relationships/hyperlink" Target="http://commons.wikimedia.org/wiki/Special:FilePath/Pierre%20Nicolas%20Croquison.jpg" TargetMode="External"/><Relationship Id="rId784" Type="http://schemas.openxmlformats.org/officeDocument/2006/relationships/hyperlink" Target="http://www.wikidata.org/entity/Q201788" TargetMode="External"/><Relationship Id="rId1375" Type="http://schemas.openxmlformats.org/officeDocument/2006/relationships/hyperlink" Target="http://www.wikidata.org/entity/Q23895006" TargetMode="External"/><Relationship Id="rId783" Type="http://schemas.openxmlformats.org/officeDocument/2006/relationships/hyperlink" Target="http://www.wikidata.org/entity/Q2065109" TargetMode="External"/><Relationship Id="rId1376" Type="http://schemas.openxmlformats.org/officeDocument/2006/relationships/hyperlink" Target="http://www.wikidata.org/entity/Q955464" TargetMode="External"/><Relationship Id="rId782" Type="http://schemas.openxmlformats.org/officeDocument/2006/relationships/hyperlink" Target="http://commons.wikimedia.org/wiki/Special:FilePath/Ferdinand%20Vander%20Haeghen.jpg" TargetMode="External"/><Relationship Id="rId1377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367" Type="http://schemas.openxmlformats.org/officeDocument/2006/relationships/hyperlink" Target="http://www.wikidata.org/entity/Q13418253" TargetMode="External"/><Relationship Id="rId2698" Type="http://schemas.openxmlformats.org/officeDocument/2006/relationships/hyperlink" Target="http://www.wikidata.org/entity/Q250867" TargetMode="External"/><Relationship Id="rId1368" Type="http://schemas.openxmlformats.org/officeDocument/2006/relationships/hyperlink" Target="http://www.wikidata.org/entity/Q62080181" TargetMode="External"/><Relationship Id="rId2699" Type="http://schemas.openxmlformats.org/officeDocument/2006/relationships/hyperlink" Target="http://www.wikidata.org/entity/Q115815004" TargetMode="External"/><Relationship Id="rId1369" Type="http://schemas.openxmlformats.org/officeDocument/2006/relationships/hyperlink" Target="http://www.wikidata.org/entity/Q201788" TargetMode="External"/><Relationship Id="rId778" Type="http://schemas.openxmlformats.org/officeDocument/2006/relationships/hyperlink" Target="http://www.wikidata.org/entity/Q955464" TargetMode="External"/><Relationship Id="rId777" Type="http://schemas.openxmlformats.org/officeDocument/2006/relationships/hyperlink" Target="http://www.wikidata.org/entity/Q981444" TargetMode="External"/><Relationship Id="rId776" Type="http://schemas.openxmlformats.org/officeDocument/2006/relationships/hyperlink" Target="http://commons.wikimedia.org/wiki/Special:FilePath/Ferdinand%20Vander%20Haeghen.jpg" TargetMode="External"/><Relationship Id="rId775" Type="http://schemas.openxmlformats.org/officeDocument/2006/relationships/hyperlink" Target="http://www.wikidata.org/entity/Q82955" TargetMode="External"/><Relationship Id="rId779" Type="http://schemas.openxmlformats.org/officeDocument/2006/relationships/hyperlink" Target="http://commons.wikimedia.org/wiki/Special:FilePath/HugoVerriest.jpg" TargetMode="External"/><Relationship Id="rId770" Type="http://schemas.openxmlformats.org/officeDocument/2006/relationships/hyperlink" Target="http://www.wikidata.org/entity/Q998550" TargetMode="External"/><Relationship Id="rId2690" Type="http://schemas.openxmlformats.org/officeDocument/2006/relationships/hyperlink" Target="http://www.wikidata.org/entity/Q955464" TargetMode="External"/><Relationship Id="rId1360" Type="http://schemas.openxmlformats.org/officeDocument/2006/relationships/hyperlink" Target="http://www.wikidata.org/entity/Q45029767" TargetMode="External"/><Relationship Id="rId2691" Type="http://schemas.openxmlformats.org/officeDocument/2006/relationships/hyperlink" Target="http://www.wikidata.org/entity/Q115818151" TargetMode="External"/><Relationship Id="rId1361" Type="http://schemas.openxmlformats.org/officeDocument/2006/relationships/hyperlink" Target="http://www.wikidata.org/entity/Q11977377" TargetMode="External"/><Relationship Id="rId2692" Type="http://schemas.openxmlformats.org/officeDocument/2006/relationships/hyperlink" Target="http://www.wikidata.org/entity/Q955464" TargetMode="External"/><Relationship Id="rId1362" Type="http://schemas.openxmlformats.org/officeDocument/2006/relationships/hyperlink" Target="http://www.wikidata.org/entity/Q56174577" TargetMode="External"/><Relationship Id="rId2693" Type="http://schemas.openxmlformats.org/officeDocument/2006/relationships/hyperlink" Target="http://www.wikidata.org/entity/Q115817263" TargetMode="External"/><Relationship Id="rId774" Type="http://schemas.openxmlformats.org/officeDocument/2006/relationships/hyperlink" Target="http://www.wikidata.org/entity/Q2065109" TargetMode="External"/><Relationship Id="rId1363" Type="http://schemas.openxmlformats.org/officeDocument/2006/relationships/hyperlink" Target="http://www.wikidata.org/entity/Q36180" TargetMode="External"/><Relationship Id="rId2694" Type="http://schemas.openxmlformats.org/officeDocument/2006/relationships/hyperlink" Target="http://www.wikidata.org/entity/Q250867" TargetMode="External"/><Relationship Id="rId773" Type="http://schemas.openxmlformats.org/officeDocument/2006/relationships/hyperlink" Target="http://commons.wikimedia.org/wiki/Special:FilePath/Portret%20van%20Jean%20Casier%201880%20barcode%20910000105033.jpg" TargetMode="External"/><Relationship Id="rId1364" Type="http://schemas.openxmlformats.org/officeDocument/2006/relationships/hyperlink" Target="http://www.wikidata.org/entity/Q56174577" TargetMode="External"/><Relationship Id="rId2695" Type="http://schemas.openxmlformats.org/officeDocument/2006/relationships/hyperlink" Target="http://www.wikidata.org/entity/Q115818151" TargetMode="External"/><Relationship Id="rId772" Type="http://schemas.openxmlformats.org/officeDocument/2006/relationships/hyperlink" Target="http://www.wikidata.org/entity/Q6606110" TargetMode="External"/><Relationship Id="rId1365" Type="http://schemas.openxmlformats.org/officeDocument/2006/relationships/hyperlink" Target="http://www.wikidata.org/entity/Q42973" TargetMode="External"/><Relationship Id="rId2696" Type="http://schemas.openxmlformats.org/officeDocument/2006/relationships/hyperlink" Target="http://www.wikidata.org/entity/Q1056391" TargetMode="External"/><Relationship Id="rId771" Type="http://schemas.openxmlformats.org/officeDocument/2006/relationships/hyperlink" Target="http://www.wikidata.org/entity/Q3171149" TargetMode="External"/><Relationship Id="rId1366" Type="http://schemas.openxmlformats.org/officeDocument/2006/relationships/hyperlink" Target="http://www.wikidata.org/entity/Q28973666" TargetMode="External"/><Relationship Id="rId2697" Type="http://schemas.openxmlformats.org/officeDocument/2006/relationships/hyperlink" Target="http://www.wikidata.org/entity/Q115818151" TargetMode="External"/><Relationship Id="rId1390" Type="http://schemas.openxmlformats.org/officeDocument/2006/relationships/hyperlink" Target="http://www.wikidata.org/entity/Q119690392" TargetMode="External"/><Relationship Id="rId1391" Type="http://schemas.openxmlformats.org/officeDocument/2006/relationships/hyperlink" Target="http://www.wikidata.org/entity/Q219477" TargetMode="External"/><Relationship Id="rId1392" Type="http://schemas.openxmlformats.org/officeDocument/2006/relationships/hyperlink" Target="http://www.wikidata.org/entity/Q119690392" TargetMode="External"/><Relationship Id="rId1393" Type="http://schemas.openxmlformats.org/officeDocument/2006/relationships/hyperlink" Target="http://www.wikidata.org/entity/Q1056391" TargetMode="External"/><Relationship Id="rId1394" Type="http://schemas.openxmlformats.org/officeDocument/2006/relationships/hyperlink" Target="http://www.wikidata.org/entity/Q119690392" TargetMode="External"/><Relationship Id="rId1395" Type="http://schemas.openxmlformats.org/officeDocument/2006/relationships/hyperlink" Target="http://www.wikidata.org/entity/Q250867" TargetMode="External"/><Relationship Id="rId1396" Type="http://schemas.openxmlformats.org/officeDocument/2006/relationships/hyperlink" Target="http://www.wikidata.org/entity/Q119796023" TargetMode="External"/><Relationship Id="rId1397" Type="http://schemas.openxmlformats.org/officeDocument/2006/relationships/hyperlink" Target="http://www.wikidata.org/entity/Q2516866" TargetMode="External"/><Relationship Id="rId1398" Type="http://schemas.openxmlformats.org/officeDocument/2006/relationships/hyperlink" Target="http://www.wikidata.org/entity/Q117244643" TargetMode="External"/><Relationship Id="rId1399" Type="http://schemas.openxmlformats.org/officeDocument/2006/relationships/hyperlink" Target="http://www.wikidata.org/entity/Q38126150" TargetMode="External"/><Relationship Id="rId1389" Type="http://schemas.openxmlformats.org/officeDocument/2006/relationships/hyperlink" Target="http://www.wikidata.org/entity/Q182436" TargetMode="External"/><Relationship Id="rId799" Type="http://schemas.openxmlformats.org/officeDocument/2006/relationships/hyperlink" Target="http://www.wikidata.org/entity/Q2251335" TargetMode="External"/><Relationship Id="rId798" Type="http://schemas.openxmlformats.org/officeDocument/2006/relationships/hyperlink" Target="http://www.wikidata.org/entity/Q981444" TargetMode="External"/><Relationship Id="rId797" Type="http://schemas.openxmlformats.org/officeDocument/2006/relationships/hyperlink" Target="http://commons.wikimedia.org/wiki/Special:FilePath/Theophiel%20Coopman%20%281852-1915%29.jpg" TargetMode="External"/><Relationship Id="rId1380" Type="http://schemas.openxmlformats.org/officeDocument/2006/relationships/hyperlink" Target="http://www.wikidata.org/entity/Q23895006" TargetMode="External"/><Relationship Id="rId792" Type="http://schemas.openxmlformats.org/officeDocument/2006/relationships/hyperlink" Target="http://www.wikidata.org/entity/Q14467526" TargetMode="External"/><Relationship Id="rId1381" Type="http://schemas.openxmlformats.org/officeDocument/2006/relationships/hyperlink" Target="http://www.wikidata.org/entity/Q201788" TargetMode="External"/><Relationship Id="rId791" Type="http://schemas.openxmlformats.org/officeDocument/2006/relationships/hyperlink" Target="http://www.wikidata.org/entity/Q2361397" TargetMode="External"/><Relationship Id="rId1382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790" Type="http://schemas.openxmlformats.org/officeDocument/2006/relationships/hyperlink" Target="http://commons.wikimedia.org/wiki/Special:FilePath/HugoVerriest.jpg" TargetMode="External"/><Relationship Id="rId1383" Type="http://schemas.openxmlformats.org/officeDocument/2006/relationships/hyperlink" Target="http://www.wikidata.org/entity/Q62080181" TargetMode="External"/><Relationship Id="rId1384" Type="http://schemas.openxmlformats.org/officeDocument/2006/relationships/hyperlink" Target="http://www.wikidata.org/entity/Q1104153" TargetMode="External"/><Relationship Id="rId796" Type="http://schemas.openxmlformats.org/officeDocument/2006/relationships/hyperlink" Target="http://www.wikidata.org/entity/Q326653" TargetMode="External"/><Relationship Id="rId1385" Type="http://schemas.openxmlformats.org/officeDocument/2006/relationships/hyperlink" Target="http://www.wikidata.org/entity/Q122780659" TargetMode="External"/><Relationship Id="rId795" Type="http://schemas.openxmlformats.org/officeDocument/2006/relationships/hyperlink" Target="http://www.wikidata.org/entity/Q719358" TargetMode="External"/><Relationship Id="rId1386" Type="http://schemas.openxmlformats.org/officeDocument/2006/relationships/hyperlink" Target="http://www.wikidata.org/entity/Q119796023" TargetMode="External"/><Relationship Id="rId794" Type="http://schemas.openxmlformats.org/officeDocument/2006/relationships/hyperlink" Target="http://www.wikidata.org/entity/Q294126" TargetMode="External"/><Relationship Id="rId1387" Type="http://schemas.openxmlformats.org/officeDocument/2006/relationships/hyperlink" Target="http://www.wikidata.org/entity/Q175151" TargetMode="External"/><Relationship Id="rId793" Type="http://schemas.openxmlformats.org/officeDocument/2006/relationships/hyperlink" Target="http://www.wikidata.org/entity/Q4722117" TargetMode="External"/><Relationship Id="rId1388" Type="http://schemas.openxmlformats.org/officeDocument/2006/relationships/hyperlink" Target="http://www.wikidata.org/entity/Q119796023" TargetMode="External"/><Relationship Id="rId3191" Type="http://schemas.openxmlformats.org/officeDocument/2006/relationships/hyperlink" Target="http://www.wikidata.org/entity/Q116621244" TargetMode="External"/><Relationship Id="rId3190" Type="http://schemas.openxmlformats.org/officeDocument/2006/relationships/hyperlink" Target="http://www.wikidata.org/entity/Q116620833" TargetMode="External"/><Relationship Id="rId3193" Type="http://schemas.openxmlformats.org/officeDocument/2006/relationships/hyperlink" Target="http://www.wikidata.org/entity/Q117246934" TargetMode="External"/><Relationship Id="rId3192" Type="http://schemas.openxmlformats.org/officeDocument/2006/relationships/hyperlink" Target="http://www.wikidata.org/entity/Q117229566" TargetMode="External"/><Relationship Id="rId3195" Type="http://schemas.openxmlformats.org/officeDocument/2006/relationships/hyperlink" Target="http://www.wikidata.org/entity/Q122801530" TargetMode="External"/><Relationship Id="rId3194" Type="http://schemas.openxmlformats.org/officeDocument/2006/relationships/hyperlink" Target="http://www.wikidata.org/entity/Q118732552" TargetMode="External"/><Relationship Id="rId3197" Type="http://schemas.openxmlformats.org/officeDocument/2006/relationships/hyperlink" Target="http://www.wikidata.org/entity/Q125472922" TargetMode="External"/><Relationship Id="rId3196" Type="http://schemas.openxmlformats.org/officeDocument/2006/relationships/hyperlink" Target="http://www.wikidata.org/entity/Q1776501" TargetMode="External"/><Relationship Id="rId3199" Type="http://schemas.openxmlformats.org/officeDocument/2006/relationships/hyperlink" Target="http://www.wikidata.org/entity/Q115980136" TargetMode="External"/><Relationship Id="rId3198" Type="http://schemas.openxmlformats.org/officeDocument/2006/relationships/hyperlink" Target="http://www.wikidata.org/entity/Q40348" TargetMode="External"/><Relationship Id="rId3180" Type="http://schemas.openxmlformats.org/officeDocument/2006/relationships/hyperlink" Target="http://www.wikidata.org/entity/Q37226" TargetMode="External"/><Relationship Id="rId3182" Type="http://schemas.openxmlformats.org/officeDocument/2006/relationships/hyperlink" Target="http://www.wikidata.org/entity/Q191808" TargetMode="External"/><Relationship Id="rId3181" Type="http://schemas.openxmlformats.org/officeDocument/2006/relationships/hyperlink" Target="http://www.wikidata.org/entity/Q122801530" TargetMode="External"/><Relationship Id="rId3184" Type="http://schemas.openxmlformats.org/officeDocument/2006/relationships/hyperlink" Target="http://www.wikidata.org/entity/Q1776501" TargetMode="External"/><Relationship Id="rId3183" Type="http://schemas.openxmlformats.org/officeDocument/2006/relationships/hyperlink" Target="http://www.wikidata.org/entity/Q125394996" TargetMode="External"/><Relationship Id="rId3186" Type="http://schemas.openxmlformats.org/officeDocument/2006/relationships/hyperlink" Target="http://www.wikidata.org/entity/Q147618" TargetMode="External"/><Relationship Id="rId3185" Type="http://schemas.openxmlformats.org/officeDocument/2006/relationships/hyperlink" Target="http://www.wikidata.org/entity/Q123413906" TargetMode="External"/><Relationship Id="rId3188" Type="http://schemas.openxmlformats.org/officeDocument/2006/relationships/hyperlink" Target="http://www.wikidata.org/entity/Q82955" TargetMode="External"/><Relationship Id="rId3187" Type="http://schemas.openxmlformats.org/officeDocument/2006/relationships/hyperlink" Target="http://www.wikidata.org/entity/Q116679969" TargetMode="External"/><Relationship Id="rId3189" Type="http://schemas.openxmlformats.org/officeDocument/2006/relationships/hyperlink" Target="http://www.wikidata.org/entity/Q116510419" TargetMode="External"/><Relationship Id="rId3151" Type="http://schemas.openxmlformats.org/officeDocument/2006/relationships/hyperlink" Target="http://www.wikidata.org/entity/Q118766019" TargetMode="External"/><Relationship Id="rId3150" Type="http://schemas.openxmlformats.org/officeDocument/2006/relationships/hyperlink" Target="http://www.wikidata.org/entity/Q189010" TargetMode="External"/><Relationship Id="rId3153" Type="http://schemas.openxmlformats.org/officeDocument/2006/relationships/hyperlink" Target="http://www.wikidata.org/entity/Q120176244" TargetMode="External"/><Relationship Id="rId3152" Type="http://schemas.openxmlformats.org/officeDocument/2006/relationships/hyperlink" Target="http://www.wikidata.org/entity/Q7313543" TargetMode="External"/><Relationship Id="rId3155" Type="http://schemas.openxmlformats.org/officeDocument/2006/relationships/hyperlink" Target="http://www.wikidata.org/entity/Q125559455" TargetMode="External"/><Relationship Id="rId3154" Type="http://schemas.openxmlformats.org/officeDocument/2006/relationships/hyperlink" Target="http://www.wikidata.org/entity/Q435940" TargetMode="External"/><Relationship Id="rId3157" Type="http://schemas.openxmlformats.org/officeDocument/2006/relationships/hyperlink" Target="http://www.wikidata.org/entity/Q117246862" TargetMode="External"/><Relationship Id="rId3156" Type="http://schemas.openxmlformats.org/officeDocument/2006/relationships/hyperlink" Target="http://www.wikidata.org/entity/Q42603" TargetMode="External"/><Relationship Id="rId3159" Type="http://schemas.openxmlformats.org/officeDocument/2006/relationships/hyperlink" Target="http://www.wikidata.org/entity/Q120199426" TargetMode="External"/><Relationship Id="rId3158" Type="http://schemas.openxmlformats.org/officeDocument/2006/relationships/hyperlink" Target="http://www.wikidata.org/entity/Q191808" TargetMode="External"/><Relationship Id="rId3149" Type="http://schemas.openxmlformats.org/officeDocument/2006/relationships/hyperlink" Target="http://www.wikidata.org/entity/Q120973166" TargetMode="External"/><Relationship Id="rId3140" Type="http://schemas.openxmlformats.org/officeDocument/2006/relationships/hyperlink" Target="http://www.wikidata.org/entity/Q215536" TargetMode="External"/><Relationship Id="rId3142" Type="http://schemas.openxmlformats.org/officeDocument/2006/relationships/hyperlink" Target="http://www.wikidata.org/entity/Q4991371" TargetMode="External"/><Relationship Id="rId3141" Type="http://schemas.openxmlformats.org/officeDocument/2006/relationships/hyperlink" Target="http://www.wikidata.org/entity/Q120973922" TargetMode="External"/><Relationship Id="rId3144" Type="http://schemas.openxmlformats.org/officeDocument/2006/relationships/hyperlink" Target="http://www.wikidata.org/entity/Q161944" TargetMode="External"/><Relationship Id="rId3143" Type="http://schemas.openxmlformats.org/officeDocument/2006/relationships/hyperlink" Target="http://www.wikidata.org/entity/Q118998340" TargetMode="External"/><Relationship Id="rId3146" Type="http://schemas.openxmlformats.org/officeDocument/2006/relationships/hyperlink" Target="http://www.wikidata.org/entity/Q219477" TargetMode="External"/><Relationship Id="rId3145" Type="http://schemas.openxmlformats.org/officeDocument/2006/relationships/hyperlink" Target="http://www.wikidata.org/entity/Q118998340" TargetMode="External"/><Relationship Id="rId3148" Type="http://schemas.openxmlformats.org/officeDocument/2006/relationships/hyperlink" Target="http://www.wikidata.org/entity/Q1056310" TargetMode="External"/><Relationship Id="rId3147" Type="http://schemas.openxmlformats.org/officeDocument/2006/relationships/hyperlink" Target="http://www.wikidata.org/entity/Q118998340" TargetMode="External"/><Relationship Id="rId3171" Type="http://schemas.openxmlformats.org/officeDocument/2006/relationships/hyperlink" Target="http://www.wikidata.org/entity/Q115982485" TargetMode="External"/><Relationship Id="rId3170" Type="http://schemas.openxmlformats.org/officeDocument/2006/relationships/hyperlink" Target="http://www.wikidata.org/entity/Q250867" TargetMode="External"/><Relationship Id="rId3173" Type="http://schemas.openxmlformats.org/officeDocument/2006/relationships/hyperlink" Target="http://www.wikidata.org/entity/Q125394996" TargetMode="External"/><Relationship Id="rId3172" Type="http://schemas.openxmlformats.org/officeDocument/2006/relationships/hyperlink" Target="http://www.wikidata.org/entity/Q2251335" TargetMode="External"/><Relationship Id="rId3175" Type="http://schemas.openxmlformats.org/officeDocument/2006/relationships/hyperlink" Target="http://www.wikidata.org/entity/Q118998340" TargetMode="External"/><Relationship Id="rId3174" Type="http://schemas.openxmlformats.org/officeDocument/2006/relationships/hyperlink" Target="http://www.wikidata.org/entity/Q191808" TargetMode="External"/><Relationship Id="rId3177" Type="http://schemas.openxmlformats.org/officeDocument/2006/relationships/hyperlink" Target="http://www.wikidata.org/entity/Q119013806" TargetMode="External"/><Relationship Id="rId3176" Type="http://schemas.openxmlformats.org/officeDocument/2006/relationships/hyperlink" Target="http://www.wikidata.org/entity/Q1469535" TargetMode="External"/><Relationship Id="rId3179" Type="http://schemas.openxmlformats.org/officeDocument/2006/relationships/hyperlink" Target="http://www.wikidata.org/entity/Q116621725" TargetMode="External"/><Relationship Id="rId3178" Type="http://schemas.openxmlformats.org/officeDocument/2006/relationships/hyperlink" Target="http://www.wikidata.org/entity/Q175151" TargetMode="External"/><Relationship Id="rId3160" Type="http://schemas.openxmlformats.org/officeDocument/2006/relationships/hyperlink" Target="http://www.wikidata.org/entity/Q2251335" TargetMode="External"/><Relationship Id="rId3162" Type="http://schemas.openxmlformats.org/officeDocument/2006/relationships/hyperlink" Target="http://www.wikidata.org/entity/Q1753370" TargetMode="External"/><Relationship Id="rId3161" Type="http://schemas.openxmlformats.org/officeDocument/2006/relationships/hyperlink" Target="http://www.wikidata.org/entity/Q123689724" TargetMode="External"/><Relationship Id="rId3164" Type="http://schemas.openxmlformats.org/officeDocument/2006/relationships/hyperlink" Target="http://www.wikidata.org/entity/Q250867" TargetMode="External"/><Relationship Id="rId3163" Type="http://schemas.openxmlformats.org/officeDocument/2006/relationships/hyperlink" Target="http://www.wikidata.org/entity/Q115980136" TargetMode="External"/><Relationship Id="rId3166" Type="http://schemas.openxmlformats.org/officeDocument/2006/relationships/hyperlink" Target="http://www.wikidata.org/entity/Q955464" TargetMode="External"/><Relationship Id="rId3165" Type="http://schemas.openxmlformats.org/officeDocument/2006/relationships/hyperlink" Target="http://www.wikidata.org/entity/Q115982485" TargetMode="External"/><Relationship Id="rId3168" Type="http://schemas.openxmlformats.org/officeDocument/2006/relationships/hyperlink" Target="http://www.wikidata.org/entity/Q539371" TargetMode="External"/><Relationship Id="rId3167" Type="http://schemas.openxmlformats.org/officeDocument/2006/relationships/hyperlink" Target="http://www.wikidata.org/entity/Q122884757" TargetMode="External"/><Relationship Id="rId3169" Type="http://schemas.openxmlformats.org/officeDocument/2006/relationships/hyperlink" Target="http://www.wikidata.org/entity/Q115982485" TargetMode="External"/><Relationship Id="rId2700" Type="http://schemas.openxmlformats.org/officeDocument/2006/relationships/hyperlink" Target="http://www.wikidata.org/entity/Q2251335" TargetMode="External"/><Relationship Id="rId2701" Type="http://schemas.openxmlformats.org/officeDocument/2006/relationships/hyperlink" Target="http://www.wikidata.org/entity/Q115817390" TargetMode="External"/><Relationship Id="rId2702" Type="http://schemas.openxmlformats.org/officeDocument/2006/relationships/hyperlink" Target="http://www.wikidata.org/entity/Q2141193" TargetMode="External"/><Relationship Id="rId2703" Type="http://schemas.openxmlformats.org/officeDocument/2006/relationships/hyperlink" Target="http://www.wikidata.org/entity/Q115820636" TargetMode="External"/><Relationship Id="rId2704" Type="http://schemas.openxmlformats.org/officeDocument/2006/relationships/hyperlink" Target="http://www.wikidata.org/entity/Q219477" TargetMode="External"/><Relationship Id="rId2705" Type="http://schemas.openxmlformats.org/officeDocument/2006/relationships/hyperlink" Target="http://www.wikidata.org/entity/Q115821474" TargetMode="External"/><Relationship Id="rId2706" Type="http://schemas.openxmlformats.org/officeDocument/2006/relationships/hyperlink" Target="http://www.wikidata.org/entity/Q955464" TargetMode="External"/><Relationship Id="rId2707" Type="http://schemas.openxmlformats.org/officeDocument/2006/relationships/hyperlink" Target="http://www.wikidata.org/entity/Q115821474" TargetMode="External"/><Relationship Id="rId2708" Type="http://schemas.openxmlformats.org/officeDocument/2006/relationships/hyperlink" Target="http://www.wikidata.org/entity/Q250867" TargetMode="External"/><Relationship Id="rId2709" Type="http://schemas.openxmlformats.org/officeDocument/2006/relationships/hyperlink" Target="http://www.wikidata.org/entity/Q115818151" TargetMode="External"/><Relationship Id="rId2720" Type="http://schemas.openxmlformats.org/officeDocument/2006/relationships/hyperlink" Target="http://www.wikidata.org/entity/Q2251335" TargetMode="External"/><Relationship Id="rId2721" Type="http://schemas.openxmlformats.org/officeDocument/2006/relationships/hyperlink" Target="http://www.wikidata.org/entity/Q115825488" TargetMode="External"/><Relationship Id="rId2722" Type="http://schemas.openxmlformats.org/officeDocument/2006/relationships/hyperlink" Target="http://www.wikidata.org/entity/Q2251335" TargetMode="External"/><Relationship Id="rId2723" Type="http://schemas.openxmlformats.org/officeDocument/2006/relationships/hyperlink" Target="http://www.wikidata.org/entity/Q115840228" TargetMode="External"/><Relationship Id="rId2724" Type="http://schemas.openxmlformats.org/officeDocument/2006/relationships/hyperlink" Target="http://www.wikidata.org/entity/Q114371470" TargetMode="External"/><Relationship Id="rId2725" Type="http://schemas.openxmlformats.org/officeDocument/2006/relationships/hyperlink" Target="http://www.wikidata.org/entity/Q115839353" TargetMode="External"/><Relationship Id="rId2726" Type="http://schemas.openxmlformats.org/officeDocument/2006/relationships/hyperlink" Target="http://www.wikidata.org/entity/Q115705951" TargetMode="External"/><Relationship Id="rId2727" Type="http://schemas.openxmlformats.org/officeDocument/2006/relationships/hyperlink" Target="http://www.wikidata.org/entity/Q115837633" TargetMode="External"/><Relationship Id="rId2728" Type="http://schemas.openxmlformats.org/officeDocument/2006/relationships/hyperlink" Target="http://www.wikidata.org/entity/Q118395622" TargetMode="External"/><Relationship Id="rId2729" Type="http://schemas.openxmlformats.org/officeDocument/2006/relationships/hyperlink" Target="http://www.wikidata.org/entity/Q115829623" TargetMode="External"/><Relationship Id="rId2710" Type="http://schemas.openxmlformats.org/officeDocument/2006/relationships/hyperlink" Target="http://www.wikidata.org/entity/Q2251335" TargetMode="External"/><Relationship Id="rId2711" Type="http://schemas.openxmlformats.org/officeDocument/2006/relationships/hyperlink" Target="http://www.wikidata.org/entity/Q115829623" TargetMode="External"/><Relationship Id="rId2712" Type="http://schemas.openxmlformats.org/officeDocument/2006/relationships/hyperlink" Target="http://www.wikidata.org/entity/Q115705951" TargetMode="External"/><Relationship Id="rId2713" Type="http://schemas.openxmlformats.org/officeDocument/2006/relationships/hyperlink" Target="http://www.wikidata.org/entity/Q115825488" TargetMode="External"/><Relationship Id="rId2714" Type="http://schemas.openxmlformats.org/officeDocument/2006/relationships/hyperlink" Target="http://www.wikidata.org/entity/Q955464" TargetMode="External"/><Relationship Id="rId2715" Type="http://schemas.openxmlformats.org/officeDocument/2006/relationships/hyperlink" Target="http://www.wikidata.org/entity/Q115825488" TargetMode="External"/><Relationship Id="rId2716" Type="http://schemas.openxmlformats.org/officeDocument/2006/relationships/hyperlink" Target="http://www.wikidata.org/entity/Q1056391" TargetMode="External"/><Relationship Id="rId2717" Type="http://schemas.openxmlformats.org/officeDocument/2006/relationships/hyperlink" Target="http://www.wikidata.org/entity/Q115821474" TargetMode="External"/><Relationship Id="rId2718" Type="http://schemas.openxmlformats.org/officeDocument/2006/relationships/hyperlink" Target="http://www.wikidata.org/entity/Q2251335" TargetMode="External"/><Relationship Id="rId2719" Type="http://schemas.openxmlformats.org/officeDocument/2006/relationships/hyperlink" Target="http://www.wikidata.org/entity/Q110039252" TargetMode="External"/><Relationship Id="rId1455" Type="http://schemas.openxmlformats.org/officeDocument/2006/relationships/hyperlink" Target="http://www.wikidata.org/entity/Q115834468" TargetMode="External"/><Relationship Id="rId2786" Type="http://schemas.openxmlformats.org/officeDocument/2006/relationships/hyperlink" Target="http://www.wikidata.org/entity/Q219477" TargetMode="External"/><Relationship Id="rId1456" Type="http://schemas.openxmlformats.org/officeDocument/2006/relationships/hyperlink" Target="http://www.wikidata.org/entity/Q1753370" TargetMode="External"/><Relationship Id="rId2787" Type="http://schemas.openxmlformats.org/officeDocument/2006/relationships/hyperlink" Target="http://www.wikidata.org/entity/Q115836962" TargetMode="External"/><Relationship Id="rId1457" Type="http://schemas.openxmlformats.org/officeDocument/2006/relationships/hyperlink" Target="http://www.wikidata.org/entity/Q115836535" TargetMode="External"/><Relationship Id="rId2788" Type="http://schemas.openxmlformats.org/officeDocument/2006/relationships/hyperlink" Target="http://www.wikidata.org/entity/Q2251335" TargetMode="External"/><Relationship Id="rId1458" Type="http://schemas.openxmlformats.org/officeDocument/2006/relationships/hyperlink" Target="http://www.wikidata.org/entity/Q435940" TargetMode="External"/><Relationship Id="rId2789" Type="http://schemas.openxmlformats.org/officeDocument/2006/relationships/hyperlink" Target="http://www.wikidata.org/entity/Q115841074" TargetMode="External"/><Relationship Id="rId1459" Type="http://schemas.openxmlformats.org/officeDocument/2006/relationships/hyperlink" Target="http://www.wikidata.org/entity/Q116621328" TargetMode="External"/><Relationship Id="rId629" Type="http://schemas.openxmlformats.org/officeDocument/2006/relationships/hyperlink" Target="http://www.wikidata.org/entity/Q114945031" TargetMode="External"/><Relationship Id="rId624" Type="http://schemas.openxmlformats.org/officeDocument/2006/relationships/hyperlink" Target="http://www.wikidata.org/entity/Q250867" TargetMode="External"/><Relationship Id="rId623" Type="http://schemas.openxmlformats.org/officeDocument/2006/relationships/hyperlink" Target="http://www.wikidata.org/entity/Q114945031" TargetMode="External"/><Relationship Id="rId622" Type="http://schemas.openxmlformats.org/officeDocument/2006/relationships/hyperlink" Target="http://www.wikidata.org/entity/Q1056391" TargetMode="External"/><Relationship Id="rId621" Type="http://schemas.openxmlformats.org/officeDocument/2006/relationships/hyperlink" Target="http://www.wikidata.org/entity/Q114945031" TargetMode="External"/><Relationship Id="rId628" Type="http://schemas.openxmlformats.org/officeDocument/2006/relationships/hyperlink" Target="http://www.wikidata.org/entity/Q1622272" TargetMode="External"/><Relationship Id="rId627" Type="http://schemas.openxmlformats.org/officeDocument/2006/relationships/hyperlink" Target="http://www.wikidata.org/entity/Q114945031" TargetMode="External"/><Relationship Id="rId626" Type="http://schemas.openxmlformats.org/officeDocument/2006/relationships/hyperlink" Target="http://www.wikidata.org/entity/Q725440" TargetMode="External"/><Relationship Id="rId625" Type="http://schemas.openxmlformats.org/officeDocument/2006/relationships/hyperlink" Target="http://www.wikidata.org/entity/Q114945031" TargetMode="External"/><Relationship Id="rId2780" Type="http://schemas.openxmlformats.org/officeDocument/2006/relationships/hyperlink" Target="http://www.wikidata.org/entity/Q250867" TargetMode="External"/><Relationship Id="rId1450" Type="http://schemas.openxmlformats.org/officeDocument/2006/relationships/hyperlink" Target="http://www.wikidata.org/entity/Q1753370" TargetMode="External"/><Relationship Id="rId2781" Type="http://schemas.openxmlformats.org/officeDocument/2006/relationships/hyperlink" Target="http://www.wikidata.org/entity/Q115841074" TargetMode="External"/><Relationship Id="rId620" Type="http://schemas.openxmlformats.org/officeDocument/2006/relationships/hyperlink" Target="http://commons.wikimedia.org/wiki/Special:FilePath/De%20Potter%20Frans%20070512.png" TargetMode="External"/><Relationship Id="rId1451" Type="http://schemas.openxmlformats.org/officeDocument/2006/relationships/hyperlink" Target="http://www.wikidata.org/entity/Q115844105" TargetMode="External"/><Relationship Id="rId2782" Type="http://schemas.openxmlformats.org/officeDocument/2006/relationships/hyperlink" Target="http://www.wikidata.org/entity/Q955464" TargetMode="External"/><Relationship Id="rId1452" Type="http://schemas.openxmlformats.org/officeDocument/2006/relationships/hyperlink" Target="http://www.wikidata.org/entity/Q2251335" TargetMode="External"/><Relationship Id="rId2783" Type="http://schemas.openxmlformats.org/officeDocument/2006/relationships/hyperlink" Target="http://www.wikidata.org/entity/Q115840228" TargetMode="External"/><Relationship Id="rId1453" Type="http://schemas.openxmlformats.org/officeDocument/2006/relationships/hyperlink" Target="http://www.wikidata.org/entity/Q115836065" TargetMode="External"/><Relationship Id="rId2784" Type="http://schemas.openxmlformats.org/officeDocument/2006/relationships/hyperlink" Target="http://www.wikidata.org/entity/Q250867" TargetMode="External"/><Relationship Id="rId1454" Type="http://schemas.openxmlformats.org/officeDocument/2006/relationships/hyperlink" Target="http://www.wikidata.org/entity/Q1469535" TargetMode="External"/><Relationship Id="rId2785" Type="http://schemas.openxmlformats.org/officeDocument/2006/relationships/hyperlink" Target="http://www.wikidata.org/entity/Q115840920" TargetMode="External"/><Relationship Id="rId1444" Type="http://schemas.openxmlformats.org/officeDocument/2006/relationships/hyperlink" Target="http://www.wikidata.org/entity/Q955464" TargetMode="External"/><Relationship Id="rId2775" Type="http://schemas.openxmlformats.org/officeDocument/2006/relationships/hyperlink" Target="http://www.wikidata.org/entity/Q115839353" TargetMode="External"/><Relationship Id="rId1445" Type="http://schemas.openxmlformats.org/officeDocument/2006/relationships/hyperlink" Target="http://www.wikidata.org/entity/Q115844105" TargetMode="External"/><Relationship Id="rId2776" Type="http://schemas.openxmlformats.org/officeDocument/2006/relationships/hyperlink" Target="http://www.wikidata.org/entity/Q201788" TargetMode="External"/><Relationship Id="rId1446" Type="http://schemas.openxmlformats.org/officeDocument/2006/relationships/hyperlink" Target="http://www.wikidata.org/entity/Q250867" TargetMode="External"/><Relationship Id="rId2777" Type="http://schemas.openxmlformats.org/officeDocument/2006/relationships/hyperlink" Target="http://www.wikidata.org/entity/Q115839380" TargetMode="External"/><Relationship Id="rId1447" Type="http://schemas.openxmlformats.org/officeDocument/2006/relationships/hyperlink" Target="http://www.wikidata.org/entity/Q115844105" TargetMode="External"/><Relationship Id="rId2778" Type="http://schemas.openxmlformats.org/officeDocument/2006/relationships/hyperlink" Target="http://www.wikidata.org/entity/Q250867" TargetMode="External"/><Relationship Id="rId1448" Type="http://schemas.openxmlformats.org/officeDocument/2006/relationships/hyperlink" Target="http://www.wikidata.org/entity/Q2516866" TargetMode="External"/><Relationship Id="rId2779" Type="http://schemas.openxmlformats.org/officeDocument/2006/relationships/hyperlink" Target="http://www.wikidata.org/entity/Q115839353" TargetMode="External"/><Relationship Id="rId1449" Type="http://schemas.openxmlformats.org/officeDocument/2006/relationships/hyperlink" Target="http://www.wikidata.org/entity/Q115838420" TargetMode="External"/><Relationship Id="rId619" Type="http://schemas.openxmlformats.org/officeDocument/2006/relationships/hyperlink" Target="http://www.wikidata.org/entity/Q1930187" TargetMode="External"/><Relationship Id="rId618" Type="http://schemas.openxmlformats.org/officeDocument/2006/relationships/hyperlink" Target="http://www.wikidata.org/entity/Q15461013" TargetMode="External"/><Relationship Id="rId613" Type="http://schemas.openxmlformats.org/officeDocument/2006/relationships/hyperlink" Target="http://www.wikidata.org/entity/Q115104760" TargetMode="External"/><Relationship Id="rId612" Type="http://schemas.openxmlformats.org/officeDocument/2006/relationships/hyperlink" Target="http://www.wikidata.org/entity/Q4594605" TargetMode="External"/><Relationship Id="rId611" Type="http://schemas.openxmlformats.org/officeDocument/2006/relationships/hyperlink" Target="http://www.wikidata.org/entity/Q55232762" TargetMode="External"/><Relationship Id="rId610" Type="http://schemas.openxmlformats.org/officeDocument/2006/relationships/hyperlink" Target="http://www.wikidata.org/entity/Q250867" TargetMode="External"/><Relationship Id="rId617" Type="http://schemas.openxmlformats.org/officeDocument/2006/relationships/hyperlink" Target="http://www.wikidata.org/entity/Q1753370" TargetMode="External"/><Relationship Id="rId616" Type="http://schemas.openxmlformats.org/officeDocument/2006/relationships/hyperlink" Target="http://www.wikidata.org/entity/Q115819139" TargetMode="External"/><Relationship Id="rId615" Type="http://schemas.openxmlformats.org/officeDocument/2006/relationships/hyperlink" Target="http://commons.wikimedia.org/wiki/Special:FilePath/Portret%20van%20Clementia%20Hiers%20%28Hendrik%20De%20Pondt%2C%201878%29.jpg" TargetMode="External"/><Relationship Id="rId614" Type="http://schemas.openxmlformats.org/officeDocument/2006/relationships/hyperlink" Target="http://www.wikidata.org/entity/Q147618" TargetMode="External"/><Relationship Id="rId2770" Type="http://schemas.openxmlformats.org/officeDocument/2006/relationships/hyperlink" Target="http://www.wikidata.org/entity/Q250867" TargetMode="External"/><Relationship Id="rId1440" Type="http://schemas.openxmlformats.org/officeDocument/2006/relationships/hyperlink" Target="http://www.wikidata.org/entity/Q2251335" TargetMode="External"/><Relationship Id="rId2771" Type="http://schemas.openxmlformats.org/officeDocument/2006/relationships/hyperlink" Target="http://www.wikidata.org/entity/Q115839353" TargetMode="External"/><Relationship Id="rId1441" Type="http://schemas.openxmlformats.org/officeDocument/2006/relationships/hyperlink" Target="http://www.wikidata.org/entity/Q121000890" TargetMode="External"/><Relationship Id="rId2772" Type="http://schemas.openxmlformats.org/officeDocument/2006/relationships/hyperlink" Target="http://www.wikidata.org/entity/Q955464" TargetMode="External"/><Relationship Id="rId1442" Type="http://schemas.openxmlformats.org/officeDocument/2006/relationships/hyperlink" Target="http://www.wikidata.org/entity/Q37226" TargetMode="External"/><Relationship Id="rId2773" Type="http://schemas.openxmlformats.org/officeDocument/2006/relationships/hyperlink" Target="http://www.wikidata.org/entity/Q115829623" TargetMode="External"/><Relationship Id="rId1443" Type="http://schemas.openxmlformats.org/officeDocument/2006/relationships/hyperlink" Target="http://www.wikidata.org/entity/Q115844105" TargetMode="External"/><Relationship Id="rId2774" Type="http://schemas.openxmlformats.org/officeDocument/2006/relationships/hyperlink" Target="http://www.wikidata.org/entity/Q1104153" TargetMode="External"/><Relationship Id="rId1477" Type="http://schemas.openxmlformats.org/officeDocument/2006/relationships/hyperlink" Target="http://www.wikidata.org/entity/Q121000890" TargetMode="External"/><Relationship Id="rId1478" Type="http://schemas.openxmlformats.org/officeDocument/2006/relationships/hyperlink" Target="http://www.wikidata.org/entity/Q93521113" TargetMode="External"/><Relationship Id="rId1479" Type="http://schemas.openxmlformats.org/officeDocument/2006/relationships/hyperlink" Target="http://www.wikidata.org/entity/Q117244395" TargetMode="External"/><Relationship Id="rId646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645" Type="http://schemas.openxmlformats.org/officeDocument/2006/relationships/hyperlink" Target="http://www.wikidata.org/entity/Q32391314" TargetMode="External"/><Relationship Id="rId644" Type="http://schemas.openxmlformats.org/officeDocument/2006/relationships/hyperlink" Target="http://www.wikidata.org/entity/Q55233295" TargetMode="External"/><Relationship Id="rId643" Type="http://schemas.openxmlformats.org/officeDocument/2006/relationships/hyperlink" Target="http://www.wikidata.org/entity/Q333634" TargetMode="External"/><Relationship Id="rId649" Type="http://schemas.openxmlformats.org/officeDocument/2006/relationships/hyperlink" Target="http://www.wikidata.org/entity/Q26845752" TargetMode="External"/><Relationship Id="rId648" Type="http://schemas.openxmlformats.org/officeDocument/2006/relationships/hyperlink" Target="http://www.wikidata.org/entity/Q1753370" TargetMode="External"/><Relationship Id="rId647" Type="http://schemas.openxmlformats.org/officeDocument/2006/relationships/hyperlink" Target="http://www.wikidata.org/entity/Q115831509" TargetMode="External"/><Relationship Id="rId1470" Type="http://schemas.openxmlformats.org/officeDocument/2006/relationships/hyperlink" Target="http://www.wikidata.org/entity/Q116656531" TargetMode="External"/><Relationship Id="rId1471" Type="http://schemas.openxmlformats.org/officeDocument/2006/relationships/hyperlink" Target="http://www.wikidata.org/entity/Q7501153" TargetMode="External"/><Relationship Id="rId1472" Type="http://schemas.openxmlformats.org/officeDocument/2006/relationships/hyperlink" Target="http://commons.wikimedia.org/wiki/Special:FilePath/Portretfoto%20Anna%20Demets.jpg" TargetMode="External"/><Relationship Id="rId642" Type="http://schemas.openxmlformats.org/officeDocument/2006/relationships/hyperlink" Target="http://www.wikidata.org/entity/Q26845752" TargetMode="External"/><Relationship Id="rId1473" Type="http://schemas.openxmlformats.org/officeDocument/2006/relationships/hyperlink" Target="http://www.wikidata.org/entity/Q120377148" TargetMode="External"/><Relationship Id="rId641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1474" Type="http://schemas.openxmlformats.org/officeDocument/2006/relationships/hyperlink" Target="http://www.wikidata.org/entity/Q219477" TargetMode="External"/><Relationship Id="rId640" Type="http://schemas.openxmlformats.org/officeDocument/2006/relationships/hyperlink" Target="http://www.wikidata.org/entity/Q11827483" TargetMode="External"/><Relationship Id="rId1475" Type="http://schemas.openxmlformats.org/officeDocument/2006/relationships/hyperlink" Target="http://www.wikidata.org/entity/Q120377148" TargetMode="External"/><Relationship Id="rId1476" Type="http://schemas.openxmlformats.org/officeDocument/2006/relationships/hyperlink" Target="http://www.wikidata.org/entity/Q250867" TargetMode="External"/><Relationship Id="rId1466" Type="http://schemas.openxmlformats.org/officeDocument/2006/relationships/hyperlink" Target="http://www.wikidata.org/entity/Q115835531" TargetMode="External"/><Relationship Id="rId2797" Type="http://schemas.openxmlformats.org/officeDocument/2006/relationships/hyperlink" Target="http://www.wikidata.org/entity/Q115839353" TargetMode="External"/><Relationship Id="rId1467" Type="http://schemas.openxmlformats.org/officeDocument/2006/relationships/hyperlink" Target="http://www.wikidata.org/entity/Q435940" TargetMode="External"/><Relationship Id="rId2798" Type="http://schemas.openxmlformats.org/officeDocument/2006/relationships/hyperlink" Target="http://www.wikidata.org/entity/Q2251335" TargetMode="External"/><Relationship Id="rId1468" Type="http://schemas.openxmlformats.org/officeDocument/2006/relationships/hyperlink" Target="http://www.wikidata.org/entity/Q120504176" TargetMode="External"/><Relationship Id="rId2799" Type="http://schemas.openxmlformats.org/officeDocument/2006/relationships/hyperlink" Target="http://www.wikidata.org/entity/Q115815004" TargetMode="External"/><Relationship Id="rId1469" Type="http://schemas.openxmlformats.org/officeDocument/2006/relationships/hyperlink" Target="http://www.wikidata.org/entity/Q115705951" TargetMode="External"/><Relationship Id="rId635" Type="http://schemas.openxmlformats.org/officeDocument/2006/relationships/hyperlink" Target="http://www.wikidata.org/entity/Q37793252" TargetMode="External"/><Relationship Id="rId634" Type="http://schemas.openxmlformats.org/officeDocument/2006/relationships/hyperlink" Target="http://www.wikidata.org/entity/Q435940" TargetMode="External"/><Relationship Id="rId633" Type="http://schemas.openxmlformats.org/officeDocument/2006/relationships/hyperlink" Target="http://www.wikidata.org/entity/Q115816445" TargetMode="External"/><Relationship Id="rId632" Type="http://schemas.openxmlformats.org/officeDocument/2006/relationships/hyperlink" Target="http://www.wikidata.org/entity/Q446966" TargetMode="External"/><Relationship Id="rId639" Type="http://schemas.openxmlformats.org/officeDocument/2006/relationships/hyperlink" Target="http://www.wikidata.org/entity/Q55233295" TargetMode="External"/><Relationship Id="rId638" Type="http://schemas.openxmlformats.org/officeDocument/2006/relationships/hyperlink" Target="http://www.wikidata.org/entity/Q1104153" TargetMode="External"/><Relationship Id="rId637" Type="http://schemas.openxmlformats.org/officeDocument/2006/relationships/hyperlink" Target="http://www.wikidata.org/entity/Q114945031" TargetMode="External"/><Relationship Id="rId636" Type="http://schemas.openxmlformats.org/officeDocument/2006/relationships/hyperlink" Target="http://www.wikidata.org/entity/Q36180" TargetMode="External"/><Relationship Id="rId2790" Type="http://schemas.openxmlformats.org/officeDocument/2006/relationships/hyperlink" Target="http://www.wikidata.org/entity/Q250867" TargetMode="External"/><Relationship Id="rId1460" Type="http://schemas.openxmlformats.org/officeDocument/2006/relationships/hyperlink" Target="http://www.wikidata.org/entity/Q191808" TargetMode="External"/><Relationship Id="rId2791" Type="http://schemas.openxmlformats.org/officeDocument/2006/relationships/hyperlink" Target="http://www.wikidata.org/entity/Q115837593" TargetMode="External"/><Relationship Id="rId1461" Type="http://schemas.openxmlformats.org/officeDocument/2006/relationships/hyperlink" Target="http://www.wikidata.org/entity/Q116620790" TargetMode="External"/><Relationship Id="rId2792" Type="http://schemas.openxmlformats.org/officeDocument/2006/relationships/hyperlink" Target="http://www.wikidata.org/entity/Q2251335" TargetMode="External"/><Relationship Id="rId631" Type="http://schemas.openxmlformats.org/officeDocument/2006/relationships/hyperlink" Target="http://www.wikidata.org/entity/Q86735347" TargetMode="External"/><Relationship Id="rId1462" Type="http://schemas.openxmlformats.org/officeDocument/2006/relationships/hyperlink" Target="http://www.wikidata.org/entity/Q3075052" TargetMode="External"/><Relationship Id="rId2793" Type="http://schemas.openxmlformats.org/officeDocument/2006/relationships/hyperlink" Target="http://www.wikidata.org/entity/Q115837633" TargetMode="External"/><Relationship Id="rId630" Type="http://schemas.openxmlformats.org/officeDocument/2006/relationships/hyperlink" Target="http://www.wikidata.org/entity/Q1044528" TargetMode="External"/><Relationship Id="rId1463" Type="http://schemas.openxmlformats.org/officeDocument/2006/relationships/hyperlink" Target="http://commons.wikimedia.org/wiki/Special:FilePath/Portret%20Sophie%20Peeters.jpg" TargetMode="External"/><Relationship Id="rId2794" Type="http://schemas.openxmlformats.org/officeDocument/2006/relationships/hyperlink" Target="http://www.wikidata.org/entity/Q2251335" TargetMode="External"/><Relationship Id="rId1464" Type="http://schemas.openxmlformats.org/officeDocument/2006/relationships/hyperlink" Target="http://www.wikidata.org/entity/Q116621171" TargetMode="External"/><Relationship Id="rId2795" Type="http://schemas.openxmlformats.org/officeDocument/2006/relationships/hyperlink" Target="http://www.wikidata.org/entity/Q115839380" TargetMode="External"/><Relationship Id="rId1465" Type="http://schemas.openxmlformats.org/officeDocument/2006/relationships/hyperlink" Target="http://www.wikidata.org/entity/Q7313543" TargetMode="External"/><Relationship Id="rId2796" Type="http://schemas.openxmlformats.org/officeDocument/2006/relationships/hyperlink" Target="http://www.wikidata.org/entity/Q2251335" TargetMode="External"/><Relationship Id="rId1411" Type="http://schemas.openxmlformats.org/officeDocument/2006/relationships/hyperlink" Target="http://www.wikidata.org/entity/Q115838420" TargetMode="External"/><Relationship Id="rId2742" Type="http://schemas.openxmlformats.org/officeDocument/2006/relationships/hyperlink" Target="http://www.wikidata.org/entity/Q2251335" TargetMode="External"/><Relationship Id="rId1412" Type="http://schemas.openxmlformats.org/officeDocument/2006/relationships/hyperlink" Target="http://www.wikidata.org/entity/Q114371470" TargetMode="External"/><Relationship Id="rId2743" Type="http://schemas.openxmlformats.org/officeDocument/2006/relationships/hyperlink" Target="http://www.wikidata.org/entity/Q115835763" TargetMode="External"/><Relationship Id="rId1413" Type="http://schemas.openxmlformats.org/officeDocument/2006/relationships/hyperlink" Target="http://www.wikidata.org/entity/Q115836535" TargetMode="External"/><Relationship Id="rId2744" Type="http://schemas.openxmlformats.org/officeDocument/2006/relationships/hyperlink" Target="http://www.wikidata.org/entity/Q121594" TargetMode="External"/><Relationship Id="rId1414" Type="http://schemas.openxmlformats.org/officeDocument/2006/relationships/hyperlink" Target="http://www.wikidata.org/entity/Q955464" TargetMode="External"/><Relationship Id="rId2745" Type="http://schemas.openxmlformats.org/officeDocument/2006/relationships/hyperlink" Target="http://www.wikidata.org/entity/Q115832532" TargetMode="External"/><Relationship Id="rId1415" Type="http://schemas.openxmlformats.org/officeDocument/2006/relationships/hyperlink" Target="http://www.wikidata.org/entity/Q115836535" TargetMode="External"/><Relationship Id="rId2746" Type="http://schemas.openxmlformats.org/officeDocument/2006/relationships/hyperlink" Target="http://www.wikidata.org/entity/Q462390" TargetMode="External"/><Relationship Id="rId1416" Type="http://schemas.openxmlformats.org/officeDocument/2006/relationships/hyperlink" Target="http://www.wikidata.org/entity/Q219477" TargetMode="External"/><Relationship Id="rId2747" Type="http://schemas.openxmlformats.org/officeDocument/2006/relationships/hyperlink" Target="http://www.wikidata.org/entity/Q115819047" TargetMode="External"/><Relationship Id="rId1417" Type="http://schemas.openxmlformats.org/officeDocument/2006/relationships/hyperlink" Target="http://www.wikidata.org/entity/Q115836535" TargetMode="External"/><Relationship Id="rId2748" Type="http://schemas.openxmlformats.org/officeDocument/2006/relationships/hyperlink" Target="http://www.wikidata.org/entity/Q1753370" TargetMode="External"/><Relationship Id="rId1418" Type="http://schemas.openxmlformats.org/officeDocument/2006/relationships/hyperlink" Target="http://www.wikidata.org/entity/Q250867" TargetMode="External"/><Relationship Id="rId2749" Type="http://schemas.openxmlformats.org/officeDocument/2006/relationships/hyperlink" Target="http://www.wikidata.org/entity/Q115835763" TargetMode="External"/><Relationship Id="rId1419" Type="http://schemas.openxmlformats.org/officeDocument/2006/relationships/hyperlink" Target="http://www.wikidata.org/entity/Q120629807" TargetMode="External"/><Relationship Id="rId2740" Type="http://schemas.openxmlformats.org/officeDocument/2006/relationships/hyperlink" Target="http://www.wikidata.org/entity/Q1753370" TargetMode="External"/><Relationship Id="rId1410" Type="http://schemas.openxmlformats.org/officeDocument/2006/relationships/hyperlink" Target="http://www.wikidata.org/entity/Q2462658" TargetMode="External"/><Relationship Id="rId2741" Type="http://schemas.openxmlformats.org/officeDocument/2006/relationships/hyperlink" Target="http://www.wikidata.org/entity/Q115829623" TargetMode="External"/><Relationship Id="rId1400" Type="http://schemas.openxmlformats.org/officeDocument/2006/relationships/hyperlink" Target="http://www.wikidata.org/entity/Q120644522" TargetMode="External"/><Relationship Id="rId2731" Type="http://schemas.openxmlformats.org/officeDocument/2006/relationships/hyperlink" Target="http://www.wikidata.org/entity/Q115815004" TargetMode="External"/><Relationship Id="rId1401" Type="http://schemas.openxmlformats.org/officeDocument/2006/relationships/hyperlink" Target="http://www.wikidata.org/entity/Q1469535" TargetMode="External"/><Relationship Id="rId2732" Type="http://schemas.openxmlformats.org/officeDocument/2006/relationships/hyperlink" Target="http://www.wikidata.org/entity/Q1753370" TargetMode="External"/><Relationship Id="rId1402" Type="http://schemas.openxmlformats.org/officeDocument/2006/relationships/hyperlink" Target="http://www.wikidata.org/entity/Q120644522" TargetMode="External"/><Relationship Id="rId2733" Type="http://schemas.openxmlformats.org/officeDocument/2006/relationships/hyperlink" Target="http://www.wikidata.org/entity/Q115832532" TargetMode="External"/><Relationship Id="rId1403" Type="http://schemas.openxmlformats.org/officeDocument/2006/relationships/hyperlink" Target="http://www.wikidata.org/entity/Q1753370" TargetMode="External"/><Relationship Id="rId2734" Type="http://schemas.openxmlformats.org/officeDocument/2006/relationships/hyperlink" Target="http://www.wikidata.org/entity/Q1162163" TargetMode="External"/><Relationship Id="rId1404" Type="http://schemas.openxmlformats.org/officeDocument/2006/relationships/hyperlink" Target="http://www.wikidata.org/entity/Q118725738" TargetMode="External"/><Relationship Id="rId2735" Type="http://schemas.openxmlformats.org/officeDocument/2006/relationships/hyperlink" Target="http://www.wikidata.org/entity/Q115829623" TargetMode="External"/><Relationship Id="rId1405" Type="http://schemas.openxmlformats.org/officeDocument/2006/relationships/hyperlink" Target="http://www.wikidata.org/entity/Q81096" TargetMode="External"/><Relationship Id="rId2736" Type="http://schemas.openxmlformats.org/officeDocument/2006/relationships/hyperlink" Target="http://www.wikidata.org/entity/Q4958876" TargetMode="External"/><Relationship Id="rId1406" Type="http://schemas.openxmlformats.org/officeDocument/2006/relationships/hyperlink" Target="http://www.wikidata.org/entity/Q116660566" TargetMode="External"/><Relationship Id="rId2737" Type="http://schemas.openxmlformats.org/officeDocument/2006/relationships/hyperlink" Target="http://www.wikidata.org/entity/Q115817263" TargetMode="External"/><Relationship Id="rId1407" Type="http://schemas.openxmlformats.org/officeDocument/2006/relationships/hyperlink" Target="http://www.wikidata.org/entity/Q191808" TargetMode="External"/><Relationship Id="rId2738" Type="http://schemas.openxmlformats.org/officeDocument/2006/relationships/hyperlink" Target="http://www.wikidata.org/entity/Q1753370" TargetMode="External"/><Relationship Id="rId1408" Type="http://schemas.openxmlformats.org/officeDocument/2006/relationships/hyperlink" Target="http://commons.wikimedia.org/wiki/Special:FilePath/Foto%20van%20Florence%20Gezelle.jpg" TargetMode="External"/><Relationship Id="rId2739" Type="http://schemas.openxmlformats.org/officeDocument/2006/relationships/hyperlink" Target="http://www.wikidata.org/entity/Q115817390" TargetMode="External"/><Relationship Id="rId1409" Type="http://schemas.openxmlformats.org/officeDocument/2006/relationships/hyperlink" Target="http://www.wikidata.org/entity/Q118725738" TargetMode="External"/><Relationship Id="rId2730" Type="http://schemas.openxmlformats.org/officeDocument/2006/relationships/hyperlink" Target="http://www.wikidata.org/entity/Q219477" TargetMode="External"/><Relationship Id="rId1433" Type="http://schemas.openxmlformats.org/officeDocument/2006/relationships/hyperlink" Target="http://www.wikidata.org/entity/Q115837342" TargetMode="External"/><Relationship Id="rId2764" Type="http://schemas.openxmlformats.org/officeDocument/2006/relationships/hyperlink" Target="http://www.wikidata.org/entity/Q1753370" TargetMode="External"/><Relationship Id="rId1434" Type="http://schemas.openxmlformats.org/officeDocument/2006/relationships/hyperlink" Target="http://www.wikidata.org/entity/Q1056391" TargetMode="External"/><Relationship Id="rId2765" Type="http://schemas.openxmlformats.org/officeDocument/2006/relationships/hyperlink" Target="http://www.wikidata.org/entity/Q115837593" TargetMode="External"/><Relationship Id="rId1435" Type="http://schemas.openxmlformats.org/officeDocument/2006/relationships/hyperlink" Target="http://www.wikidata.org/entity/Q115837342" TargetMode="External"/><Relationship Id="rId2766" Type="http://schemas.openxmlformats.org/officeDocument/2006/relationships/hyperlink" Target="http://www.wikidata.org/entity/Q250867" TargetMode="External"/><Relationship Id="rId1436" Type="http://schemas.openxmlformats.org/officeDocument/2006/relationships/hyperlink" Target="http://www.wikidata.org/entity/Q250867" TargetMode="External"/><Relationship Id="rId2767" Type="http://schemas.openxmlformats.org/officeDocument/2006/relationships/hyperlink" Target="http://www.wikidata.org/entity/Q115837633" TargetMode="External"/><Relationship Id="rId1437" Type="http://schemas.openxmlformats.org/officeDocument/2006/relationships/hyperlink" Target="http://www.wikidata.org/entity/Q115834468" TargetMode="External"/><Relationship Id="rId2768" Type="http://schemas.openxmlformats.org/officeDocument/2006/relationships/hyperlink" Target="http://www.wikidata.org/entity/Q1056391" TargetMode="External"/><Relationship Id="rId1438" Type="http://schemas.openxmlformats.org/officeDocument/2006/relationships/hyperlink" Target="http://www.wikidata.org/entity/Q2251335" TargetMode="External"/><Relationship Id="rId2769" Type="http://schemas.openxmlformats.org/officeDocument/2006/relationships/hyperlink" Target="http://www.wikidata.org/entity/Q115837633" TargetMode="External"/><Relationship Id="rId1439" Type="http://schemas.openxmlformats.org/officeDocument/2006/relationships/hyperlink" Target="http://www.wikidata.org/entity/Q115837342" TargetMode="External"/><Relationship Id="rId609" Type="http://schemas.openxmlformats.org/officeDocument/2006/relationships/hyperlink" Target="http://www.wikidata.org/entity/Q115834468" TargetMode="External"/><Relationship Id="rId608" Type="http://schemas.openxmlformats.org/officeDocument/2006/relationships/hyperlink" Target="http://www.wikidata.org/entity/Q1753370" TargetMode="External"/><Relationship Id="rId607" Type="http://schemas.openxmlformats.org/officeDocument/2006/relationships/hyperlink" Target="http://www.wikidata.org/entity/Q115818649" TargetMode="External"/><Relationship Id="rId602" Type="http://schemas.openxmlformats.org/officeDocument/2006/relationships/hyperlink" Target="http://commons.wikimedia.org/wiki/Special:FilePath/Portret%20van%20Clementia%20Hiers%20%28Hendrik%20De%20Pondt%2C%201878%29.jpg" TargetMode="External"/><Relationship Id="rId601" Type="http://schemas.openxmlformats.org/officeDocument/2006/relationships/hyperlink" Target="http://www.wikidata.org/entity/Q482980" TargetMode="External"/><Relationship Id="rId600" Type="http://schemas.openxmlformats.org/officeDocument/2006/relationships/hyperlink" Target="http://www.wikidata.org/entity/Q115104760" TargetMode="External"/><Relationship Id="rId606" Type="http://schemas.openxmlformats.org/officeDocument/2006/relationships/hyperlink" Target="http://www.wikidata.org/entity/Q955464" TargetMode="External"/><Relationship Id="rId605" Type="http://schemas.openxmlformats.org/officeDocument/2006/relationships/hyperlink" Target="http://www.wikidata.org/entity/Q115834468" TargetMode="External"/><Relationship Id="rId604" Type="http://schemas.openxmlformats.org/officeDocument/2006/relationships/hyperlink" Target="http://www.wikidata.org/entity/Q250867" TargetMode="External"/><Relationship Id="rId603" Type="http://schemas.openxmlformats.org/officeDocument/2006/relationships/hyperlink" Target="http://www.wikidata.org/entity/Q115831509" TargetMode="External"/><Relationship Id="rId2760" Type="http://schemas.openxmlformats.org/officeDocument/2006/relationships/hyperlink" Target="http://www.wikidata.org/entity/Q955464" TargetMode="External"/><Relationship Id="rId1430" Type="http://schemas.openxmlformats.org/officeDocument/2006/relationships/hyperlink" Target="http://www.wikidata.org/entity/Q219477" TargetMode="External"/><Relationship Id="rId2761" Type="http://schemas.openxmlformats.org/officeDocument/2006/relationships/hyperlink" Target="http://www.wikidata.org/entity/Q115836962" TargetMode="External"/><Relationship Id="rId1431" Type="http://schemas.openxmlformats.org/officeDocument/2006/relationships/hyperlink" Target="http://www.wikidata.org/entity/Q115837342" TargetMode="External"/><Relationship Id="rId2762" Type="http://schemas.openxmlformats.org/officeDocument/2006/relationships/hyperlink" Target="http://www.wikidata.org/entity/Q250867" TargetMode="External"/><Relationship Id="rId1432" Type="http://schemas.openxmlformats.org/officeDocument/2006/relationships/hyperlink" Target="http://www.wikidata.org/entity/Q955464" TargetMode="External"/><Relationship Id="rId2763" Type="http://schemas.openxmlformats.org/officeDocument/2006/relationships/hyperlink" Target="http://www.wikidata.org/entity/Q115821474" TargetMode="External"/><Relationship Id="rId1422" Type="http://schemas.openxmlformats.org/officeDocument/2006/relationships/hyperlink" Target="http://www.wikidata.org/entity/Q2251335" TargetMode="External"/><Relationship Id="rId2753" Type="http://schemas.openxmlformats.org/officeDocument/2006/relationships/hyperlink" Target="http://www.wikidata.org/entity/Q115836962" TargetMode="External"/><Relationship Id="rId1423" Type="http://schemas.openxmlformats.org/officeDocument/2006/relationships/hyperlink" Target="http://www.wikidata.org/entity/Q115838420" TargetMode="External"/><Relationship Id="rId2754" Type="http://schemas.openxmlformats.org/officeDocument/2006/relationships/hyperlink" Target="http://www.wikidata.org/entity/Q1072363" TargetMode="External"/><Relationship Id="rId1424" Type="http://schemas.openxmlformats.org/officeDocument/2006/relationships/hyperlink" Target="http://www.wikidata.org/entity/Q250867" TargetMode="External"/><Relationship Id="rId2755" Type="http://schemas.openxmlformats.org/officeDocument/2006/relationships/hyperlink" Target="http://www.wikidata.org/entity/Q115837593" TargetMode="External"/><Relationship Id="rId1425" Type="http://schemas.openxmlformats.org/officeDocument/2006/relationships/hyperlink" Target="http://www.wikidata.org/entity/Q115835531" TargetMode="External"/><Relationship Id="rId2756" Type="http://schemas.openxmlformats.org/officeDocument/2006/relationships/hyperlink" Target="http://www.wikidata.org/entity/Q955464" TargetMode="External"/><Relationship Id="rId1426" Type="http://schemas.openxmlformats.org/officeDocument/2006/relationships/hyperlink" Target="http://www.wikidata.org/entity/Q333634" TargetMode="External"/><Relationship Id="rId2757" Type="http://schemas.openxmlformats.org/officeDocument/2006/relationships/hyperlink" Target="http://www.wikidata.org/entity/Q115832532" TargetMode="External"/><Relationship Id="rId1427" Type="http://schemas.openxmlformats.org/officeDocument/2006/relationships/hyperlink" Target="http://www.wikidata.org/entity/Q115835531" TargetMode="External"/><Relationship Id="rId2758" Type="http://schemas.openxmlformats.org/officeDocument/2006/relationships/hyperlink" Target="http://www.wikidata.org/entity/Q2251335" TargetMode="External"/><Relationship Id="rId1428" Type="http://schemas.openxmlformats.org/officeDocument/2006/relationships/hyperlink" Target="http://www.wikidata.org/entity/Q250867" TargetMode="External"/><Relationship Id="rId2759" Type="http://schemas.openxmlformats.org/officeDocument/2006/relationships/hyperlink" Target="http://www.wikidata.org/entity/Q115837633" TargetMode="External"/><Relationship Id="rId1429" Type="http://schemas.openxmlformats.org/officeDocument/2006/relationships/hyperlink" Target="http://www.wikidata.org/entity/Q115836065" TargetMode="External"/><Relationship Id="rId2750" Type="http://schemas.openxmlformats.org/officeDocument/2006/relationships/hyperlink" Target="http://www.wikidata.org/entity/Q955464" TargetMode="External"/><Relationship Id="rId1420" Type="http://schemas.openxmlformats.org/officeDocument/2006/relationships/hyperlink" Target="http://www.wikidata.org/entity/Q36180" TargetMode="External"/><Relationship Id="rId2751" Type="http://schemas.openxmlformats.org/officeDocument/2006/relationships/hyperlink" Target="http://www.wikidata.org/entity/Q115835763" TargetMode="External"/><Relationship Id="rId1421" Type="http://schemas.openxmlformats.org/officeDocument/2006/relationships/hyperlink" Target="http://www.wikidata.org/entity/Q115836535" TargetMode="External"/><Relationship Id="rId2752" Type="http://schemas.openxmlformats.org/officeDocument/2006/relationships/hyperlink" Target="http://www.wikidata.org/entity/Q250867" TargetMode="External"/><Relationship Id="rId3238" Type="http://schemas.openxmlformats.org/officeDocument/2006/relationships/hyperlink" Target="http://commons.wikimedia.org/wiki/Special:FilePath/Wytterick%2023.JPG" TargetMode="External"/><Relationship Id="rId3237" Type="http://schemas.openxmlformats.org/officeDocument/2006/relationships/hyperlink" Target="http://www.wikidata.org/entity/Q37226" TargetMode="External"/><Relationship Id="rId3239" Type="http://schemas.openxmlformats.org/officeDocument/2006/relationships/hyperlink" Target="http://www.wikidata.org/entity/Q15956" TargetMode="External"/><Relationship Id="rId3230" Type="http://schemas.openxmlformats.org/officeDocument/2006/relationships/hyperlink" Target="http://www.wikidata.org/entity/Q2360599" TargetMode="External"/><Relationship Id="rId3232" Type="http://schemas.openxmlformats.org/officeDocument/2006/relationships/hyperlink" Target="http://commons.wikimedia.org/wiki/Special:FilePath/Wytterick%2023.JPG" TargetMode="External"/><Relationship Id="rId3231" Type="http://schemas.openxmlformats.org/officeDocument/2006/relationships/hyperlink" Target="http://www.wikidata.org/entity/Q860918" TargetMode="External"/><Relationship Id="rId3234" Type="http://schemas.openxmlformats.org/officeDocument/2006/relationships/hyperlink" Target="http://www.wikidata.org/entity/Q49757" TargetMode="External"/><Relationship Id="rId3233" Type="http://schemas.openxmlformats.org/officeDocument/2006/relationships/hyperlink" Target="http://www.wikidata.org/entity/Q975292" TargetMode="External"/><Relationship Id="rId3236" Type="http://schemas.openxmlformats.org/officeDocument/2006/relationships/hyperlink" Target="http://www.wikidata.org/entity/Q2360599" TargetMode="External"/><Relationship Id="rId3235" Type="http://schemas.openxmlformats.org/officeDocument/2006/relationships/hyperlink" Target="http://commons.wikimedia.org/wiki/Special:FilePath/Jan%20Van%20Beers.jpg" TargetMode="External"/><Relationship Id="rId3227" Type="http://schemas.openxmlformats.org/officeDocument/2006/relationships/hyperlink" Target="http://www.wikidata.org/entity/Q975292" TargetMode="External"/><Relationship Id="rId3226" Type="http://schemas.openxmlformats.org/officeDocument/2006/relationships/hyperlink" Target="http://commons.wikimedia.org/wiki/Special:FilePath/AugustVermeylen2.jpg" TargetMode="External"/><Relationship Id="rId3229" Type="http://schemas.openxmlformats.org/officeDocument/2006/relationships/hyperlink" Target="http://commons.wikimedia.org/wiki/Special:FilePath/Jan%20Van%20Beers.jpg" TargetMode="External"/><Relationship Id="rId3228" Type="http://schemas.openxmlformats.org/officeDocument/2006/relationships/hyperlink" Target="http://www.wikidata.org/entity/Q36180" TargetMode="External"/><Relationship Id="rId699" Type="http://schemas.openxmlformats.org/officeDocument/2006/relationships/hyperlink" Target="http://www.wikidata.org/entity/Q3391743" TargetMode="External"/><Relationship Id="rId698" Type="http://schemas.openxmlformats.org/officeDocument/2006/relationships/hyperlink" Target="http://www.wikidata.org/entity/Q22002048" TargetMode="External"/><Relationship Id="rId693" Type="http://schemas.openxmlformats.org/officeDocument/2006/relationships/hyperlink" Target="http://www.wikidata.org/entity/Q329439" TargetMode="External"/><Relationship Id="rId692" Type="http://schemas.openxmlformats.org/officeDocument/2006/relationships/hyperlink" Target="http://www.wikidata.org/entity/Q22002048" TargetMode="External"/><Relationship Id="rId691" Type="http://schemas.openxmlformats.org/officeDocument/2006/relationships/hyperlink" Target="http://www.wikidata.org/entity/Q635734" TargetMode="External"/><Relationship Id="rId3221" Type="http://schemas.openxmlformats.org/officeDocument/2006/relationships/hyperlink" Target="http://www.wikidata.org/entity/Q3515115" TargetMode="External"/><Relationship Id="rId690" Type="http://schemas.openxmlformats.org/officeDocument/2006/relationships/hyperlink" Target="http://www.wikidata.org/entity/Q94896539" TargetMode="External"/><Relationship Id="rId3220" Type="http://schemas.openxmlformats.org/officeDocument/2006/relationships/hyperlink" Target="http://commons.wikimedia.org/wiki/Special:FilePath/Pol%20de%20Mont%201896.jpg" TargetMode="External"/><Relationship Id="rId697" Type="http://schemas.openxmlformats.org/officeDocument/2006/relationships/hyperlink" Target="http://www.wikidata.org/entity/Q1753370" TargetMode="External"/><Relationship Id="rId3223" Type="http://schemas.openxmlformats.org/officeDocument/2006/relationships/hyperlink" Target="http://commons.wikimedia.org/wiki/Special:FilePath/Pol%20de%20Mont%201896.jpg" TargetMode="External"/><Relationship Id="rId696" Type="http://schemas.openxmlformats.org/officeDocument/2006/relationships/hyperlink" Target="http://www.wikidata.org/entity/Q113681935" TargetMode="External"/><Relationship Id="rId3222" Type="http://schemas.openxmlformats.org/officeDocument/2006/relationships/hyperlink" Target="http://www.wikidata.org/entity/Q49757" TargetMode="External"/><Relationship Id="rId695" Type="http://schemas.openxmlformats.org/officeDocument/2006/relationships/hyperlink" Target="http://www.wikidata.org/entity/Q1925963" TargetMode="External"/><Relationship Id="rId3225" Type="http://schemas.openxmlformats.org/officeDocument/2006/relationships/hyperlink" Target="http://www.wikidata.org/entity/Q82955" TargetMode="External"/><Relationship Id="rId694" Type="http://schemas.openxmlformats.org/officeDocument/2006/relationships/hyperlink" Target="http://www.wikidata.org/entity/Q22002048" TargetMode="External"/><Relationship Id="rId3224" Type="http://schemas.openxmlformats.org/officeDocument/2006/relationships/hyperlink" Target="http://www.wikidata.org/entity/Q764378" TargetMode="External"/><Relationship Id="rId3259" Type="http://schemas.openxmlformats.org/officeDocument/2006/relationships/hyperlink" Target="http://www.wikidata.org/entity/Q1622272" TargetMode="External"/><Relationship Id="rId3250" Type="http://schemas.openxmlformats.org/officeDocument/2006/relationships/hyperlink" Target="http://www.wikidata.org/entity/Q201788" TargetMode="External"/><Relationship Id="rId3252" Type="http://schemas.openxmlformats.org/officeDocument/2006/relationships/hyperlink" Target="http://www.wikidata.org/entity/Q1056391" TargetMode="External"/><Relationship Id="rId3251" Type="http://schemas.openxmlformats.org/officeDocument/2006/relationships/hyperlink" Target="http://www.wikidata.org/entity/Q3450211" TargetMode="External"/><Relationship Id="rId3254" Type="http://schemas.openxmlformats.org/officeDocument/2006/relationships/hyperlink" Target="http://www.wikidata.org/entity/Q250867" TargetMode="External"/><Relationship Id="rId3253" Type="http://schemas.openxmlformats.org/officeDocument/2006/relationships/hyperlink" Target="http://www.wikidata.org/entity/Q3450211" TargetMode="External"/><Relationship Id="rId3256" Type="http://schemas.openxmlformats.org/officeDocument/2006/relationships/hyperlink" Target="http://www.wikidata.org/entity/Q42603" TargetMode="External"/><Relationship Id="rId3255" Type="http://schemas.openxmlformats.org/officeDocument/2006/relationships/hyperlink" Target="http://www.wikidata.org/entity/Q2099446" TargetMode="External"/><Relationship Id="rId3258" Type="http://schemas.openxmlformats.org/officeDocument/2006/relationships/hyperlink" Target="http://www.wikidata.org/entity/Q3450211" TargetMode="External"/><Relationship Id="rId3257" Type="http://schemas.openxmlformats.org/officeDocument/2006/relationships/hyperlink" Target="http://commons.wikimedia.org/wiki/Special:FilePath/Amaat%20Joos.jpg" TargetMode="External"/><Relationship Id="rId3249" Type="http://schemas.openxmlformats.org/officeDocument/2006/relationships/hyperlink" Target="http://www.wikidata.org/entity/Q3450211" TargetMode="External"/><Relationship Id="rId3248" Type="http://schemas.openxmlformats.org/officeDocument/2006/relationships/hyperlink" Target="http://www.wikidata.org/entity/Q1162163" TargetMode="External"/><Relationship Id="rId3241" Type="http://schemas.openxmlformats.org/officeDocument/2006/relationships/hyperlink" Target="http://commons.wikimedia.org/wiki/Special:FilePath/Frans%20Schollaert.jpg" TargetMode="External"/><Relationship Id="rId3240" Type="http://schemas.openxmlformats.org/officeDocument/2006/relationships/hyperlink" Target="http://www.wikidata.org/entity/Q40348" TargetMode="External"/><Relationship Id="rId3243" Type="http://schemas.openxmlformats.org/officeDocument/2006/relationships/hyperlink" Target="http://www.wikidata.org/entity/Q3621491" TargetMode="External"/><Relationship Id="rId3242" Type="http://schemas.openxmlformats.org/officeDocument/2006/relationships/hyperlink" Target="http://www.wikidata.org/entity/Q2524668" TargetMode="External"/><Relationship Id="rId3245" Type="http://schemas.openxmlformats.org/officeDocument/2006/relationships/hyperlink" Target="http://www.wikidata.org/entity/Q3450211" TargetMode="External"/><Relationship Id="rId3244" Type="http://schemas.openxmlformats.org/officeDocument/2006/relationships/hyperlink" Target="http://commons.wikimedia.org/wiki/Special:FilePath/Adolf%20Duclos001.jpg" TargetMode="External"/><Relationship Id="rId3247" Type="http://schemas.openxmlformats.org/officeDocument/2006/relationships/hyperlink" Target="http://www.wikidata.org/entity/Q3450211" TargetMode="External"/><Relationship Id="rId3246" Type="http://schemas.openxmlformats.org/officeDocument/2006/relationships/hyperlink" Target="http://www.wikidata.org/entity/Q1072363" TargetMode="External"/><Relationship Id="rId1499" Type="http://schemas.openxmlformats.org/officeDocument/2006/relationships/hyperlink" Target="http://www.wikidata.org/entity/Q115836535" TargetMode="External"/><Relationship Id="rId668" Type="http://schemas.openxmlformats.org/officeDocument/2006/relationships/hyperlink" Target="http://www.wikidata.org/entity/Q115809464" TargetMode="External"/><Relationship Id="rId667" Type="http://schemas.openxmlformats.org/officeDocument/2006/relationships/hyperlink" Target="http://www.wikidata.org/entity/Q2251335" TargetMode="External"/><Relationship Id="rId666" Type="http://schemas.openxmlformats.org/officeDocument/2006/relationships/hyperlink" Target="http://www.wikidata.org/entity/Q15627098" TargetMode="External"/><Relationship Id="rId665" Type="http://schemas.openxmlformats.org/officeDocument/2006/relationships/hyperlink" Target="http://www.wikidata.org/entity/Q40348" TargetMode="External"/><Relationship Id="rId669" Type="http://schemas.openxmlformats.org/officeDocument/2006/relationships/hyperlink" Target="http://www.wikidata.org/entity/Q45684" TargetMode="External"/><Relationship Id="rId1490" Type="http://schemas.openxmlformats.org/officeDocument/2006/relationships/hyperlink" Target="http://www.wikidata.org/entity/Q1622272" TargetMode="External"/><Relationship Id="rId660" Type="http://schemas.openxmlformats.org/officeDocument/2006/relationships/hyperlink" Target="http://www.wikidata.org/entity/Q15627098" TargetMode="External"/><Relationship Id="rId1491" Type="http://schemas.openxmlformats.org/officeDocument/2006/relationships/hyperlink" Target="http://www.wikidata.org/entity/Q115979029" TargetMode="External"/><Relationship Id="rId1492" Type="http://schemas.openxmlformats.org/officeDocument/2006/relationships/hyperlink" Target="http://www.wikidata.org/entity/Q114371470" TargetMode="External"/><Relationship Id="rId1493" Type="http://schemas.openxmlformats.org/officeDocument/2006/relationships/hyperlink" Target="http://www.wikidata.org/entity/Q115979029" TargetMode="External"/><Relationship Id="rId1494" Type="http://schemas.openxmlformats.org/officeDocument/2006/relationships/hyperlink" Target="http://www.wikidata.org/entity/Q115705951" TargetMode="External"/><Relationship Id="rId664" Type="http://schemas.openxmlformats.org/officeDocument/2006/relationships/hyperlink" Target="http://www.wikidata.org/entity/Q51168899" TargetMode="External"/><Relationship Id="rId1495" Type="http://schemas.openxmlformats.org/officeDocument/2006/relationships/hyperlink" Target="http://www.wikidata.org/entity/Q115979140" TargetMode="External"/><Relationship Id="rId663" Type="http://schemas.openxmlformats.org/officeDocument/2006/relationships/hyperlink" Target="http://www.wikidata.org/entity/Q250867" TargetMode="External"/><Relationship Id="rId1496" Type="http://schemas.openxmlformats.org/officeDocument/2006/relationships/hyperlink" Target="http://www.wikidata.org/entity/Q115705951" TargetMode="External"/><Relationship Id="rId662" Type="http://schemas.openxmlformats.org/officeDocument/2006/relationships/hyperlink" Target="http://www.wikidata.org/entity/Q113681935" TargetMode="External"/><Relationship Id="rId1497" Type="http://schemas.openxmlformats.org/officeDocument/2006/relationships/hyperlink" Target="http://www.wikidata.org/entity/Q116508558" TargetMode="External"/><Relationship Id="rId661" Type="http://schemas.openxmlformats.org/officeDocument/2006/relationships/hyperlink" Target="http://www.wikidata.org/entity/Q1234713" TargetMode="External"/><Relationship Id="rId1498" Type="http://schemas.openxmlformats.org/officeDocument/2006/relationships/hyperlink" Target="http://www.wikidata.org/entity/Q2462658" TargetMode="External"/><Relationship Id="rId1488" Type="http://schemas.openxmlformats.org/officeDocument/2006/relationships/hyperlink" Target="http://www.wikidata.org/entity/Q250867" TargetMode="External"/><Relationship Id="rId1489" Type="http://schemas.openxmlformats.org/officeDocument/2006/relationships/hyperlink" Target="http://www.wikidata.org/entity/Q120504176" TargetMode="External"/><Relationship Id="rId657" Type="http://schemas.openxmlformats.org/officeDocument/2006/relationships/hyperlink" Target="http://www.wikidata.org/entity/Q214917" TargetMode="External"/><Relationship Id="rId656" Type="http://schemas.openxmlformats.org/officeDocument/2006/relationships/hyperlink" Target="http://www.wikidata.org/entity/Q15627098" TargetMode="External"/><Relationship Id="rId655" Type="http://schemas.openxmlformats.org/officeDocument/2006/relationships/hyperlink" Target="http://www.wikidata.org/entity/Q1753370" TargetMode="External"/><Relationship Id="rId654" Type="http://schemas.openxmlformats.org/officeDocument/2006/relationships/hyperlink" Target="http://www.wikidata.org/entity/Q114945031" TargetMode="External"/><Relationship Id="rId659" Type="http://schemas.openxmlformats.org/officeDocument/2006/relationships/hyperlink" Target="http://www.wikidata.org/entity/Q250867" TargetMode="External"/><Relationship Id="rId658" Type="http://schemas.openxmlformats.org/officeDocument/2006/relationships/hyperlink" Target="http://www.wikidata.org/entity/Q15627098" TargetMode="External"/><Relationship Id="rId1480" Type="http://schemas.openxmlformats.org/officeDocument/2006/relationships/hyperlink" Target="http://www.wikidata.org/entity/Q120667787" TargetMode="External"/><Relationship Id="rId1481" Type="http://schemas.openxmlformats.org/officeDocument/2006/relationships/hyperlink" Target="http://www.wikidata.org/entity/Q115844105" TargetMode="External"/><Relationship Id="rId1482" Type="http://schemas.openxmlformats.org/officeDocument/2006/relationships/hyperlink" Target="http://www.wikidata.org/entity/Q756215" TargetMode="External"/><Relationship Id="rId1483" Type="http://schemas.openxmlformats.org/officeDocument/2006/relationships/hyperlink" Target="http://www.wikidata.org/entity/Q121053317" TargetMode="External"/><Relationship Id="rId653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1484" Type="http://schemas.openxmlformats.org/officeDocument/2006/relationships/hyperlink" Target="http://www.wikidata.org/entity/Q618532" TargetMode="External"/><Relationship Id="rId652" Type="http://schemas.openxmlformats.org/officeDocument/2006/relationships/hyperlink" Target="http://www.wikidata.org/entity/Q1622272" TargetMode="External"/><Relationship Id="rId1485" Type="http://schemas.openxmlformats.org/officeDocument/2006/relationships/hyperlink" Target="http://www.wikidata.org/entity/Q118189985" TargetMode="External"/><Relationship Id="rId651" Type="http://schemas.openxmlformats.org/officeDocument/2006/relationships/hyperlink" Target="http://www.wikidata.org/entity/Q55233295" TargetMode="External"/><Relationship Id="rId1486" Type="http://schemas.openxmlformats.org/officeDocument/2006/relationships/hyperlink" Target="http://www.wikidata.org/entity/Q7313543" TargetMode="External"/><Relationship Id="rId650" Type="http://schemas.openxmlformats.org/officeDocument/2006/relationships/hyperlink" Target="http://www.wikidata.org/entity/Q8178443" TargetMode="External"/><Relationship Id="rId1487" Type="http://schemas.openxmlformats.org/officeDocument/2006/relationships/hyperlink" Target="http://www.wikidata.org/entity/Q120504176" TargetMode="External"/><Relationship Id="rId3216" Type="http://schemas.openxmlformats.org/officeDocument/2006/relationships/hyperlink" Target="http://www.wikidata.org/entity/Q212238" TargetMode="External"/><Relationship Id="rId3215" Type="http://schemas.openxmlformats.org/officeDocument/2006/relationships/hyperlink" Target="http://www.wikidata.org/entity/Q3557112" TargetMode="External"/><Relationship Id="rId3218" Type="http://schemas.openxmlformats.org/officeDocument/2006/relationships/hyperlink" Target="http://www.wikidata.org/entity/Q3515115" TargetMode="External"/><Relationship Id="rId3217" Type="http://schemas.openxmlformats.org/officeDocument/2006/relationships/hyperlink" Target="http://commons.wikimedia.org/wiki/Special:FilePath/Victor%20De%20la%20Montagne.png" TargetMode="External"/><Relationship Id="rId3219" Type="http://schemas.openxmlformats.org/officeDocument/2006/relationships/hyperlink" Target="http://www.wikidata.org/entity/Q36180" TargetMode="External"/><Relationship Id="rId689" Type="http://schemas.openxmlformats.org/officeDocument/2006/relationships/hyperlink" Target="http://www.wikidata.org/entity/Q432386" TargetMode="External"/><Relationship Id="rId688" Type="http://schemas.openxmlformats.org/officeDocument/2006/relationships/hyperlink" Target="http://www.wikidata.org/entity/Q94896539" TargetMode="External"/><Relationship Id="rId687" Type="http://schemas.openxmlformats.org/officeDocument/2006/relationships/hyperlink" Target="http://www.wikidata.org/entity/Q1028181" TargetMode="External"/><Relationship Id="rId682" Type="http://schemas.openxmlformats.org/officeDocument/2006/relationships/hyperlink" Target="http://www.wikidata.org/entity/Q22002048" TargetMode="External"/><Relationship Id="rId681" Type="http://schemas.openxmlformats.org/officeDocument/2006/relationships/hyperlink" Target="http://www.wikidata.org/entity/Q36180" TargetMode="External"/><Relationship Id="rId680" Type="http://schemas.openxmlformats.org/officeDocument/2006/relationships/hyperlink" Target="http://www.wikidata.org/entity/Q55232762" TargetMode="External"/><Relationship Id="rId3210" Type="http://schemas.openxmlformats.org/officeDocument/2006/relationships/hyperlink" Target="http://www.wikidata.org/entity/Q14467526" TargetMode="External"/><Relationship Id="rId686" Type="http://schemas.openxmlformats.org/officeDocument/2006/relationships/hyperlink" Target="http://www.wikidata.org/entity/Q22002048" TargetMode="External"/><Relationship Id="rId3212" Type="http://schemas.openxmlformats.org/officeDocument/2006/relationships/hyperlink" Target="http://www.wikidata.org/entity/Q2677198" TargetMode="External"/><Relationship Id="rId685" Type="http://schemas.openxmlformats.org/officeDocument/2006/relationships/hyperlink" Target="http://www.wikidata.org/entity/Q201788" TargetMode="External"/><Relationship Id="rId3211" Type="http://schemas.openxmlformats.org/officeDocument/2006/relationships/hyperlink" Target="http://commons.wikimedia.org/wiki/Special:FilePath/Jan%20Van%20Beers.jpg" TargetMode="External"/><Relationship Id="rId684" Type="http://schemas.openxmlformats.org/officeDocument/2006/relationships/hyperlink" Target="http://www.wikidata.org/entity/Q94896539" TargetMode="External"/><Relationship Id="rId3214" Type="http://schemas.openxmlformats.org/officeDocument/2006/relationships/hyperlink" Target="http://commons.wikimedia.org/wiki/Special:FilePath/Jules%20Lagae%20%281862-1931%29.jpg" TargetMode="External"/><Relationship Id="rId683" Type="http://schemas.openxmlformats.org/officeDocument/2006/relationships/hyperlink" Target="http://www.wikidata.org/entity/Q175151" TargetMode="External"/><Relationship Id="rId3213" Type="http://schemas.openxmlformats.org/officeDocument/2006/relationships/hyperlink" Target="http://www.wikidata.org/entity/Q1708232" TargetMode="External"/><Relationship Id="rId3205" Type="http://schemas.openxmlformats.org/officeDocument/2006/relationships/hyperlink" Target="http://www.wikidata.org/entity/Q120651810" TargetMode="External"/><Relationship Id="rId3204" Type="http://schemas.openxmlformats.org/officeDocument/2006/relationships/hyperlink" Target="http://www.wikidata.org/entity/Q1056391" TargetMode="External"/><Relationship Id="rId3207" Type="http://schemas.openxmlformats.org/officeDocument/2006/relationships/hyperlink" Target="http://www.wikidata.org/entity/Q115980136" TargetMode="External"/><Relationship Id="rId3206" Type="http://schemas.openxmlformats.org/officeDocument/2006/relationships/hyperlink" Target="http://www.wikidata.org/entity/Q250867" TargetMode="External"/><Relationship Id="rId3209" Type="http://schemas.openxmlformats.org/officeDocument/2006/relationships/hyperlink" Target="http://www.wikidata.org/entity/Q975292" TargetMode="External"/><Relationship Id="rId3208" Type="http://schemas.openxmlformats.org/officeDocument/2006/relationships/hyperlink" Target="http://www.wikidata.org/entity/Q1993192" TargetMode="External"/><Relationship Id="rId679" Type="http://schemas.openxmlformats.org/officeDocument/2006/relationships/hyperlink" Target="http://www.wikidata.org/entity/Q6673651" TargetMode="External"/><Relationship Id="rId678" Type="http://schemas.openxmlformats.org/officeDocument/2006/relationships/hyperlink" Target="http://www.wikidata.org/entity/Q113681935" TargetMode="External"/><Relationship Id="rId677" Type="http://schemas.openxmlformats.org/officeDocument/2006/relationships/hyperlink" Target="http://www.wikidata.org/entity/Q42603" TargetMode="External"/><Relationship Id="rId676" Type="http://schemas.openxmlformats.org/officeDocument/2006/relationships/hyperlink" Target="http://www.wikidata.org/entity/Q110039159" TargetMode="External"/><Relationship Id="rId671" Type="http://schemas.openxmlformats.org/officeDocument/2006/relationships/hyperlink" Target="http://www.wikidata.org/entity/Q2251335" TargetMode="External"/><Relationship Id="rId670" Type="http://schemas.openxmlformats.org/officeDocument/2006/relationships/hyperlink" Target="http://www.wikidata.org/entity/Q113681935" TargetMode="External"/><Relationship Id="rId675" Type="http://schemas.openxmlformats.org/officeDocument/2006/relationships/hyperlink" Target="http://www.wikidata.org/entity/Q36180" TargetMode="External"/><Relationship Id="rId3201" Type="http://schemas.openxmlformats.org/officeDocument/2006/relationships/hyperlink" Target="http://www.wikidata.org/entity/Q115980136" TargetMode="External"/><Relationship Id="rId674" Type="http://schemas.openxmlformats.org/officeDocument/2006/relationships/hyperlink" Target="http://www.wikidata.org/entity/Q110039159" TargetMode="External"/><Relationship Id="rId3200" Type="http://schemas.openxmlformats.org/officeDocument/2006/relationships/hyperlink" Target="http://www.wikidata.org/entity/Q1776501" TargetMode="External"/><Relationship Id="rId673" Type="http://schemas.openxmlformats.org/officeDocument/2006/relationships/hyperlink" Target="http://www.wikidata.org/entity/Q42603" TargetMode="External"/><Relationship Id="rId3203" Type="http://schemas.openxmlformats.org/officeDocument/2006/relationships/hyperlink" Target="http://www.wikidata.org/entity/Q120651810" TargetMode="External"/><Relationship Id="rId672" Type="http://schemas.openxmlformats.org/officeDocument/2006/relationships/hyperlink" Target="http://www.wikidata.org/entity/Q115819139" TargetMode="External"/><Relationship Id="rId3202" Type="http://schemas.openxmlformats.org/officeDocument/2006/relationships/hyperlink" Target="http://www.wikidata.org/entity/Q1753370" TargetMode="External"/><Relationship Id="rId190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94" Type="http://schemas.openxmlformats.org/officeDocument/2006/relationships/hyperlink" Target="http://www.wikidata.org/entity/Q2457997" TargetMode="External"/><Relationship Id="rId193" Type="http://schemas.openxmlformats.org/officeDocument/2006/relationships/hyperlink" Target="http://commons.wikimedia.org/wiki/Special:FilePath/Brugge%20-%20Bisschop%20Faict%20%281864-1894%29%20-%20Brugge%20-%20Belgi%C3%AB.jpg" TargetMode="External"/><Relationship Id="rId192" Type="http://schemas.openxmlformats.org/officeDocument/2006/relationships/hyperlink" Target="http://www.wikidata.org/entity/Q611644" TargetMode="External"/><Relationship Id="rId191" Type="http://schemas.openxmlformats.org/officeDocument/2006/relationships/hyperlink" Target="http://www.wikidata.org/entity/Q3166510" TargetMode="External"/><Relationship Id="rId187" Type="http://schemas.openxmlformats.org/officeDocument/2006/relationships/hyperlink" Target="http://commons.wikimedia.org/wiki/Special:FilePath/Stijn%20Streuvels%20by%20Modest%20Huys.jpg" TargetMode="External"/><Relationship Id="rId186" Type="http://schemas.openxmlformats.org/officeDocument/2006/relationships/hyperlink" Target="http://www.wikidata.org/entity/Q333634" TargetMode="External"/><Relationship Id="rId185" Type="http://schemas.openxmlformats.org/officeDocument/2006/relationships/hyperlink" Target="http://www.wikidata.org/entity/Q175669" TargetMode="External"/><Relationship Id="rId184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89" Type="http://schemas.openxmlformats.org/officeDocument/2006/relationships/hyperlink" Target="http://www.wikidata.org/entity/Q635734" TargetMode="External"/><Relationship Id="rId188" Type="http://schemas.openxmlformats.org/officeDocument/2006/relationships/hyperlink" Target="http://www.wikidata.org/entity/Q2457997" TargetMode="External"/><Relationship Id="rId183" Type="http://schemas.openxmlformats.org/officeDocument/2006/relationships/hyperlink" Target="http://www.wikidata.org/entity/Q247797" TargetMode="External"/><Relationship Id="rId182" Type="http://schemas.openxmlformats.org/officeDocument/2006/relationships/hyperlink" Target="http://www.wikidata.org/entity/Q1334711" TargetMode="External"/><Relationship Id="rId181" Type="http://schemas.openxmlformats.org/officeDocument/2006/relationships/hyperlink" Target="http://commons.wikimedia.org/wiki/Special:FilePath/Brugge%20-%20Bisschop%20Faict%20%281864-1894%29%20-%20Brugge%20-%20Belgi%C3%AB.jpg" TargetMode="External"/><Relationship Id="rId180" Type="http://schemas.openxmlformats.org/officeDocument/2006/relationships/hyperlink" Target="http://www.wikidata.org/entity/Q1104153" TargetMode="External"/><Relationship Id="rId176" Type="http://schemas.openxmlformats.org/officeDocument/2006/relationships/hyperlink" Target="http://www.wikidata.org/entity/Q586323" TargetMode="External"/><Relationship Id="rId175" Type="http://schemas.openxmlformats.org/officeDocument/2006/relationships/hyperlink" Target="http://commons.wikimedia.org/wiki/Special:FilePath/Portret%20van%20Albert%20Verwey%20Rijksmuseum%20SK-C-1680.jpeg" TargetMode="External"/><Relationship Id="rId174" Type="http://schemas.openxmlformats.org/officeDocument/2006/relationships/hyperlink" Target="http://www.wikidata.org/entity/Q36180" TargetMode="External"/><Relationship Id="rId173" Type="http://schemas.openxmlformats.org/officeDocument/2006/relationships/hyperlink" Target="http://www.wikidata.org/entity/Q586323" TargetMode="External"/><Relationship Id="rId179" Type="http://schemas.openxmlformats.org/officeDocument/2006/relationships/hyperlink" Target="http://www.wikidata.org/entity/Q3166510" TargetMode="External"/><Relationship Id="rId178" Type="http://schemas.openxmlformats.org/officeDocument/2006/relationships/hyperlink" Target="http://commons.wikimedia.org/wiki/Special:FilePath/Portret%20van%20Albert%20Verwey%20Rijksmuseum%20SK-C-1680.jpeg" TargetMode="External"/><Relationship Id="rId177" Type="http://schemas.openxmlformats.org/officeDocument/2006/relationships/hyperlink" Target="http://www.wikidata.org/entity/Q49757" TargetMode="External"/><Relationship Id="rId198" Type="http://schemas.openxmlformats.org/officeDocument/2006/relationships/hyperlink" Target="http://www.wikidata.org/entity/Q1622272" TargetMode="External"/><Relationship Id="rId197" Type="http://schemas.openxmlformats.org/officeDocument/2006/relationships/hyperlink" Target="http://www.wikidata.org/entity/Q586323" TargetMode="External"/><Relationship Id="rId196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95" Type="http://schemas.openxmlformats.org/officeDocument/2006/relationships/hyperlink" Target="http://www.wikidata.org/entity/Q326653" TargetMode="External"/><Relationship Id="rId199" Type="http://schemas.openxmlformats.org/officeDocument/2006/relationships/hyperlink" Target="http://commons.wikimedia.org/wiki/Special:FilePath/Portret%20van%20Albert%20Verwey%20Rijksmuseum%20SK-C-1680.jpeg" TargetMode="External"/><Relationship Id="rId150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49" Type="http://schemas.openxmlformats.org/officeDocument/2006/relationships/hyperlink" Target="http://www.wikidata.org/entity/Q2251335" TargetMode="External"/><Relationship Id="rId148" Type="http://schemas.openxmlformats.org/officeDocument/2006/relationships/hyperlink" Target="http://www.wikidata.org/entity/Q2457997" TargetMode="External"/><Relationship Id="rId3270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3272" Type="http://schemas.openxmlformats.org/officeDocument/2006/relationships/hyperlink" Target="http://www.wikidata.org/entity/Q158852" TargetMode="External"/><Relationship Id="rId3271" Type="http://schemas.openxmlformats.org/officeDocument/2006/relationships/hyperlink" Target="http://www.wikidata.org/entity/Q3531475" TargetMode="External"/><Relationship Id="rId143" Type="http://schemas.openxmlformats.org/officeDocument/2006/relationships/hyperlink" Target="http://www.wikidata.org/entity/Q36180" TargetMode="External"/><Relationship Id="rId3274" Type="http://schemas.openxmlformats.org/officeDocument/2006/relationships/hyperlink" Target="http://www.wikidata.org/entity/Q1076502" TargetMode="External"/><Relationship Id="rId142" Type="http://schemas.openxmlformats.org/officeDocument/2006/relationships/hyperlink" Target="http://www.wikidata.org/entity/Q1796639" TargetMode="External"/><Relationship Id="rId3273" Type="http://schemas.openxmlformats.org/officeDocument/2006/relationships/hyperlink" Target="http://www.wikidata.org/entity/Q3531475" TargetMode="External"/><Relationship Id="rId141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3276" Type="http://schemas.openxmlformats.org/officeDocument/2006/relationships/hyperlink" Target="http://www.wikidata.org/entity/Q486748" TargetMode="External"/><Relationship Id="rId140" Type="http://schemas.openxmlformats.org/officeDocument/2006/relationships/hyperlink" Target="http://www.wikidata.org/entity/Q182436" TargetMode="External"/><Relationship Id="rId3275" Type="http://schemas.openxmlformats.org/officeDocument/2006/relationships/hyperlink" Target="http://www.wikidata.org/entity/Q3531475" TargetMode="External"/><Relationship Id="rId147" Type="http://schemas.openxmlformats.org/officeDocument/2006/relationships/hyperlink" Target="http://commons.wikimedia.org/wiki/Special:FilePath/Charles%20Carton.jpg" TargetMode="External"/><Relationship Id="rId3278" Type="http://schemas.openxmlformats.org/officeDocument/2006/relationships/hyperlink" Target="http://www.wikidata.org/entity/Q5322166" TargetMode="External"/><Relationship Id="rId146" Type="http://schemas.openxmlformats.org/officeDocument/2006/relationships/hyperlink" Target="http://www.wikidata.org/entity/Q114371470" TargetMode="External"/><Relationship Id="rId3277" Type="http://schemas.openxmlformats.org/officeDocument/2006/relationships/hyperlink" Target="http://www.wikidata.org/entity/Q2677198" TargetMode="External"/><Relationship Id="rId145" Type="http://schemas.openxmlformats.org/officeDocument/2006/relationships/hyperlink" Target="http://www.wikidata.org/entity/Q1877721" TargetMode="External"/><Relationship Id="rId144" Type="http://schemas.openxmlformats.org/officeDocument/2006/relationships/hyperlink" Target="http://commons.wikimedia.org/wiki/Special:FilePath/Raf%20Verhulst.jpg" TargetMode="External"/><Relationship Id="rId3279" Type="http://schemas.openxmlformats.org/officeDocument/2006/relationships/hyperlink" Target="http://commons.wikimedia.org/wiki/Special:FilePath/Jules%20Lagae%20%281862-1931%29.jpg" TargetMode="External"/><Relationship Id="rId139" Type="http://schemas.openxmlformats.org/officeDocument/2006/relationships/hyperlink" Target="http://www.wikidata.org/entity/Q2457997" TargetMode="External"/><Relationship Id="rId138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37" Type="http://schemas.openxmlformats.org/officeDocument/2006/relationships/hyperlink" Target="http://www.wikidata.org/entity/Q36180" TargetMode="External"/><Relationship Id="rId3261" Type="http://schemas.openxmlformats.org/officeDocument/2006/relationships/hyperlink" Target="http://www.wikidata.org/entity/Q80687" TargetMode="External"/><Relationship Id="rId3260" Type="http://schemas.openxmlformats.org/officeDocument/2006/relationships/hyperlink" Target="http://www.wikidata.org/entity/Q3450211" TargetMode="External"/><Relationship Id="rId132" Type="http://schemas.openxmlformats.org/officeDocument/2006/relationships/hyperlink" Target="http://commons.wikimedia.org/wiki/Special:FilePath/Wiseman.jpg" TargetMode="External"/><Relationship Id="rId3263" Type="http://schemas.openxmlformats.org/officeDocument/2006/relationships/hyperlink" Target="http://www.wikidata.org/entity/Q4263842" TargetMode="External"/><Relationship Id="rId131" Type="http://schemas.openxmlformats.org/officeDocument/2006/relationships/hyperlink" Target="http://www.wikidata.org/entity/Q6625963" TargetMode="External"/><Relationship Id="rId3262" Type="http://schemas.openxmlformats.org/officeDocument/2006/relationships/hyperlink" Target="http://www.wikidata.org/entity/Q764378" TargetMode="External"/><Relationship Id="rId130" Type="http://schemas.openxmlformats.org/officeDocument/2006/relationships/hyperlink" Target="http://www.wikidata.org/entity/Q672816" TargetMode="External"/><Relationship Id="rId3265" Type="http://schemas.openxmlformats.org/officeDocument/2006/relationships/hyperlink" Target="http://www.wikidata.org/entity/Q975292" TargetMode="External"/><Relationship Id="rId3264" Type="http://schemas.openxmlformats.org/officeDocument/2006/relationships/hyperlink" Target="http://commons.wikimedia.org/wiki/Special:FilePath/AugustVermeylen2.jpg" TargetMode="External"/><Relationship Id="rId136" Type="http://schemas.openxmlformats.org/officeDocument/2006/relationships/hyperlink" Target="http://www.wikidata.org/entity/Q2191260" TargetMode="External"/><Relationship Id="rId3267" Type="http://schemas.openxmlformats.org/officeDocument/2006/relationships/hyperlink" Target="http://commons.wikimedia.org/wiki/Special:FilePath/Jan%20Van%20Beers.jpg" TargetMode="External"/><Relationship Id="rId135" Type="http://schemas.openxmlformats.org/officeDocument/2006/relationships/hyperlink" Target="http://commons.wikimedia.org/wiki/Special:FilePath/Brugge%20-%20Bisschop%20Faict%20%281864-1894%29%20-%20Brugge%20-%20Belgi%C3%AB.jpg" TargetMode="External"/><Relationship Id="rId3266" Type="http://schemas.openxmlformats.org/officeDocument/2006/relationships/hyperlink" Target="http://www.wikidata.org/entity/Q6673651" TargetMode="External"/><Relationship Id="rId134" Type="http://schemas.openxmlformats.org/officeDocument/2006/relationships/hyperlink" Target="http://www.wikidata.org/entity/Q25393460" TargetMode="External"/><Relationship Id="rId3269" Type="http://schemas.openxmlformats.org/officeDocument/2006/relationships/hyperlink" Target="http://www.wikidata.org/entity/Q738142" TargetMode="External"/><Relationship Id="rId133" Type="http://schemas.openxmlformats.org/officeDocument/2006/relationships/hyperlink" Target="http://www.wikidata.org/entity/Q3166510" TargetMode="External"/><Relationship Id="rId3268" Type="http://schemas.openxmlformats.org/officeDocument/2006/relationships/hyperlink" Target="http://www.wikidata.org/entity/Q5006521" TargetMode="External"/><Relationship Id="rId172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71" Type="http://schemas.openxmlformats.org/officeDocument/2006/relationships/hyperlink" Target="http://www.wikidata.org/entity/Q1234713" TargetMode="External"/><Relationship Id="rId170" Type="http://schemas.openxmlformats.org/officeDocument/2006/relationships/hyperlink" Target="http://www.wikidata.org/entity/Q2191260" TargetMode="External"/><Relationship Id="rId3290" Type="http://schemas.openxmlformats.org/officeDocument/2006/relationships/hyperlink" Target="http://www.wikidata.org/entity/Q2050293" TargetMode="External"/><Relationship Id="rId3292" Type="http://schemas.openxmlformats.org/officeDocument/2006/relationships/hyperlink" Target="http://www.wikidata.org/entity/Q2677198" TargetMode="External"/><Relationship Id="rId3291" Type="http://schemas.openxmlformats.org/officeDocument/2006/relationships/hyperlink" Target="http://www.wikidata.org/entity/Q114371470" TargetMode="External"/><Relationship Id="rId3294" Type="http://schemas.openxmlformats.org/officeDocument/2006/relationships/hyperlink" Target="http://commons.wikimedia.org/wiki/Special:FilePath/Jules%20Lagae%20%281862-1931%29.jpg" TargetMode="External"/><Relationship Id="rId3293" Type="http://schemas.openxmlformats.org/officeDocument/2006/relationships/hyperlink" Target="http://www.wikidata.org/entity/Q1281618" TargetMode="External"/><Relationship Id="rId165" Type="http://schemas.openxmlformats.org/officeDocument/2006/relationships/hyperlink" Target="http://www.wikidata.org/entity/Q2298746" TargetMode="External"/><Relationship Id="rId3296" Type="http://schemas.openxmlformats.org/officeDocument/2006/relationships/hyperlink" Target="http://www.wikidata.org/entity/Q201788" TargetMode="External"/><Relationship Id="rId164" Type="http://schemas.openxmlformats.org/officeDocument/2006/relationships/hyperlink" Target="http://www.wikidata.org/entity/Q49757" TargetMode="External"/><Relationship Id="rId3295" Type="http://schemas.openxmlformats.org/officeDocument/2006/relationships/hyperlink" Target="http://www.wikidata.org/entity/Q2524668" TargetMode="External"/><Relationship Id="rId163" Type="http://schemas.openxmlformats.org/officeDocument/2006/relationships/hyperlink" Target="http://www.wikidata.org/entity/Q2298746" TargetMode="External"/><Relationship Id="rId3298" Type="http://schemas.openxmlformats.org/officeDocument/2006/relationships/hyperlink" Target="http://www.wikidata.org/entity/Q2524668" TargetMode="External"/><Relationship Id="rId162" Type="http://schemas.openxmlformats.org/officeDocument/2006/relationships/hyperlink" Target="http://www.wikidata.org/entity/Q36180" TargetMode="External"/><Relationship Id="rId3297" Type="http://schemas.openxmlformats.org/officeDocument/2006/relationships/hyperlink" Target="http://commons.wikimedia.org/wiki/Special:FilePath/Adolf%20Duclos001.jpg" TargetMode="External"/><Relationship Id="rId169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68" Type="http://schemas.openxmlformats.org/officeDocument/2006/relationships/hyperlink" Target="http://www.wikidata.org/entity/Q1622272" TargetMode="External"/><Relationship Id="rId3299" Type="http://schemas.openxmlformats.org/officeDocument/2006/relationships/hyperlink" Target="http://www.wikidata.org/entity/Q2251335" TargetMode="External"/><Relationship Id="rId167" Type="http://schemas.openxmlformats.org/officeDocument/2006/relationships/hyperlink" Target="http://www.wikidata.org/entity/Q2191260" TargetMode="External"/><Relationship Id="rId166" Type="http://schemas.openxmlformats.org/officeDocument/2006/relationships/hyperlink" Target="http://www.wikidata.org/entity/Q42603" TargetMode="External"/><Relationship Id="rId161" Type="http://schemas.openxmlformats.org/officeDocument/2006/relationships/hyperlink" Target="http://www.wikidata.org/entity/Q2298746" TargetMode="External"/><Relationship Id="rId160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59" Type="http://schemas.openxmlformats.org/officeDocument/2006/relationships/hyperlink" Target="http://www.wikidata.org/entity/Q212238" TargetMode="External"/><Relationship Id="rId3281" Type="http://schemas.openxmlformats.org/officeDocument/2006/relationships/hyperlink" Target="http://www.wikidata.org/entity/Q765778" TargetMode="External"/><Relationship Id="rId3280" Type="http://schemas.openxmlformats.org/officeDocument/2006/relationships/hyperlink" Target="http://www.wikidata.org/entity/Q3531475" TargetMode="External"/><Relationship Id="rId3283" Type="http://schemas.openxmlformats.org/officeDocument/2006/relationships/hyperlink" Target="http://www.wikidata.org/entity/Q2251335" TargetMode="External"/><Relationship Id="rId3282" Type="http://schemas.openxmlformats.org/officeDocument/2006/relationships/hyperlink" Target="http://www.wikidata.org/entity/Q3531475" TargetMode="External"/><Relationship Id="rId154" Type="http://schemas.openxmlformats.org/officeDocument/2006/relationships/hyperlink" Target="http://www.wikidata.org/entity/Q4902927" TargetMode="External"/><Relationship Id="rId3285" Type="http://schemas.openxmlformats.org/officeDocument/2006/relationships/hyperlink" Target="http://www.wikidata.org/entity/Q955464" TargetMode="External"/><Relationship Id="rId153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3284" Type="http://schemas.openxmlformats.org/officeDocument/2006/relationships/hyperlink" Target="http://www.wikidata.org/entity/Q2524668" TargetMode="External"/><Relationship Id="rId152" Type="http://schemas.openxmlformats.org/officeDocument/2006/relationships/hyperlink" Target="http://www.wikidata.org/entity/Q333634" TargetMode="External"/><Relationship Id="rId3287" Type="http://schemas.openxmlformats.org/officeDocument/2006/relationships/hyperlink" Target="http://www.wikidata.org/entity/Q764378" TargetMode="External"/><Relationship Id="rId151" Type="http://schemas.openxmlformats.org/officeDocument/2006/relationships/hyperlink" Target="http://www.wikidata.org/entity/Q2457997" TargetMode="External"/><Relationship Id="rId3286" Type="http://schemas.openxmlformats.org/officeDocument/2006/relationships/hyperlink" Target="http://commons.wikimedia.org/wiki/Special:FilePath/Adolf%20Duclos001.jpg" TargetMode="External"/><Relationship Id="rId158" Type="http://schemas.openxmlformats.org/officeDocument/2006/relationships/hyperlink" Target="http://www.wikidata.org/entity/Q1334711" TargetMode="External"/><Relationship Id="rId3289" Type="http://schemas.openxmlformats.org/officeDocument/2006/relationships/hyperlink" Target="http://commons.wikimedia.org/wiki/Special:FilePath/AugustVermeylen2.jpg" TargetMode="External"/><Relationship Id="rId157" Type="http://schemas.openxmlformats.org/officeDocument/2006/relationships/hyperlink" Target="http://www.wikidata.org/entity/Q49757" TargetMode="External"/><Relationship Id="rId3288" Type="http://schemas.openxmlformats.org/officeDocument/2006/relationships/hyperlink" Target="http://www.wikidata.org/entity/Q36180" TargetMode="External"/><Relationship Id="rId156" Type="http://schemas.openxmlformats.org/officeDocument/2006/relationships/hyperlink" Target="http://www.wikidata.org/entity/Q4902927" TargetMode="External"/><Relationship Id="rId155" Type="http://schemas.openxmlformats.org/officeDocument/2006/relationships/hyperlink" Target="http://www.wikidata.org/entity/Q40348" TargetMode="External"/><Relationship Id="rId2820" Type="http://schemas.openxmlformats.org/officeDocument/2006/relationships/hyperlink" Target="http://www.wikidata.org/entity/Q1753370" TargetMode="External"/><Relationship Id="rId2821" Type="http://schemas.openxmlformats.org/officeDocument/2006/relationships/hyperlink" Target="http://www.wikidata.org/entity/Q115840228" TargetMode="External"/><Relationship Id="rId2822" Type="http://schemas.openxmlformats.org/officeDocument/2006/relationships/hyperlink" Target="http://www.wikidata.org/entity/Q1753370" TargetMode="External"/><Relationship Id="rId2823" Type="http://schemas.openxmlformats.org/officeDocument/2006/relationships/hyperlink" Target="http://www.wikidata.org/entity/Q115840920" TargetMode="External"/><Relationship Id="rId2824" Type="http://schemas.openxmlformats.org/officeDocument/2006/relationships/hyperlink" Target="http://www.wikidata.org/entity/Q1753370" TargetMode="External"/><Relationship Id="rId2825" Type="http://schemas.openxmlformats.org/officeDocument/2006/relationships/hyperlink" Target="http://www.wikidata.org/entity/Q115841074" TargetMode="External"/><Relationship Id="rId2826" Type="http://schemas.openxmlformats.org/officeDocument/2006/relationships/hyperlink" Target="http://www.wikidata.org/entity/Q1753370" TargetMode="External"/><Relationship Id="rId2827" Type="http://schemas.openxmlformats.org/officeDocument/2006/relationships/hyperlink" Target="http://www.wikidata.org/entity/Q115839353" TargetMode="External"/><Relationship Id="rId2828" Type="http://schemas.openxmlformats.org/officeDocument/2006/relationships/hyperlink" Target="http://www.wikidata.org/entity/Q1958649" TargetMode="External"/><Relationship Id="rId2829" Type="http://schemas.openxmlformats.org/officeDocument/2006/relationships/hyperlink" Target="http://www.wikidata.org/entity/Q115839380" TargetMode="External"/><Relationship Id="rId2810" Type="http://schemas.openxmlformats.org/officeDocument/2006/relationships/hyperlink" Target="http://www.wikidata.org/entity/Q864380" TargetMode="External"/><Relationship Id="rId2811" Type="http://schemas.openxmlformats.org/officeDocument/2006/relationships/hyperlink" Target="http://www.wikidata.org/entity/Q115832532" TargetMode="External"/><Relationship Id="rId2812" Type="http://schemas.openxmlformats.org/officeDocument/2006/relationships/hyperlink" Target="http://www.wikidata.org/entity/Q1469535" TargetMode="External"/><Relationship Id="rId2813" Type="http://schemas.openxmlformats.org/officeDocument/2006/relationships/hyperlink" Target="http://www.wikidata.org/entity/Q113675636" TargetMode="External"/><Relationship Id="rId2814" Type="http://schemas.openxmlformats.org/officeDocument/2006/relationships/hyperlink" Target="http://www.wikidata.org/entity/Q114371470" TargetMode="External"/><Relationship Id="rId2815" Type="http://schemas.openxmlformats.org/officeDocument/2006/relationships/hyperlink" Target="http://www.wikidata.org/entity/Q115835763" TargetMode="External"/><Relationship Id="rId2816" Type="http://schemas.openxmlformats.org/officeDocument/2006/relationships/hyperlink" Target="http://www.wikidata.org/entity/Q1753370" TargetMode="External"/><Relationship Id="rId2817" Type="http://schemas.openxmlformats.org/officeDocument/2006/relationships/hyperlink" Target="http://www.wikidata.org/entity/Q115836962" TargetMode="External"/><Relationship Id="rId2818" Type="http://schemas.openxmlformats.org/officeDocument/2006/relationships/hyperlink" Target="http://www.wikidata.org/entity/Q1753370" TargetMode="External"/><Relationship Id="rId2819" Type="http://schemas.openxmlformats.org/officeDocument/2006/relationships/hyperlink" Target="http://www.wikidata.org/entity/Q115839380" TargetMode="External"/><Relationship Id="rId1510" Type="http://schemas.openxmlformats.org/officeDocument/2006/relationships/hyperlink" Target="http://www.wikidata.org/entity/Q119007176" TargetMode="External"/><Relationship Id="rId2841" Type="http://schemas.openxmlformats.org/officeDocument/2006/relationships/hyperlink" Target="http://www.wikidata.org/entity/Q113675636" TargetMode="External"/><Relationship Id="rId1511" Type="http://schemas.openxmlformats.org/officeDocument/2006/relationships/hyperlink" Target="http://www.wikidata.org/entity/Q1281618" TargetMode="External"/><Relationship Id="rId2842" Type="http://schemas.openxmlformats.org/officeDocument/2006/relationships/hyperlink" Target="http://www.wikidata.org/entity/Q2251335" TargetMode="External"/><Relationship Id="rId1512" Type="http://schemas.openxmlformats.org/officeDocument/2006/relationships/hyperlink" Target="http://www.wikidata.org/entity/Q115979140" TargetMode="External"/><Relationship Id="rId2843" Type="http://schemas.openxmlformats.org/officeDocument/2006/relationships/hyperlink" Target="http://www.wikidata.org/entity/Q115817390" TargetMode="External"/><Relationship Id="rId1513" Type="http://schemas.openxmlformats.org/officeDocument/2006/relationships/hyperlink" Target="http://www.wikidata.org/entity/Q955464" TargetMode="External"/><Relationship Id="rId2844" Type="http://schemas.openxmlformats.org/officeDocument/2006/relationships/hyperlink" Target="http://www.wikidata.org/entity/Q42603" TargetMode="External"/><Relationship Id="rId1514" Type="http://schemas.openxmlformats.org/officeDocument/2006/relationships/hyperlink" Target="http://www.wikidata.org/entity/Q115979418" TargetMode="External"/><Relationship Id="rId2845" Type="http://schemas.openxmlformats.org/officeDocument/2006/relationships/hyperlink" Target="http://www.wikidata.org/entity/Q115820636" TargetMode="External"/><Relationship Id="rId1515" Type="http://schemas.openxmlformats.org/officeDocument/2006/relationships/hyperlink" Target="http://www.wikidata.org/entity/Q955464" TargetMode="External"/><Relationship Id="rId2846" Type="http://schemas.openxmlformats.org/officeDocument/2006/relationships/hyperlink" Target="http://www.wikidata.org/entity/Q42603" TargetMode="External"/><Relationship Id="rId1516" Type="http://schemas.openxmlformats.org/officeDocument/2006/relationships/hyperlink" Target="http://www.wikidata.org/entity/Q115979418" TargetMode="External"/><Relationship Id="rId2847" Type="http://schemas.openxmlformats.org/officeDocument/2006/relationships/hyperlink" Target="http://www.wikidata.org/entity/Q115832532" TargetMode="External"/><Relationship Id="rId1517" Type="http://schemas.openxmlformats.org/officeDocument/2006/relationships/hyperlink" Target="http://www.wikidata.org/entity/Q1072363" TargetMode="External"/><Relationship Id="rId2848" Type="http://schemas.openxmlformats.org/officeDocument/2006/relationships/hyperlink" Target="http://www.wikidata.org/entity/Q830337" TargetMode="External"/><Relationship Id="rId1518" Type="http://schemas.openxmlformats.org/officeDocument/2006/relationships/hyperlink" Target="http://www.wikidata.org/entity/Q116660566" TargetMode="External"/><Relationship Id="rId2849" Type="http://schemas.openxmlformats.org/officeDocument/2006/relationships/hyperlink" Target="http://www.wikidata.org/entity/Q115837593" TargetMode="External"/><Relationship Id="rId1519" Type="http://schemas.openxmlformats.org/officeDocument/2006/relationships/hyperlink" Target="http://www.wikidata.org/entity/Q37226" TargetMode="External"/><Relationship Id="rId2840" Type="http://schemas.openxmlformats.org/officeDocument/2006/relationships/hyperlink" Target="http://www.wikidata.org/entity/Q435940" TargetMode="External"/><Relationship Id="rId2830" Type="http://schemas.openxmlformats.org/officeDocument/2006/relationships/hyperlink" Target="http://www.wikidata.org/entity/Q756215" TargetMode="External"/><Relationship Id="rId1500" Type="http://schemas.openxmlformats.org/officeDocument/2006/relationships/hyperlink" Target="http://www.wikidata.org/entity/Q36180" TargetMode="External"/><Relationship Id="rId2831" Type="http://schemas.openxmlformats.org/officeDocument/2006/relationships/hyperlink" Target="http://www.wikidata.org/entity/Q115832532" TargetMode="External"/><Relationship Id="rId1501" Type="http://schemas.openxmlformats.org/officeDocument/2006/relationships/hyperlink" Target="http://www.wikidata.org/entity/Q119217815" TargetMode="External"/><Relationship Id="rId2832" Type="http://schemas.openxmlformats.org/officeDocument/2006/relationships/hyperlink" Target="http://www.wikidata.org/entity/Q435940" TargetMode="External"/><Relationship Id="rId1502" Type="http://schemas.openxmlformats.org/officeDocument/2006/relationships/hyperlink" Target="http://www.wikidata.org/entity/Q955464" TargetMode="External"/><Relationship Id="rId2833" Type="http://schemas.openxmlformats.org/officeDocument/2006/relationships/hyperlink" Target="http://www.wikidata.org/entity/Q113675636" TargetMode="External"/><Relationship Id="rId1503" Type="http://schemas.openxmlformats.org/officeDocument/2006/relationships/hyperlink" Target="http://www.wikidata.org/entity/Q119217815" TargetMode="External"/><Relationship Id="rId2834" Type="http://schemas.openxmlformats.org/officeDocument/2006/relationships/hyperlink" Target="http://www.wikidata.org/entity/Q955464" TargetMode="External"/><Relationship Id="rId1504" Type="http://schemas.openxmlformats.org/officeDocument/2006/relationships/hyperlink" Target="http://www.wikidata.org/entity/Q250867" TargetMode="External"/><Relationship Id="rId2835" Type="http://schemas.openxmlformats.org/officeDocument/2006/relationships/hyperlink" Target="http://www.wikidata.org/entity/Q113675636" TargetMode="External"/><Relationship Id="rId1505" Type="http://schemas.openxmlformats.org/officeDocument/2006/relationships/hyperlink" Target="http://www.wikidata.org/entity/Q116620790" TargetMode="External"/><Relationship Id="rId2836" Type="http://schemas.openxmlformats.org/officeDocument/2006/relationships/hyperlink" Target="http://www.wikidata.org/entity/Q1162163" TargetMode="External"/><Relationship Id="rId1506" Type="http://schemas.openxmlformats.org/officeDocument/2006/relationships/hyperlink" Target="http://www.wikidata.org/entity/Q36180" TargetMode="External"/><Relationship Id="rId2837" Type="http://schemas.openxmlformats.org/officeDocument/2006/relationships/hyperlink" Target="http://www.wikidata.org/entity/Q113675636" TargetMode="External"/><Relationship Id="rId1507" Type="http://schemas.openxmlformats.org/officeDocument/2006/relationships/hyperlink" Target="http://commons.wikimedia.org/wiki/Special:FilePath/Portret%20Sophie%20Peeters.jpg" TargetMode="External"/><Relationship Id="rId2838" Type="http://schemas.openxmlformats.org/officeDocument/2006/relationships/hyperlink" Target="http://www.wikidata.org/entity/Q250867" TargetMode="External"/><Relationship Id="rId1508" Type="http://schemas.openxmlformats.org/officeDocument/2006/relationships/hyperlink" Target="http://www.wikidata.org/entity/Q115979029" TargetMode="External"/><Relationship Id="rId2839" Type="http://schemas.openxmlformats.org/officeDocument/2006/relationships/hyperlink" Target="http://www.wikidata.org/entity/Q115834833" TargetMode="External"/><Relationship Id="rId1509" Type="http://schemas.openxmlformats.org/officeDocument/2006/relationships/hyperlink" Target="http://www.wikidata.org/entity/Q955464" TargetMode="External"/><Relationship Id="rId2800" Type="http://schemas.openxmlformats.org/officeDocument/2006/relationships/hyperlink" Target="http://www.wikidata.org/entity/Q435940" TargetMode="External"/><Relationship Id="rId2801" Type="http://schemas.openxmlformats.org/officeDocument/2006/relationships/hyperlink" Target="http://www.wikidata.org/entity/Q115841074" TargetMode="External"/><Relationship Id="rId2802" Type="http://schemas.openxmlformats.org/officeDocument/2006/relationships/hyperlink" Target="http://www.wikidata.org/entity/Q2251335" TargetMode="External"/><Relationship Id="rId2803" Type="http://schemas.openxmlformats.org/officeDocument/2006/relationships/hyperlink" Target="http://www.wikidata.org/entity/Q115808465" TargetMode="External"/><Relationship Id="rId2804" Type="http://schemas.openxmlformats.org/officeDocument/2006/relationships/hyperlink" Target="http://www.wikidata.org/entity/Q23835475" TargetMode="External"/><Relationship Id="rId2805" Type="http://schemas.openxmlformats.org/officeDocument/2006/relationships/hyperlink" Target="http://www.wikidata.org/entity/Q115817263" TargetMode="External"/><Relationship Id="rId2806" Type="http://schemas.openxmlformats.org/officeDocument/2006/relationships/hyperlink" Target="http://www.wikidata.org/entity/Q435940" TargetMode="External"/><Relationship Id="rId2807" Type="http://schemas.openxmlformats.org/officeDocument/2006/relationships/hyperlink" Target="http://www.wikidata.org/entity/Q115820636" TargetMode="External"/><Relationship Id="rId2808" Type="http://schemas.openxmlformats.org/officeDocument/2006/relationships/hyperlink" Target="http://www.wikidata.org/entity/Q435940" TargetMode="External"/><Relationship Id="rId2809" Type="http://schemas.openxmlformats.org/officeDocument/2006/relationships/hyperlink" Target="http://www.wikidata.org/entity/Q115839353" TargetMode="External"/><Relationship Id="rId1576" Type="http://schemas.openxmlformats.org/officeDocument/2006/relationships/hyperlink" Target="http://www.wikidata.org/entity/Q1753370" TargetMode="External"/><Relationship Id="rId1577" Type="http://schemas.openxmlformats.org/officeDocument/2006/relationships/hyperlink" Target="http://www.wikidata.org/entity/Q115979952" TargetMode="External"/><Relationship Id="rId1578" Type="http://schemas.openxmlformats.org/officeDocument/2006/relationships/hyperlink" Target="http://www.wikidata.org/entity/Q1753370" TargetMode="External"/><Relationship Id="rId1579" Type="http://schemas.openxmlformats.org/officeDocument/2006/relationships/hyperlink" Target="http://www.wikidata.org/entity/Q120514200" TargetMode="External"/><Relationship Id="rId987" Type="http://schemas.openxmlformats.org/officeDocument/2006/relationships/hyperlink" Target="http://www.wikidata.org/entity/Q1162163" TargetMode="External"/><Relationship Id="rId986" Type="http://schemas.openxmlformats.org/officeDocument/2006/relationships/hyperlink" Target="http://www.wikidata.org/entity/Q115809938" TargetMode="External"/><Relationship Id="rId985" Type="http://schemas.openxmlformats.org/officeDocument/2006/relationships/hyperlink" Target="http://www.wikidata.org/entity/Q1930187" TargetMode="External"/><Relationship Id="rId984" Type="http://schemas.openxmlformats.org/officeDocument/2006/relationships/hyperlink" Target="http://www.wikidata.org/entity/Q56036059" TargetMode="External"/><Relationship Id="rId989" Type="http://schemas.openxmlformats.org/officeDocument/2006/relationships/hyperlink" Target="http://www.wikidata.org/entity/Q250867" TargetMode="External"/><Relationship Id="rId988" Type="http://schemas.openxmlformats.org/officeDocument/2006/relationships/hyperlink" Target="http://www.wikidata.org/entity/Q115809938" TargetMode="External"/><Relationship Id="rId1570" Type="http://schemas.openxmlformats.org/officeDocument/2006/relationships/hyperlink" Target="http://www.wikidata.org/entity/Q955464" TargetMode="External"/><Relationship Id="rId1571" Type="http://schemas.openxmlformats.org/officeDocument/2006/relationships/hyperlink" Target="http://www.wikidata.org/entity/Q120629807" TargetMode="External"/><Relationship Id="rId983" Type="http://schemas.openxmlformats.org/officeDocument/2006/relationships/hyperlink" Target="http://www.wikidata.org/entity/Q955464" TargetMode="External"/><Relationship Id="rId1572" Type="http://schemas.openxmlformats.org/officeDocument/2006/relationships/hyperlink" Target="http://www.wikidata.org/entity/Q2005653" TargetMode="External"/><Relationship Id="rId982" Type="http://schemas.openxmlformats.org/officeDocument/2006/relationships/hyperlink" Target="http://www.wikidata.org/entity/Q115809938" TargetMode="External"/><Relationship Id="rId1573" Type="http://schemas.openxmlformats.org/officeDocument/2006/relationships/hyperlink" Target="http://www.wikidata.org/entity/Q119224999" TargetMode="External"/><Relationship Id="rId981" Type="http://schemas.openxmlformats.org/officeDocument/2006/relationships/hyperlink" Target="http://www.wikidata.org/entity/Q250867" TargetMode="External"/><Relationship Id="rId1574" Type="http://schemas.openxmlformats.org/officeDocument/2006/relationships/hyperlink" Target="http://www.wikidata.org/entity/Q119625085" TargetMode="External"/><Relationship Id="rId980" Type="http://schemas.openxmlformats.org/officeDocument/2006/relationships/hyperlink" Target="http://www.wikidata.org/entity/Q113627806" TargetMode="External"/><Relationship Id="rId1575" Type="http://schemas.openxmlformats.org/officeDocument/2006/relationships/hyperlink" Target="http://www.wikidata.org/entity/Q115979418" TargetMode="External"/><Relationship Id="rId1565" Type="http://schemas.openxmlformats.org/officeDocument/2006/relationships/hyperlink" Target="http://www.wikidata.org/entity/Q119217815" TargetMode="External"/><Relationship Id="rId2896" Type="http://schemas.openxmlformats.org/officeDocument/2006/relationships/hyperlink" Target="http://www.wikidata.org/entity/Q115705951" TargetMode="External"/><Relationship Id="rId1566" Type="http://schemas.openxmlformats.org/officeDocument/2006/relationships/hyperlink" Target="http://www.wikidata.org/entity/Q1753370" TargetMode="External"/><Relationship Id="rId2897" Type="http://schemas.openxmlformats.org/officeDocument/2006/relationships/hyperlink" Target="http://www.wikidata.org/entity/Q123416923" TargetMode="External"/><Relationship Id="rId1567" Type="http://schemas.openxmlformats.org/officeDocument/2006/relationships/hyperlink" Target="http://www.wikidata.org/entity/Q115979418" TargetMode="External"/><Relationship Id="rId2898" Type="http://schemas.openxmlformats.org/officeDocument/2006/relationships/hyperlink" Target="http://www.wikidata.org/entity/Q37226" TargetMode="External"/><Relationship Id="rId1568" Type="http://schemas.openxmlformats.org/officeDocument/2006/relationships/hyperlink" Target="http://www.wikidata.org/entity/Q1657500" TargetMode="External"/><Relationship Id="rId2899" Type="http://schemas.openxmlformats.org/officeDocument/2006/relationships/hyperlink" Target="http://www.wikidata.org/entity/Q125334130" TargetMode="External"/><Relationship Id="rId1569" Type="http://schemas.openxmlformats.org/officeDocument/2006/relationships/hyperlink" Target="http://www.wikidata.org/entity/Q120644522" TargetMode="External"/><Relationship Id="rId976" Type="http://schemas.openxmlformats.org/officeDocument/2006/relationships/hyperlink" Target="http://www.wikidata.org/entity/Q219477" TargetMode="External"/><Relationship Id="rId975" Type="http://schemas.openxmlformats.org/officeDocument/2006/relationships/hyperlink" Target="http://www.wikidata.org/entity/Q113627806" TargetMode="External"/><Relationship Id="rId974" Type="http://schemas.openxmlformats.org/officeDocument/2006/relationships/hyperlink" Target="http://www.wikidata.org/entity/Q333634" TargetMode="External"/><Relationship Id="rId973" Type="http://schemas.openxmlformats.org/officeDocument/2006/relationships/hyperlink" Target="http://www.wikidata.org/entity/Q56036064" TargetMode="External"/><Relationship Id="rId979" Type="http://schemas.openxmlformats.org/officeDocument/2006/relationships/hyperlink" Target="http://commons.wikimedia.org/wiki/Special:FilePath/Alexandre%20Bonvarlet%20by%20Michel%20Berthaud.jpg" TargetMode="External"/><Relationship Id="rId978" Type="http://schemas.openxmlformats.org/officeDocument/2006/relationships/hyperlink" Target="http://www.wikidata.org/entity/Q201788" TargetMode="External"/><Relationship Id="rId977" Type="http://schemas.openxmlformats.org/officeDocument/2006/relationships/hyperlink" Target="http://www.wikidata.org/entity/Q56036018" TargetMode="External"/><Relationship Id="rId2890" Type="http://schemas.openxmlformats.org/officeDocument/2006/relationships/hyperlink" Target="http://www.wikidata.org/entity/Q3704253" TargetMode="External"/><Relationship Id="rId1560" Type="http://schemas.openxmlformats.org/officeDocument/2006/relationships/hyperlink" Target="http://www.wikidata.org/entity/Q6138343" TargetMode="External"/><Relationship Id="rId2891" Type="http://schemas.openxmlformats.org/officeDocument/2006/relationships/hyperlink" Target="http://www.wikidata.org/entity/Q122830932" TargetMode="External"/><Relationship Id="rId972" Type="http://schemas.openxmlformats.org/officeDocument/2006/relationships/hyperlink" Target="http://www.wikidata.org/entity/Q193391" TargetMode="External"/><Relationship Id="rId1561" Type="http://schemas.openxmlformats.org/officeDocument/2006/relationships/hyperlink" Target="http://www.wikidata.org/entity/Q117244395" TargetMode="External"/><Relationship Id="rId2892" Type="http://schemas.openxmlformats.org/officeDocument/2006/relationships/hyperlink" Target="http://www.wikidata.org/entity/Q7313543" TargetMode="External"/><Relationship Id="rId971" Type="http://schemas.openxmlformats.org/officeDocument/2006/relationships/hyperlink" Target="http://www.wikidata.org/entity/Q56036064" TargetMode="External"/><Relationship Id="rId1562" Type="http://schemas.openxmlformats.org/officeDocument/2006/relationships/hyperlink" Target="http://www.wikidata.org/entity/Q2114844" TargetMode="External"/><Relationship Id="rId2893" Type="http://schemas.openxmlformats.org/officeDocument/2006/relationships/hyperlink" Target="http://www.wikidata.org/entity/Q120793054" TargetMode="External"/><Relationship Id="rId970" Type="http://schemas.openxmlformats.org/officeDocument/2006/relationships/hyperlink" Target="http://www.wikidata.org/entity/Q1162163" TargetMode="External"/><Relationship Id="rId1563" Type="http://schemas.openxmlformats.org/officeDocument/2006/relationships/hyperlink" Target="http://www.wikidata.org/entity/Q118998471" TargetMode="External"/><Relationship Id="rId2894" Type="http://schemas.openxmlformats.org/officeDocument/2006/relationships/hyperlink" Target="http://www.wikidata.org/entity/Q250867" TargetMode="External"/><Relationship Id="rId1564" Type="http://schemas.openxmlformats.org/officeDocument/2006/relationships/hyperlink" Target="http://www.wikidata.org/entity/Q641208" TargetMode="External"/><Relationship Id="rId2895" Type="http://schemas.openxmlformats.org/officeDocument/2006/relationships/hyperlink" Target="http://www.wikidata.org/entity/Q120640333" TargetMode="External"/><Relationship Id="rId1598" Type="http://schemas.openxmlformats.org/officeDocument/2006/relationships/hyperlink" Target="http://www.wikidata.org/entity/Q119701807" TargetMode="External"/><Relationship Id="rId1599" Type="http://schemas.openxmlformats.org/officeDocument/2006/relationships/hyperlink" Target="http://www.wikidata.org/entity/Q1056391" TargetMode="External"/><Relationship Id="rId1590" Type="http://schemas.openxmlformats.org/officeDocument/2006/relationships/hyperlink" Target="http://www.wikidata.org/entity/Q118151362" TargetMode="External"/><Relationship Id="rId1591" Type="http://schemas.openxmlformats.org/officeDocument/2006/relationships/hyperlink" Target="http://www.wikidata.org/entity/Q2251335" TargetMode="External"/><Relationship Id="rId1592" Type="http://schemas.openxmlformats.org/officeDocument/2006/relationships/hyperlink" Target="http://www.wikidata.org/entity/Q118142378" TargetMode="External"/><Relationship Id="rId1593" Type="http://schemas.openxmlformats.org/officeDocument/2006/relationships/hyperlink" Target="http://www.wikidata.org/entity/Q1753370" TargetMode="External"/><Relationship Id="rId1594" Type="http://schemas.openxmlformats.org/officeDocument/2006/relationships/hyperlink" Target="http://www.wikidata.org/entity/Q119701807" TargetMode="External"/><Relationship Id="rId1595" Type="http://schemas.openxmlformats.org/officeDocument/2006/relationships/hyperlink" Target="http://www.wikidata.org/entity/Q121594" TargetMode="External"/><Relationship Id="rId1596" Type="http://schemas.openxmlformats.org/officeDocument/2006/relationships/hyperlink" Target="http://www.wikidata.org/entity/Q116509612" TargetMode="External"/><Relationship Id="rId1597" Type="http://schemas.openxmlformats.org/officeDocument/2006/relationships/hyperlink" Target="http://www.wikidata.org/entity/Q67205775" TargetMode="External"/><Relationship Id="rId1587" Type="http://schemas.openxmlformats.org/officeDocument/2006/relationships/hyperlink" Target="http://www.wikidata.org/entity/Q955464" TargetMode="External"/><Relationship Id="rId1588" Type="http://schemas.openxmlformats.org/officeDocument/2006/relationships/hyperlink" Target="http://www.wikidata.org/entity/Q120488044" TargetMode="External"/><Relationship Id="rId1589" Type="http://schemas.openxmlformats.org/officeDocument/2006/relationships/hyperlink" Target="http://www.wikidata.org/entity/Q37226" TargetMode="External"/><Relationship Id="rId998" Type="http://schemas.openxmlformats.org/officeDocument/2006/relationships/hyperlink" Target="http://www.wikidata.org/entity/Q110039260" TargetMode="External"/><Relationship Id="rId997" Type="http://schemas.openxmlformats.org/officeDocument/2006/relationships/hyperlink" Target="http://www.wikidata.org/entity/Q2251335" TargetMode="External"/><Relationship Id="rId996" Type="http://schemas.openxmlformats.org/officeDocument/2006/relationships/hyperlink" Target="http://www.wikidata.org/entity/Q115809938" TargetMode="External"/><Relationship Id="rId995" Type="http://schemas.openxmlformats.org/officeDocument/2006/relationships/hyperlink" Target="http://www.wikidata.org/entity/Q114371470" TargetMode="External"/><Relationship Id="rId999" Type="http://schemas.openxmlformats.org/officeDocument/2006/relationships/hyperlink" Target="http://www.wikidata.org/entity/Q115705951" TargetMode="External"/><Relationship Id="rId990" Type="http://schemas.openxmlformats.org/officeDocument/2006/relationships/hyperlink" Target="http://www.wikidata.org/entity/Q76019711" TargetMode="External"/><Relationship Id="rId1580" Type="http://schemas.openxmlformats.org/officeDocument/2006/relationships/hyperlink" Target="http://www.wikidata.org/entity/Q115979994" TargetMode="External"/><Relationship Id="rId1581" Type="http://schemas.openxmlformats.org/officeDocument/2006/relationships/hyperlink" Target="http://www.wikidata.org/entity/Q1753370" TargetMode="External"/><Relationship Id="rId1582" Type="http://schemas.openxmlformats.org/officeDocument/2006/relationships/hyperlink" Target="http://www.wikidata.org/entity/Q115982545" TargetMode="External"/><Relationship Id="rId994" Type="http://schemas.openxmlformats.org/officeDocument/2006/relationships/hyperlink" Target="http://www.wikidata.org/entity/Q110039219" TargetMode="External"/><Relationship Id="rId1583" Type="http://schemas.openxmlformats.org/officeDocument/2006/relationships/hyperlink" Target="http://www.wikidata.org/entity/Q1753370" TargetMode="External"/><Relationship Id="rId993" Type="http://schemas.openxmlformats.org/officeDocument/2006/relationships/hyperlink" Target="http://www.wikidata.org/entity/Q118732656" TargetMode="External"/><Relationship Id="rId1584" Type="http://schemas.openxmlformats.org/officeDocument/2006/relationships/hyperlink" Target="http://www.wikidata.org/entity/Q115982548" TargetMode="External"/><Relationship Id="rId992" Type="http://schemas.openxmlformats.org/officeDocument/2006/relationships/hyperlink" Target="http://www.wikidata.org/entity/Q115814591" TargetMode="External"/><Relationship Id="rId1585" Type="http://schemas.openxmlformats.org/officeDocument/2006/relationships/hyperlink" Target="http://www.wikidata.org/entity/Q1753370" TargetMode="External"/><Relationship Id="rId991" Type="http://schemas.openxmlformats.org/officeDocument/2006/relationships/hyperlink" Target="http://www.wikidata.org/entity/Q955464" TargetMode="External"/><Relationship Id="rId1586" Type="http://schemas.openxmlformats.org/officeDocument/2006/relationships/hyperlink" Target="http://www.wikidata.org/entity/Q118151362" TargetMode="External"/><Relationship Id="rId1532" Type="http://schemas.openxmlformats.org/officeDocument/2006/relationships/hyperlink" Target="http://www.wikidata.org/entity/Q250867" TargetMode="External"/><Relationship Id="rId2863" Type="http://schemas.openxmlformats.org/officeDocument/2006/relationships/hyperlink" Target="http://www.wikidata.org/entity/Q115840228" TargetMode="External"/><Relationship Id="rId1533" Type="http://schemas.openxmlformats.org/officeDocument/2006/relationships/hyperlink" Target="http://www.wikidata.org/entity/Q115979418" TargetMode="External"/><Relationship Id="rId2864" Type="http://schemas.openxmlformats.org/officeDocument/2006/relationships/hyperlink" Target="http://www.wikidata.org/entity/Q45684" TargetMode="External"/><Relationship Id="rId1534" Type="http://schemas.openxmlformats.org/officeDocument/2006/relationships/hyperlink" Target="http://www.wikidata.org/entity/Q250867" TargetMode="External"/><Relationship Id="rId2865" Type="http://schemas.openxmlformats.org/officeDocument/2006/relationships/hyperlink" Target="http://www.wikidata.org/entity/Q122831483" TargetMode="External"/><Relationship Id="rId1535" Type="http://schemas.openxmlformats.org/officeDocument/2006/relationships/hyperlink" Target="http://www.wikidata.org/entity/Q115979952" TargetMode="External"/><Relationship Id="rId2866" Type="http://schemas.openxmlformats.org/officeDocument/2006/relationships/hyperlink" Target="http://www.wikidata.org/entity/Q122903342" TargetMode="External"/><Relationship Id="rId1536" Type="http://schemas.openxmlformats.org/officeDocument/2006/relationships/hyperlink" Target="http://www.wikidata.org/entity/Q250867" TargetMode="External"/><Relationship Id="rId2867" Type="http://schemas.openxmlformats.org/officeDocument/2006/relationships/hyperlink" Target="http://www.wikidata.org/entity/Q123052123" TargetMode="External"/><Relationship Id="rId1537" Type="http://schemas.openxmlformats.org/officeDocument/2006/relationships/hyperlink" Target="http://www.wikidata.org/entity/Q115979994" TargetMode="External"/><Relationship Id="rId2868" Type="http://schemas.openxmlformats.org/officeDocument/2006/relationships/hyperlink" Target="http://www.wikidata.org/entity/Q123606015" TargetMode="External"/><Relationship Id="rId1538" Type="http://schemas.openxmlformats.org/officeDocument/2006/relationships/hyperlink" Target="http://www.wikidata.org/entity/Q250867" TargetMode="External"/><Relationship Id="rId2869" Type="http://schemas.openxmlformats.org/officeDocument/2006/relationships/hyperlink" Target="http://www.wikidata.org/entity/Q125282135" TargetMode="External"/><Relationship Id="rId1539" Type="http://schemas.openxmlformats.org/officeDocument/2006/relationships/hyperlink" Target="http://www.wikidata.org/entity/Q115835531" TargetMode="External"/><Relationship Id="rId949" Type="http://schemas.openxmlformats.org/officeDocument/2006/relationships/hyperlink" Target="http://commons.wikimedia.org/wiki/Special:FilePath/JBBethune%20par%20Raoux.jpg" TargetMode="External"/><Relationship Id="rId948" Type="http://schemas.openxmlformats.org/officeDocument/2006/relationships/hyperlink" Target="http://www.wikidata.org/entity/Q1294787" TargetMode="External"/><Relationship Id="rId943" Type="http://schemas.openxmlformats.org/officeDocument/2006/relationships/hyperlink" Target="http://www.wikidata.org/entity/Q49757" TargetMode="External"/><Relationship Id="rId942" Type="http://schemas.openxmlformats.org/officeDocument/2006/relationships/hyperlink" Target="http://www.wikidata.org/entity/Q1978794" TargetMode="External"/><Relationship Id="rId941" Type="http://schemas.openxmlformats.org/officeDocument/2006/relationships/hyperlink" Target="http://commons.wikimedia.org/wiki/Special:FilePath/Josephus%20Alberdingk%20Thijm%20portret%20%281864-1889%29.png" TargetMode="External"/><Relationship Id="rId940" Type="http://schemas.openxmlformats.org/officeDocument/2006/relationships/hyperlink" Target="http://www.wikidata.org/entity/Q36180" TargetMode="External"/><Relationship Id="rId947" Type="http://schemas.openxmlformats.org/officeDocument/2006/relationships/hyperlink" Target="http://www.wikidata.org/entity/Q354052" TargetMode="External"/><Relationship Id="rId946" Type="http://schemas.openxmlformats.org/officeDocument/2006/relationships/hyperlink" Target="http://www.wikidata.org/entity/Q40348" TargetMode="External"/><Relationship Id="rId945" Type="http://schemas.openxmlformats.org/officeDocument/2006/relationships/hyperlink" Target="http://www.wikidata.org/entity/Q2672741" TargetMode="External"/><Relationship Id="rId944" Type="http://schemas.openxmlformats.org/officeDocument/2006/relationships/hyperlink" Target="http://commons.wikimedia.org/wiki/Special:FilePath/Josephus%20Alberdingk%20Thijm%20portret%20%281864-1889%29.png" TargetMode="External"/><Relationship Id="rId2860" Type="http://schemas.openxmlformats.org/officeDocument/2006/relationships/hyperlink" Target="http://www.wikidata.org/entity/Q36180" TargetMode="External"/><Relationship Id="rId1530" Type="http://schemas.openxmlformats.org/officeDocument/2006/relationships/hyperlink" Target="http://www.wikidata.org/entity/Q1056391" TargetMode="External"/><Relationship Id="rId2861" Type="http://schemas.openxmlformats.org/officeDocument/2006/relationships/hyperlink" Target="http://www.wikidata.org/entity/Q115840920" TargetMode="External"/><Relationship Id="rId1531" Type="http://schemas.openxmlformats.org/officeDocument/2006/relationships/hyperlink" Target="http://www.wikidata.org/entity/Q115979140" TargetMode="External"/><Relationship Id="rId2862" Type="http://schemas.openxmlformats.org/officeDocument/2006/relationships/hyperlink" Target="http://www.wikidata.org/entity/Q42603" TargetMode="External"/><Relationship Id="rId1521" Type="http://schemas.openxmlformats.org/officeDocument/2006/relationships/hyperlink" Target="http://www.wikidata.org/entity/Q115979952" TargetMode="External"/><Relationship Id="rId2852" Type="http://schemas.openxmlformats.org/officeDocument/2006/relationships/hyperlink" Target="http://www.wikidata.org/entity/Q42603" TargetMode="External"/><Relationship Id="rId1522" Type="http://schemas.openxmlformats.org/officeDocument/2006/relationships/hyperlink" Target="http://www.wikidata.org/entity/Q955464" TargetMode="External"/><Relationship Id="rId2853" Type="http://schemas.openxmlformats.org/officeDocument/2006/relationships/hyperlink" Target="http://www.wikidata.org/entity/Q115829623" TargetMode="External"/><Relationship Id="rId1523" Type="http://schemas.openxmlformats.org/officeDocument/2006/relationships/hyperlink" Target="http://www.wikidata.org/entity/Q115979994" TargetMode="External"/><Relationship Id="rId2854" Type="http://schemas.openxmlformats.org/officeDocument/2006/relationships/hyperlink" Target="http://www.wikidata.org/entity/Q42603" TargetMode="External"/><Relationship Id="rId1524" Type="http://schemas.openxmlformats.org/officeDocument/2006/relationships/hyperlink" Target="http://www.wikidata.org/entity/Q955464" TargetMode="External"/><Relationship Id="rId2855" Type="http://schemas.openxmlformats.org/officeDocument/2006/relationships/hyperlink" Target="http://www.wikidata.org/entity/Q115825488" TargetMode="External"/><Relationship Id="rId1525" Type="http://schemas.openxmlformats.org/officeDocument/2006/relationships/hyperlink" Target="http://www.wikidata.org/entity/Q115979952" TargetMode="External"/><Relationship Id="rId2856" Type="http://schemas.openxmlformats.org/officeDocument/2006/relationships/hyperlink" Target="http://www.wikidata.org/entity/Q45684" TargetMode="External"/><Relationship Id="rId1526" Type="http://schemas.openxmlformats.org/officeDocument/2006/relationships/hyperlink" Target="http://www.wikidata.org/entity/Q1072363" TargetMode="External"/><Relationship Id="rId2857" Type="http://schemas.openxmlformats.org/officeDocument/2006/relationships/hyperlink" Target="http://www.wikidata.org/entity/Q115980136" TargetMode="External"/><Relationship Id="rId1527" Type="http://schemas.openxmlformats.org/officeDocument/2006/relationships/hyperlink" Target="http://www.wikidata.org/entity/Q115979029" TargetMode="External"/><Relationship Id="rId2858" Type="http://schemas.openxmlformats.org/officeDocument/2006/relationships/hyperlink" Target="http://www.wikidata.org/entity/Q219477" TargetMode="External"/><Relationship Id="rId1528" Type="http://schemas.openxmlformats.org/officeDocument/2006/relationships/hyperlink" Target="http://www.wikidata.org/entity/Q250867" TargetMode="External"/><Relationship Id="rId2859" Type="http://schemas.openxmlformats.org/officeDocument/2006/relationships/hyperlink" Target="http://www.wikidata.org/entity/Q115839353" TargetMode="External"/><Relationship Id="rId1529" Type="http://schemas.openxmlformats.org/officeDocument/2006/relationships/hyperlink" Target="http://www.wikidata.org/entity/Q115979140" TargetMode="External"/><Relationship Id="rId939" Type="http://schemas.openxmlformats.org/officeDocument/2006/relationships/hyperlink" Target="http://www.wikidata.org/entity/Q1978794" TargetMode="External"/><Relationship Id="rId938" Type="http://schemas.openxmlformats.org/officeDocument/2006/relationships/hyperlink" Target="http://www.wikidata.org/entity/Q11977377" TargetMode="External"/><Relationship Id="rId937" Type="http://schemas.openxmlformats.org/officeDocument/2006/relationships/hyperlink" Target="http://www.wikidata.org/entity/Q3032807" TargetMode="External"/><Relationship Id="rId932" Type="http://schemas.openxmlformats.org/officeDocument/2006/relationships/hyperlink" Target="http://www.wikidata.org/entity/Q2361397" TargetMode="External"/><Relationship Id="rId931" Type="http://schemas.openxmlformats.org/officeDocument/2006/relationships/hyperlink" Target="http://www.wikidata.org/entity/Q36180" TargetMode="External"/><Relationship Id="rId930" Type="http://schemas.openxmlformats.org/officeDocument/2006/relationships/hyperlink" Target="http://www.wikidata.org/entity/Q2361397" TargetMode="External"/><Relationship Id="rId936" Type="http://schemas.openxmlformats.org/officeDocument/2006/relationships/hyperlink" Target="http://commons.wikimedia.org/wiki/Special:FilePath/Ferdinand%20Vander%20Haeghen.jpg" TargetMode="External"/><Relationship Id="rId935" Type="http://schemas.openxmlformats.org/officeDocument/2006/relationships/hyperlink" Target="http://www.wikidata.org/entity/Q10429346" TargetMode="External"/><Relationship Id="rId934" Type="http://schemas.openxmlformats.org/officeDocument/2006/relationships/hyperlink" Target="http://www.wikidata.org/entity/Q2065109" TargetMode="External"/><Relationship Id="rId933" Type="http://schemas.openxmlformats.org/officeDocument/2006/relationships/hyperlink" Target="http://www.wikidata.org/entity/Q49757" TargetMode="External"/><Relationship Id="rId2850" Type="http://schemas.openxmlformats.org/officeDocument/2006/relationships/hyperlink" Target="http://www.wikidata.org/entity/Q25378518" TargetMode="External"/><Relationship Id="rId1520" Type="http://schemas.openxmlformats.org/officeDocument/2006/relationships/hyperlink" Target="http://commons.wikimedia.org/wiki/Special:FilePath/Foto%20van%20Florence%20Gezelle.jpg" TargetMode="External"/><Relationship Id="rId2851" Type="http://schemas.openxmlformats.org/officeDocument/2006/relationships/hyperlink" Target="http://www.wikidata.org/entity/Q115825488" TargetMode="External"/><Relationship Id="rId1554" Type="http://schemas.openxmlformats.org/officeDocument/2006/relationships/hyperlink" Target="http://www.wikidata.org/entity/Q2251335" TargetMode="External"/><Relationship Id="rId2885" Type="http://schemas.openxmlformats.org/officeDocument/2006/relationships/hyperlink" Target="http://www.wikidata.org/entity/Q120913841" TargetMode="External"/><Relationship Id="rId1555" Type="http://schemas.openxmlformats.org/officeDocument/2006/relationships/hyperlink" Target="http://www.wikidata.org/entity/Q115979994" TargetMode="External"/><Relationship Id="rId2886" Type="http://schemas.openxmlformats.org/officeDocument/2006/relationships/hyperlink" Target="http://www.wikidata.org/entity/Q250867" TargetMode="External"/><Relationship Id="rId1556" Type="http://schemas.openxmlformats.org/officeDocument/2006/relationships/hyperlink" Target="http://www.wikidata.org/entity/Q2251335" TargetMode="External"/><Relationship Id="rId2887" Type="http://schemas.openxmlformats.org/officeDocument/2006/relationships/hyperlink" Target="http://www.wikidata.org/entity/Q123050649" TargetMode="External"/><Relationship Id="rId1557" Type="http://schemas.openxmlformats.org/officeDocument/2006/relationships/hyperlink" Target="http://www.wikidata.org/entity/Q120504176" TargetMode="External"/><Relationship Id="rId2888" Type="http://schemas.openxmlformats.org/officeDocument/2006/relationships/hyperlink" Target="http://www.wikidata.org/entity/Q833860" TargetMode="External"/><Relationship Id="rId1558" Type="http://schemas.openxmlformats.org/officeDocument/2006/relationships/hyperlink" Target="http://www.wikidata.org/entity/Q1776501" TargetMode="External"/><Relationship Id="rId2889" Type="http://schemas.openxmlformats.org/officeDocument/2006/relationships/hyperlink" Target="http://www.wikidata.org/entity/Q125334130" TargetMode="External"/><Relationship Id="rId1559" Type="http://schemas.openxmlformats.org/officeDocument/2006/relationships/hyperlink" Target="http://www.wikidata.org/entity/Q119007176" TargetMode="External"/><Relationship Id="rId965" Type="http://schemas.openxmlformats.org/officeDocument/2006/relationships/hyperlink" Target="http://www.wikidata.org/entity/Q1792450" TargetMode="External"/><Relationship Id="rId964" Type="http://schemas.openxmlformats.org/officeDocument/2006/relationships/hyperlink" Target="http://www.wikidata.org/entity/Q1978794" TargetMode="External"/><Relationship Id="rId963" Type="http://schemas.openxmlformats.org/officeDocument/2006/relationships/hyperlink" Target="http://www.wikidata.org/entity/Q36180" TargetMode="External"/><Relationship Id="rId962" Type="http://schemas.openxmlformats.org/officeDocument/2006/relationships/hyperlink" Target="http://www.wikidata.org/entity/Q970036" TargetMode="External"/><Relationship Id="rId969" Type="http://schemas.openxmlformats.org/officeDocument/2006/relationships/hyperlink" Target="http://www.wikidata.org/entity/Q113627806" TargetMode="External"/><Relationship Id="rId968" Type="http://schemas.openxmlformats.org/officeDocument/2006/relationships/hyperlink" Target="http://www.wikidata.org/entity/Q955464" TargetMode="External"/><Relationship Id="rId967" Type="http://schemas.openxmlformats.org/officeDocument/2006/relationships/hyperlink" Target="http://www.wikidata.org/entity/Q113627806" TargetMode="External"/><Relationship Id="rId966" Type="http://schemas.openxmlformats.org/officeDocument/2006/relationships/hyperlink" Target="http://commons.wikimedia.org/wiki/Special:FilePath/Josephus%20Alberdingk%20Thijm%20portret%20%281864-1889%29.png" TargetMode="External"/><Relationship Id="rId2880" Type="http://schemas.openxmlformats.org/officeDocument/2006/relationships/hyperlink" Target="http://www.wikidata.org/entity/Q3704253" TargetMode="External"/><Relationship Id="rId961" Type="http://schemas.openxmlformats.org/officeDocument/2006/relationships/hyperlink" Target="http://commons.wikimedia.org/wiki/Special:FilePath/JBBethune%20par%20Raoux.jpg" TargetMode="External"/><Relationship Id="rId1550" Type="http://schemas.openxmlformats.org/officeDocument/2006/relationships/hyperlink" Target="http://www.wikidata.org/entity/Q2251335" TargetMode="External"/><Relationship Id="rId2881" Type="http://schemas.openxmlformats.org/officeDocument/2006/relationships/hyperlink" Target="http://www.wikidata.org/entity/Q120913841" TargetMode="External"/><Relationship Id="rId960" Type="http://schemas.openxmlformats.org/officeDocument/2006/relationships/hyperlink" Target="http://www.wikidata.org/entity/Q42973" TargetMode="External"/><Relationship Id="rId1551" Type="http://schemas.openxmlformats.org/officeDocument/2006/relationships/hyperlink" Target="http://www.wikidata.org/entity/Q115979418" TargetMode="External"/><Relationship Id="rId2882" Type="http://schemas.openxmlformats.org/officeDocument/2006/relationships/hyperlink" Target="http://www.wikidata.org/entity/Q955464" TargetMode="External"/><Relationship Id="rId1552" Type="http://schemas.openxmlformats.org/officeDocument/2006/relationships/hyperlink" Target="http://www.wikidata.org/entity/Q2251335" TargetMode="External"/><Relationship Id="rId2883" Type="http://schemas.openxmlformats.org/officeDocument/2006/relationships/hyperlink" Target="http://www.wikidata.org/entity/Q119040354" TargetMode="External"/><Relationship Id="rId1553" Type="http://schemas.openxmlformats.org/officeDocument/2006/relationships/hyperlink" Target="http://www.wikidata.org/entity/Q115979952" TargetMode="External"/><Relationship Id="rId2884" Type="http://schemas.openxmlformats.org/officeDocument/2006/relationships/hyperlink" Target="http://www.wikidata.org/entity/Q4594605" TargetMode="External"/><Relationship Id="rId1543" Type="http://schemas.openxmlformats.org/officeDocument/2006/relationships/hyperlink" Target="http://www.wikidata.org/entity/Q115979140" TargetMode="External"/><Relationship Id="rId2874" Type="http://schemas.openxmlformats.org/officeDocument/2006/relationships/hyperlink" Target="http://www.wikidata.org/entity/Q38126150" TargetMode="External"/><Relationship Id="rId1544" Type="http://schemas.openxmlformats.org/officeDocument/2006/relationships/hyperlink" Target="http://www.wikidata.org/entity/Q4958876" TargetMode="External"/><Relationship Id="rId2875" Type="http://schemas.openxmlformats.org/officeDocument/2006/relationships/hyperlink" Target="http://www.wikidata.org/entity/Q120718341" TargetMode="External"/><Relationship Id="rId1545" Type="http://schemas.openxmlformats.org/officeDocument/2006/relationships/hyperlink" Target="http://www.wikidata.org/entity/Q117244643" TargetMode="External"/><Relationship Id="rId2876" Type="http://schemas.openxmlformats.org/officeDocument/2006/relationships/hyperlink" Target="http://www.wikidata.org/entity/Q42603" TargetMode="External"/><Relationship Id="rId1546" Type="http://schemas.openxmlformats.org/officeDocument/2006/relationships/hyperlink" Target="http://www.wikidata.org/entity/Q7316604" TargetMode="External"/><Relationship Id="rId2877" Type="http://schemas.openxmlformats.org/officeDocument/2006/relationships/hyperlink" Target="http://www.wikidata.org/entity/Q120555811" TargetMode="External"/><Relationship Id="rId1547" Type="http://schemas.openxmlformats.org/officeDocument/2006/relationships/hyperlink" Target="http://www.wikidata.org/entity/Q115979029" TargetMode="External"/><Relationship Id="rId2878" Type="http://schemas.openxmlformats.org/officeDocument/2006/relationships/hyperlink" Target="http://www.wikidata.org/entity/Q82955" TargetMode="External"/><Relationship Id="rId1548" Type="http://schemas.openxmlformats.org/officeDocument/2006/relationships/hyperlink" Target="http://www.wikidata.org/entity/Q2251335" TargetMode="External"/><Relationship Id="rId2879" Type="http://schemas.openxmlformats.org/officeDocument/2006/relationships/hyperlink" Target="http://www.wikidata.org/entity/Q120555811" TargetMode="External"/><Relationship Id="rId1549" Type="http://schemas.openxmlformats.org/officeDocument/2006/relationships/hyperlink" Target="http://www.wikidata.org/entity/Q115979140" TargetMode="External"/><Relationship Id="rId959" Type="http://schemas.openxmlformats.org/officeDocument/2006/relationships/hyperlink" Target="http://www.wikidata.org/entity/Q354052" TargetMode="External"/><Relationship Id="rId954" Type="http://schemas.openxmlformats.org/officeDocument/2006/relationships/hyperlink" Target="http://www.wikidata.org/entity/Q42603" TargetMode="External"/><Relationship Id="rId953" Type="http://schemas.openxmlformats.org/officeDocument/2006/relationships/hyperlink" Target="http://www.wikidata.org/entity/Q1920135" TargetMode="External"/><Relationship Id="rId952" Type="http://schemas.openxmlformats.org/officeDocument/2006/relationships/hyperlink" Target="http://commons.wikimedia.org/wiki/Special:FilePath/Josephus%20Alberdingk%20Thijm%20portret%20%281864-1889%29.png" TargetMode="External"/><Relationship Id="rId951" Type="http://schemas.openxmlformats.org/officeDocument/2006/relationships/hyperlink" Target="http://www.wikidata.org/entity/Q1622272" TargetMode="External"/><Relationship Id="rId958" Type="http://schemas.openxmlformats.org/officeDocument/2006/relationships/hyperlink" Target="http://commons.wikimedia.org/wiki/Special:FilePath/Theophiel%20Coopman%20%281852-1915%29.jpg" TargetMode="External"/><Relationship Id="rId957" Type="http://schemas.openxmlformats.org/officeDocument/2006/relationships/hyperlink" Target="http://www.wikidata.org/entity/Q212238" TargetMode="External"/><Relationship Id="rId956" Type="http://schemas.openxmlformats.org/officeDocument/2006/relationships/hyperlink" Target="http://www.wikidata.org/entity/Q719358" TargetMode="External"/><Relationship Id="rId955" Type="http://schemas.openxmlformats.org/officeDocument/2006/relationships/hyperlink" Target="http://commons.wikimedia.org/wiki/Special:FilePath/Jan%20Bols%2C%20borststuk%20door%20E.%20Fabronius.tif" TargetMode="External"/><Relationship Id="rId950" Type="http://schemas.openxmlformats.org/officeDocument/2006/relationships/hyperlink" Target="http://www.wikidata.org/entity/Q1978794" TargetMode="External"/><Relationship Id="rId2870" Type="http://schemas.openxmlformats.org/officeDocument/2006/relationships/hyperlink" Target="http://www.wikidata.org/entity/Q125341815" TargetMode="External"/><Relationship Id="rId1540" Type="http://schemas.openxmlformats.org/officeDocument/2006/relationships/hyperlink" Target="http://www.wikidata.org/entity/Q36180" TargetMode="External"/><Relationship Id="rId2871" Type="http://schemas.openxmlformats.org/officeDocument/2006/relationships/hyperlink" Target="http://www.wikidata.org/entity/Q125334130" TargetMode="External"/><Relationship Id="rId1541" Type="http://schemas.openxmlformats.org/officeDocument/2006/relationships/hyperlink" Target="http://www.wikidata.org/entity/Q115979029" TargetMode="External"/><Relationship Id="rId2872" Type="http://schemas.openxmlformats.org/officeDocument/2006/relationships/hyperlink" Target="http://www.wikidata.org/entity/Q67205775" TargetMode="External"/><Relationship Id="rId1542" Type="http://schemas.openxmlformats.org/officeDocument/2006/relationships/hyperlink" Target="http://www.wikidata.org/entity/Q4958876" TargetMode="External"/><Relationship Id="rId2873" Type="http://schemas.openxmlformats.org/officeDocument/2006/relationships/hyperlink" Target="http://www.wikidata.org/entity/Q122794969" TargetMode="External"/><Relationship Id="rId2027" Type="http://schemas.openxmlformats.org/officeDocument/2006/relationships/hyperlink" Target="http://commons.wikimedia.org/wiki/Special:FilePath/Alfons%20Siffer%201850-1941.jpg" TargetMode="External"/><Relationship Id="rId3359" Type="http://schemas.openxmlformats.org/officeDocument/2006/relationships/hyperlink" Target="http://www.wikidata.org/entity/Q1622272" TargetMode="External"/><Relationship Id="rId2028" Type="http://schemas.openxmlformats.org/officeDocument/2006/relationships/hyperlink" Target="http://www.wikidata.org/entity/Q721772" TargetMode="External"/><Relationship Id="rId3358" Type="http://schemas.openxmlformats.org/officeDocument/2006/relationships/hyperlink" Target="http://www.wikidata.org/entity/Q2190493" TargetMode="External"/><Relationship Id="rId2029" Type="http://schemas.openxmlformats.org/officeDocument/2006/relationships/hyperlink" Target="http://www.wikidata.org/entity/Q40348" TargetMode="External"/><Relationship Id="rId107" Type="http://schemas.openxmlformats.org/officeDocument/2006/relationships/hyperlink" Target="http://www.wikidata.org/entity/Q586323" TargetMode="External"/><Relationship Id="rId106" Type="http://schemas.openxmlformats.org/officeDocument/2006/relationships/hyperlink" Target="http://commons.wikimedia.org/wiki/Special:FilePath/Stijn%20Streuvels%20by%20Modest%20Huys.jpg" TargetMode="External"/><Relationship Id="rId105" Type="http://schemas.openxmlformats.org/officeDocument/2006/relationships/hyperlink" Target="http://www.wikidata.org/entity/Q160131" TargetMode="External"/><Relationship Id="rId104" Type="http://schemas.openxmlformats.org/officeDocument/2006/relationships/hyperlink" Target="http://www.wikidata.org/entity/Q175669" TargetMode="External"/><Relationship Id="rId109" Type="http://schemas.openxmlformats.org/officeDocument/2006/relationships/hyperlink" Target="http://commons.wikimedia.org/wiki/Special:FilePath/Portret%20van%20Albert%20Verwey%20Rijksmuseum%20SK-C-1680.jpeg" TargetMode="External"/><Relationship Id="rId108" Type="http://schemas.openxmlformats.org/officeDocument/2006/relationships/hyperlink" Target="http://www.wikidata.org/entity/Q333634" TargetMode="External"/><Relationship Id="rId3351" Type="http://schemas.openxmlformats.org/officeDocument/2006/relationships/hyperlink" Target="http://www.wikidata.org/entity/Q36180" TargetMode="External"/><Relationship Id="rId2020" Type="http://schemas.openxmlformats.org/officeDocument/2006/relationships/hyperlink" Target="http://www.wikidata.org/entity/Q2675537" TargetMode="External"/><Relationship Id="rId3350" Type="http://schemas.openxmlformats.org/officeDocument/2006/relationships/hyperlink" Target="http://www.wikidata.org/entity/Q2100582" TargetMode="External"/><Relationship Id="rId2021" Type="http://schemas.openxmlformats.org/officeDocument/2006/relationships/hyperlink" Target="http://www.wikidata.org/entity/Q43140929" TargetMode="External"/><Relationship Id="rId3353" Type="http://schemas.openxmlformats.org/officeDocument/2006/relationships/hyperlink" Target="http://www.wikidata.org/entity/Q2050293" TargetMode="External"/><Relationship Id="rId2022" Type="http://schemas.openxmlformats.org/officeDocument/2006/relationships/hyperlink" Target="http://www.wikidata.org/entity/Q82955" TargetMode="External"/><Relationship Id="rId3352" Type="http://schemas.openxmlformats.org/officeDocument/2006/relationships/hyperlink" Target="http://commons.wikimedia.org/wiki/Special:FilePath/Alfons%20de%20Cock%2C%20PA05233.jpg" TargetMode="External"/><Relationship Id="rId103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2023" Type="http://schemas.openxmlformats.org/officeDocument/2006/relationships/hyperlink" Target="http://www.wikidata.org/entity/Q43140929" TargetMode="External"/><Relationship Id="rId3355" Type="http://schemas.openxmlformats.org/officeDocument/2006/relationships/hyperlink" Target="http://www.wikidata.org/entity/Q764378" TargetMode="External"/><Relationship Id="rId102" Type="http://schemas.openxmlformats.org/officeDocument/2006/relationships/hyperlink" Target="http://www.wikidata.org/entity/Q611644" TargetMode="External"/><Relationship Id="rId2024" Type="http://schemas.openxmlformats.org/officeDocument/2006/relationships/hyperlink" Target="http://www.wikidata.org/entity/Q876864" TargetMode="External"/><Relationship Id="rId3354" Type="http://schemas.openxmlformats.org/officeDocument/2006/relationships/hyperlink" Target="http://www.wikidata.org/entity/Q2251335" TargetMode="External"/><Relationship Id="rId101" Type="http://schemas.openxmlformats.org/officeDocument/2006/relationships/hyperlink" Target="http://www.wikidata.org/entity/Q2191260" TargetMode="External"/><Relationship Id="rId2025" Type="http://schemas.openxmlformats.org/officeDocument/2006/relationships/hyperlink" Target="http://www.wikidata.org/entity/Q2539969" TargetMode="External"/><Relationship Id="rId3357" Type="http://schemas.openxmlformats.org/officeDocument/2006/relationships/hyperlink" Target="http://commons.wikimedia.org/wiki/Special:FilePath/AugustVermeylen2.jpg" TargetMode="External"/><Relationship Id="rId100" Type="http://schemas.openxmlformats.org/officeDocument/2006/relationships/hyperlink" Target="http://www.wikidata.org/entity/Q1657500" TargetMode="External"/><Relationship Id="rId2026" Type="http://schemas.openxmlformats.org/officeDocument/2006/relationships/hyperlink" Target="http://www.wikidata.org/entity/Q82955" TargetMode="External"/><Relationship Id="rId3356" Type="http://schemas.openxmlformats.org/officeDocument/2006/relationships/hyperlink" Target="http://www.wikidata.org/entity/Q1792450" TargetMode="External"/><Relationship Id="rId2016" Type="http://schemas.openxmlformats.org/officeDocument/2006/relationships/hyperlink" Target="http://www.wikidata.org/entity/Q29019503" TargetMode="External"/><Relationship Id="rId3348" Type="http://schemas.openxmlformats.org/officeDocument/2006/relationships/hyperlink" Target="http://www.wikidata.org/entity/Q6673651" TargetMode="External"/><Relationship Id="rId2017" Type="http://schemas.openxmlformats.org/officeDocument/2006/relationships/hyperlink" Target="http://www.wikidata.org/entity/Q182436" TargetMode="External"/><Relationship Id="rId3347" Type="http://schemas.openxmlformats.org/officeDocument/2006/relationships/hyperlink" Target="http://www.wikidata.org/entity/Q764378" TargetMode="External"/><Relationship Id="rId2018" Type="http://schemas.openxmlformats.org/officeDocument/2006/relationships/hyperlink" Target="http://commons.wikimedia.org/wiki/Special:FilePath/WillemDeVreese.jpg" TargetMode="External"/><Relationship Id="rId2019" Type="http://schemas.openxmlformats.org/officeDocument/2006/relationships/hyperlink" Target="http://www.wikidata.org/entity/Q2266893" TargetMode="External"/><Relationship Id="rId3349" Type="http://schemas.openxmlformats.org/officeDocument/2006/relationships/hyperlink" Target="http://commons.wikimedia.org/wiki/Special:FilePath/AugustVermeylen2.jpg" TargetMode="External"/><Relationship Id="rId3340" Type="http://schemas.openxmlformats.org/officeDocument/2006/relationships/hyperlink" Target="http://www.wikidata.org/entity/Q955464" TargetMode="External"/><Relationship Id="rId2010" Type="http://schemas.openxmlformats.org/officeDocument/2006/relationships/hyperlink" Target="http://www.wikidata.org/entity/Q1993192" TargetMode="External"/><Relationship Id="rId3342" Type="http://schemas.openxmlformats.org/officeDocument/2006/relationships/hyperlink" Target="http://www.wikidata.org/entity/Q82955" TargetMode="External"/><Relationship Id="rId2011" Type="http://schemas.openxmlformats.org/officeDocument/2006/relationships/hyperlink" Target="http://www.wikidata.org/entity/Q2266893" TargetMode="External"/><Relationship Id="rId3341" Type="http://schemas.openxmlformats.org/officeDocument/2006/relationships/hyperlink" Target="http://www.wikidata.org/entity/Q2050293" TargetMode="External"/><Relationship Id="rId2012" Type="http://schemas.openxmlformats.org/officeDocument/2006/relationships/hyperlink" Target="http://www.wikidata.org/entity/Q589298" TargetMode="External"/><Relationship Id="rId3344" Type="http://schemas.openxmlformats.org/officeDocument/2006/relationships/hyperlink" Target="http://www.wikidata.org/entity/Q214917" TargetMode="External"/><Relationship Id="rId2013" Type="http://schemas.openxmlformats.org/officeDocument/2006/relationships/hyperlink" Target="http://www.wikidata.org/entity/Q322106" TargetMode="External"/><Relationship Id="rId3343" Type="http://schemas.openxmlformats.org/officeDocument/2006/relationships/hyperlink" Target="http://www.wikidata.org/entity/Q2050293" TargetMode="External"/><Relationship Id="rId2014" Type="http://schemas.openxmlformats.org/officeDocument/2006/relationships/hyperlink" Target="http://www.wikidata.org/entity/Q13418253" TargetMode="External"/><Relationship Id="rId3346" Type="http://schemas.openxmlformats.org/officeDocument/2006/relationships/hyperlink" Target="http://www.wikidata.org/entity/Q250867" TargetMode="External"/><Relationship Id="rId2015" Type="http://schemas.openxmlformats.org/officeDocument/2006/relationships/hyperlink" Target="http://commons.wikimedia.org/wiki/Special:FilePath/Portrait%20of%20Walter%20William%20Skeat.jpg" TargetMode="External"/><Relationship Id="rId3345" Type="http://schemas.openxmlformats.org/officeDocument/2006/relationships/hyperlink" Target="http://www.wikidata.org/entity/Q2050293" TargetMode="External"/><Relationship Id="rId2049" Type="http://schemas.openxmlformats.org/officeDocument/2006/relationships/hyperlink" Target="http://www.wikidata.org/entity/Q36180" TargetMode="External"/><Relationship Id="rId129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28" Type="http://schemas.openxmlformats.org/officeDocument/2006/relationships/hyperlink" Target="http://www.wikidata.org/entity/Q82955" TargetMode="External"/><Relationship Id="rId127" Type="http://schemas.openxmlformats.org/officeDocument/2006/relationships/hyperlink" Target="http://www.wikidata.org/entity/Q2457997" TargetMode="External"/><Relationship Id="rId126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3371" Type="http://schemas.openxmlformats.org/officeDocument/2006/relationships/hyperlink" Target="http://www.wikidata.org/entity/Q114371470" TargetMode="External"/><Relationship Id="rId2040" Type="http://schemas.openxmlformats.org/officeDocument/2006/relationships/hyperlink" Target="http://www.wikidata.org/entity/Q29019503" TargetMode="External"/><Relationship Id="rId3370" Type="http://schemas.openxmlformats.org/officeDocument/2006/relationships/hyperlink" Target="http://www.wikidata.org/entity/Q2658862" TargetMode="External"/><Relationship Id="rId121" Type="http://schemas.openxmlformats.org/officeDocument/2006/relationships/hyperlink" Target="http://www.wikidata.org/entity/Q13575404" TargetMode="External"/><Relationship Id="rId2041" Type="http://schemas.openxmlformats.org/officeDocument/2006/relationships/hyperlink" Target="http://www.wikidata.org/entity/Q876864" TargetMode="External"/><Relationship Id="rId3373" Type="http://schemas.openxmlformats.org/officeDocument/2006/relationships/hyperlink" Target="http://www.wikidata.org/entity/Q42973" TargetMode="External"/><Relationship Id="rId120" Type="http://schemas.openxmlformats.org/officeDocument/2006/relationships/hyperlink" Target="http://commons.wikimedia.org/wiki/Special:FilePath/EdwardVanEven.jpg" TargetMode="External"/><Relationship Id="rId2042" Type="http://schemas.openxmlformats.org/officeDocument/2006/relationships/hyperlink" Target="http://commons.wikimedia.org/wiki/Special:FilePath/WillemDeVreese.jpg" TargetMode="External"/><Relationship Id="rId3372" Type="http://schemas.openxmlformats.org/officeDocument/2006/relationships/hyperlink" Target="http://www.wikidata.org/entity/Q5006521" TargetMode="External"/><Relationship Id="rId2043" Type="http://schemas.openxmlformats.org/officeDocument/2006/relationships/hyperlink" Target="http://www.wikidata.org/entity/Q3080591" TargetMode="External"/><Relationship Id="rId3375" Type="http://schemas.openxmlformats.org/officeDocument/2006/relationships/hyperlink" Target="http://www.wikidata.org/entity/Q2524668" TargetMode="External"/><Relationship Id="rId2044" Type="http://schemas.openxmlformats.org/officeDocument/2006/relationships/hyperlink" Target="http://www.wikidata.org/entity/Q82955" TargetMode="External"/><Relationship Id="rId3374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125" Type="http://schemas.openxmlformats.org/officeDocument/2006/relationships/hyperlink" Target="http://www.wikidata.org/entity/Q250867" TargetMode="External"/><Relationship Id="rId2045" Type="http://schemas.openxmlformats.org/officeDocument/2006/relationships/hyperlink" Target="http://www.wikidata.org/entity/Q322106" TargetMode="External"/><Relationship Id="rId3377" Type="http://schemas.openxmlformats.org/officeDocument/2006/relationships/hyperlink" Target="http://commons.wikimedia.org/wiki/Special:FilePath/Adolf%20Duclos001.jpg" TargetMode="External"/><Relationship Id="rId124" Type="http://schemas.openxmlformats.org/officeDocument/2006/relationships/hyperlink" Target="http://www.wikidata.org/entity/Q2191260" TargetMode="External"/><Relationship Id="rId2046" Type="http://schemas.openxmlformats.org/officeDocument/2006/relationships/hyperlink" Target="http://www.wikidata.org/entity/Q16312408" TargetMode="External"/><Relationship Id="rId3376" Type="http://schemas.openxmlformats.org/officeDocument/2006/relationships/hyperlink" Target="http://www.wikidata.org/entity/Q36180" TargetMode="External"/><Relationship Id="rId123" Type="http://schemas.openxmlformats.org/officeDocument/2006/relationships/hyperlink" Target="http://commons.wikimedia.org/wiki/Special:FilePath/EdwardVanEven.jpg" TargetMode="External"/><Relationship Id="rId2047" Type="http://schemas.openxmlformats.org/officeDocument/2006/relationships/hyperlink" Target="http://commons.wikimedia.org/wiki/Special:FilePath/Portrait%20of%20Walter%20William%20Skeat.jpg" TargetMode="External"/><Relationship Id="rId3379" Type="http://schemas.openxmlformats.org/officeDocument/2006/relationships/hyperlink" Target="http://www.wikidata.org/entity/Q2251335" TargetMode="External"/><Relationship Id="rId122" Type="http://schemas.openxmlformats.org/officeDocument/2006/relationships/hyperlink" Target="http://www.wikidata.org/entity/Q201788" TargetMode="External"/><Relationship Id="rId2048" Type="http://schemas.openxmlformats.org/officeDocument/2006/relationships/hyperlink" Target="http://www.wikidata.org/entity/Q2154331" TargetMode="External"/><Relationship Id="rId3378" Type="http://schemas.openxmlformats.org/officeDocument/2006/relationships/hyperlink" Target="http://www.wikidata.org/entity/Q2099446" TargetMode="External"/><Relationship Id="rId2038" Type="http://schemas.openxmlformats.org/officeDocument/2006/relationships/hyperlink" Target="http://www.wikidata.org/entity/Q7190386" TargetMode="External"/><Relationship Id="rId2039" Type="http://schemas.openxmlformats.org/officeDocument/2006/relationships/hyperlink" Target="http://www.wikidata.org/entity/Q42603" TargetMode="External"/><Relationship Id="rId3369" Type="http://schemas.openxmlformats.org/officeDocument/2006/relationships/hyperlink" Target="http://commons.wikimedia.org/wiki/Special:FilePath/Adolf%20Duclos001.jpg" TargetMode="External"/><Relationship Id="rId118" Type="http://schemas.openxmlformats.org/officeDocument/2006/relationships/hyperlink" Target="http://www.wikidata.org/entity/Q13575404" TargetMode="External"/><Relationship Id="rId117" Type="http://schemas.openxmlformats.org/officeDocument/2006/relationships/hyperlink" Target="http://commons.wikimedia.org/wiki/Special:FilePath/Portret%20van%20Albert%20Verwey%20Rijksmuseum%20SK-C-1680.jpeg" TargetMode="External"/><Relationship Id="rId116" Type="http://schemas.openxmlformats.org/officeDocument/2006/relationships/hyperlink" Target="http://www.wikidata.org/entity/Q4263842" TargetMode="External"/><Relationship Id="rId115" Type="http://schemas.openxmlformats.org/officeDocument/2006/relationships/hyperlink" Target="http://www.wikidata.org/entity/Q586323" TargetMode="External"/><Relationship Id="rId3360" Type="http://schemas.openxmlformats.org/officeDocument/2006/relationships/hyperlink" Target="http://commons.wikimedia.org/wiki/Special:FilePath/Gustaaf%20Louise%20Oda%20Hugo%20Verriest%20in%201861.jpg" TargetMode="External"/><Relationship Id="rId119" Type="http://schemas.openxmlformats.org/officeDocument/2006/relationships/hyperlink" Target="http://www.wikidata.org/entity/Q182436" TargetMode="External"/><Relationship Id="rId110" Type="http://schemas.openxmlformats.org/officeDocument/2006/relationships/hyperlink" Target="http://www.wikidata.org/entity/Q2191260" TargetMode="External"/><Relationship Id="rId2030" Type="http://schemas.openxmlformats.org/officeDocument/2006/relationships/hyperlink" Target="http://commons.wikimedia.org/wiki/Special:FilePath/Jules%20van%20den%20Peereboom.jpg" TargetMode="External"/><Relationship Id="rId3362" Type="http://schemas.openxmlformats.org/officeDocument/2006/relationships/hyperlink" Target="http://www.wikidata.org/entity/Q49757" TargetMode="External"/><Relationship Id="rId2031" Type="http://schemas.openxmlformats.org/officeDocument/2006/relationships/hyperlink" Target="http://www.wikidata.org/entity/Q11029222" TargetMode="External"/><Relationship Id="rId3361" Type="http://schemas.openxmlformats.org/officeDocument/2006/relationships/hyperlink" Target="http://www.wikidata.org/entity/Q3557112" TargetMode="External"/><Relationship Id="rId2032" Type="http://schemas.openxmlformats.org/officeDocument/2006/relationships/hyperlink" Target="http://www.wikidata.org/entity/Q1281618" TargetMode="External"/><Relationship Id="rId3364" Type="http://schemas.openxmlformats.org/officeDocument/2006/relationships/hyperlink" Target="http://www.wikidata.org/entity/Q2099446" TargetMode="External"/><Relationship Id="rId2033" Type="http://schemas.openxmlformats.org/officeDocument/2006/relationships/hyperlink" Target="http://commons.wikimedia.org/wiki/Special:FilePath/Hendrik%20Pickery%20gedenkteken%20R03.jpg" TargetMode="External"/><Relationship Id="rId3363" Type="http://schemas.openxmlformats.org/officeDocument/2006/relationships/hyperlink" Target="http://commons.wikimedia.org/wiki/Special:FilePath/Victor%20De%20la%20Montagne.png" TargetMode="External"/><Relationship Id="rId114" Type="http://schemas.openxmlformats.org/officeDocument/2006/relationships/hyperlink" Target="http://www.wikidata.org/entity/Q1753370" TargetMode="External"/><Relationship Id="rId2034" Type="http://schemas.openxmlformats.org/officeDocument/2006/relationships/hyperlink" Target="http://www.wikidata.org/entity/Q55420570" TargetMode="External"/><Relationship Id="rId3366" Type="http://schemas.openxmlformats.org/officeDocument/2006/relationships/hyperlink" Target="http://commons.wikimedia.org/wiki/Special:FilePath/Amaat%20Joos.jpg" TargetMode="External"/><Relationship Id="rId113" Type="http://schemas.openxmlformats.org/officeDocument/2006/relationships/hyperlink" Target="http://www.wikidata.org/entity/Q3163681" TargetMode="External"/><Relationship Id="rId2035" Type="http://schemas.openxmlformats.org/officeDocument/2006/relationships/hyperlink" Target="http://www.wikidata.org/entity/Q955464" TargetMode="External"/><Relationship Id="rId3365" Type="http://schemas.openxmlformats.org/officeDocument/2006/relationships/hyperlink" Target="http://www.wikidata.org/entity/Q82955" TargetMode="External"/><Relationship Id="rId112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2036" Type="http://schemas.openxmlformats.org/officeDocument/2006/relationships/hyperlink" Target="http://www.wikidata.org/entity/Q55420570" TargetMode="External"/><Relationship Id="rId3368" Type="http://schemas.openxmlformats.org/officeDocument/2006/relationships/hyperlink" Target="http://www.wikidata.org/entity/Q250867" TargetMode="External"/><Relationship Id="rId111" Type="http://schemas.openxmlformats.org/officeDocument/2006/relationships/hyperlink" Target="http://www.wikidata.org/entity/Q1753370" TargetMode="External"/><Relationship Id="rId2037" Type="http://schemas.openxmlformats.org/officeDocument/2006/relationships/hyperlink" Target="http://www.wikidata.org/entity/Q250867" TargetMode="External"/><Relationship Id="rId3367" Type="http://schemas.openxmlformats.org/officeDocument/2006/relationships/hyperlink" Target="http://www.wikidata.org/entity/Q2524668" TargetMode="External"/><Relationship Id="rId3315" Type="http://schemas.openxmlformats.org/officeDocument/2006/relationships/hyperlink" Target="http://www.wikidata.org/entity/Q674426" TargetMode="External"/><Relationship Id="rId3314" Type="http://schemas.openxmlformats.org/officeDocument/2006/relationships/hyperlink" Target="http://www.wikidata.org/entity/Q2163210" TargetMode="External"/><Relationship Id="rId3317" Type="http://schemas.openxmlformats.org/officeDocument/2006/relationships/hyperlink" Target="http://www.wikidata.org/entity/Q214917" TargetMode="External"/><Relationship Id="rId3316" Type="http://schemas.openxmlformats.org/officeDocument/2006/relationships/hyperlink" Target="http://www.wikidata.org/entity/Q3557112" TargetMode="External"/><Relationship Id="rId3319" Type="http://schemas.openxmlformats.org/officeDocument/2006/relationships/hyperlink" Target="http://www.wikidata.org/entity/Q2100582" TargetMode="External"/><Relationship Id="rId3318" Type="http://schemas.openxmlformats.org/officeDocument/2006/relationships/hyperlink" Target="http://commons.wikimedia.org/wiki/Special:FilePath/Victor%20De%20la%20Montagne.png" TargetMode="External"/><Relationship Id="rId3311" Type="http://schemas.openxmlformats.org/officeDocument/2006/relationships/hyperlink" Target="http://www.wikidata.org/entity/Q42596" TargetMode="External"/><Relationship Id="rId3310" Type="http://schemas.openxmlformats.org/officeDocument/2006/relationships/hyperlink" Target="http://commons.wikimedia.org/wiki/Special:FilePath/Frederic%20Mistral%20portrait%20photo.jpg" TargetMode="External"/><Relationship Id="rId3313" Type="http://schemas.openxmlformats.org/officeDocument/2006/relationships/hyperlink" Target="http://commons.wikimedia.org/wiki/Special:FilePath/Frederic%20Mistral%20portrait%20photo.jpg" TargetMode="External"/><Relationship Id="rId3312" Type="http://schemas.openxmlformats.org/officeDocument/2006/relationships/hyperlink" Target="http://www.wikidata.org/entity/Q49757" TargetMode="External"/><Relationship Id="rId3304" Type="http://schemas.openxmlformats.org/officeDocument/2006/relationships/hyperlink" Target="http://www.wikidata.org/entity/Q2163210" TargetMode="External"/><Relationship Id="rId3303" Type="http://schemas.openxmlformats.org/officeDocument/2006/relationships/hyperlink" Target="http://commons.wikimedia.org/wiki/Special:FilePath/Wytterick%2023.JPG" TargetMode="External"/><Relationship Id="rId3306" Type="http://schemas.openxmlformats.org/officeDocument/2006/relationships/hyperlink" Target="http://www.wikidata.org/entity/Q2163210" TargetMode="External"/><Relationship Id="rId3305" Type="http://schemas.openxmlformats.org/officeDocument/2006/relationships/hyperlink" Target="http://www.wikidata.org/entity/Q82955" TargetMode="External"/><Relationship Id="rId3308" Type="http://schemas.openxmlformats.org/officeDocument/2006/relationships/hyperlink" Target="http://www.wikidata.org/entity/Q42596" TargetMode="External"/><Relationship Id="rId3307" Type="http://schemas.openxmlformats.org/officeDocument/2006/relationships/hyperlink" Target="http://www.wikidata.org/entity/Q201788" TargetMode="External"/><Relationship Id="rId3309" Type="http://schemas.openxmlformats.org/officeDocument/2006/relationships/hyperlink" Target="http://www.wikidata.org/entity/Q36180" TargetMode="External"/><Relationship Id="rId3300" Type="http://schemas.openxmlformats.org/officeDocument/2006/relationships/hyperlink" Target="http://commons.wikimedia.org/wiki/Special:FilePath/Adolf%20Duclos001.jpg" TargetMode="External"/><Relationship Id="rId3302" Type="http://schemas.openxmlformats.org/officeDocument/2006/relationships/hyperlink" Target="http://www.wikidata.org/entity/Q2516866" TargetMode="External"/><Relationship Id="rId3301" Type="http://schemas.openxmlformats.org/officeDocument/2006/relationships/hyperlink" Target="http://www.wikidata.org/entity/Q2360599" TargetMode="External"/><Relationship Id="rId2005" Type="http://schemas.openxmlformats.org/officeDocument/2006/relationships/hyperlink" Target="http://www.wikidata.org/entity/Q1896762" TargetMode="External"/><Relationship Id="rId3337" Type="http://schemas.openxmlformats.org/officeDocument/2006/relationships/hyperlink" Target="http://www.wikidata.org/entity/Q1622272" TargetMode="External"/><Relationship Id="rId2006" Type="http://schemas.openxmlformats.org/officeDocument/2006/relationships/hyperlink" Target="http://www.wikidata.org/entity/Q37226" TargetMode="External"/><Relationship Id="rId3336" Type="http://schemas.openxmlformats.org/officeDocument/2006/relationships/hyperlink" Target="http://www.wikidata.org/entity/Q764378" TargetMode="External"/><Relationship Id="rId2007" Type="http://schemas.openxmlformats.org/officeDocument/2006/relationships/hyperlink" Target="http://www.wikidata.org/entity/Q2266893" TargetMode="External"/><Relationship Id="rId3339" Type="http://schemas.openxmlformats.org/officeDocument/2006/relationships/hyperlink" Target="http://www.wikidata.org/entity/Q2050293" TargetMode="External"/><Relationship Id="rId2008" Type="http://schemas.openxmlformats.org/officeDocument/2006/relationships/hyperlink" Target="http://www.wikidata.org/entity/Q212238" TargetMode="External"/><Relationship Id="rId3338" Type="http://schemas.openxmlformats.org/officeDocument/2006/relationships/hyperlink" Target="http://commons.wikimedia.org/wiki/Special:FilePath/AugustVermeylen2.jpg" TargetMode="External"/><Relationship Id="rId2009" Type="http://schemas.openxmlformats.org/officeDocument/2006/relationships/hyperlink" Target="http://www.wikidata.org/entity/Q2770967" TargetMode="External"/><Relationship Id="rId3331" Type="http://schemas.openxmlformats.org/officeDocument/2006/relationships/hyperlink" Target="http://www.wikidata.org/entity/Q1056391" TargetMode="External"/><Relationship Id="rId2000" Type="http://schemas.openxmlformats.org/officeDocument/2006/relationships/hyperlink" Target="http://www.wikidata.org/entity/Q29019503" TargetMode="External"/><Relationship Id="rId3330" Type="http://schemas.openxmlformats.org/officeDocument/2006/relationships/hyperlink" Target="http://www.wikidata.org/entity/Q2100582" TargetMode="External"/><Relationship Id="rId2001" Type="http://schemas.openxmlformats.org/officeDocument/2006/relationships/hyperlink" Target="http://www.wikidata.org/entity/Q13418253" TargetMode="External"/><Relationship Id="rId3333" Type="http://schemas.openxmlformats.org/officeDocument/2006/relationships/hyperlink" Target="http://www.wikidata.org/entity/Q764378" TargetMode="External"/><Relationship Id="rId2002" Type="http://schemas.openxmlformats.org/officeDocument/2006/relationships/hyperlink" Target="http://commons.wikimedia.org/wiki/Special:FilePath/WillemDeVreese.jpg" TargetMode="External"/><Relationship Id="rId3332" Type="http://schemas.openxmlformats.org/officeDocument/2006/relationships/hyperlink" Target="http://commons.wikimedia.org/wiki/Special:FilePath/Alfons%20de%20Cock%2C%20PA05233.jpg" TargetMode="External"/><Relationship Id="rId2003" Type="http://schemas.openxmlformats.org/officeDocument/2006/relationships/hyperlink" Target="http://www.wikidata.org/entity/Q1896762" TargetMode="External"/><Relationship Id="rId3335" Type="http://schemas.openxmlformats.org/officeDocument/2006/relationships/hyperlink" Target="http://commons.wikimedia.org/wiki/Special:FilePath/AugustVermeylen2.jpg" TargetMode="External"/><Relationship Id="rId2004" Type="http://schemas.openxmlformats.org/officeDocument/2006/relationships/hyperlink" Target="http://www.wikidata.org/entity/Q36180" TargetMode="External"/><Relationship Id="rId3334" Type="http://schemas.openxmlformats.org/officeDocument/2006/relationships/hyperlink" Target="http://www.wikidata.org/entity/Q1607826" TargetMode="External"/><Relationship Id="rId3326" Type="http://schemas.openxmlformats.org/officeDocument/2006/relationships/hyperlink" Target="http://commons.wikimedia.org/wiki/Special:FilePath/Gustaaf%20Louise%20Oda%20Hugo%20Verriest%20in%201861.jpg" TargetMode="External"/><Relationship Id="rId3325" Type="http://schemas.openxmlformats.org/officeDocument/2006/relationships/hyperlink" Target="http://www.wikidata.org/entity/Q39631" TargetMode="External"/><Relationship Id="rId3328" Type="http://schemas.openxmlformats.org/officeDocument/2006/relationships/hyperlink" Target="http://www.wikidata.org/entity/Q36180" TargetMode="External"/><Relationship Id="rId3327" Type="http://schemas.openxmlformats.org/officeDocument/2006/relationships/hyperlink" Target="http://www.wikidata.org/entity/Q2190493" TargetMode="External"/><Relationship Id="rId3329" Type="http://schemas.openxmlformats.org/officeDocument/2006/relationships/hyperlink" Target="http://commons.wikimedia.org/wiki/Special:FilePath/Gustaaf%20Louise%20Oda%20Hugo%20Verriest%20in%201861.jpg" TargetMode="External"/><Relationship Id="rId3320" Type="http://schemas.openxmlformats.org/officeDocument/2006/relationships/hyperlink" Target="http://www.wikidata.org/entity/Q4773904" TargetMode="External"/><Relationship Id="rId3322" Type="http://schemas.openxmlformats.org/officeDocument/2006/relationships/hyperlink" Target="http://www.wikidata.org/entity/Q2163210" TargetMode="External"/><Relationship Id="rId3321" Type="http://schemas.openxmlformats.org/officeDocument/2006/relationships/hyperlink" Target="http://commons.wikimedia.org/wiki/Special:FilePath/Alfons%20de%20Cock%2C%20PA05233.jpg" TargetMode="External"/><Relationship Id="rId3324" Type="http://schemas.openxmlformats.org/officeDocument/2006/relationships/hyperlink" Target="http://www.wikidata.org/entity/Q2190493" TargetMode="External"/><Relationship Id="rId3323" Type="http://schemas.openxmlformats.org/officeDocument/2006/relationships/hyperlink" Target="http://www.wikidata.org/entity/Q3621491" TargetMode="External"/><Relationship Id="rId2090" Type="http://schemas.openxmlformats.org/officeDocument/2006/relationships/hyperlink" Target="http://www.wikidata.org/entity/Q2627945" TargetMode="External"/><Relationship Id="rId2091" Type="http://schemas.openxmlformats.org/officeDocument/2006/relationships/hyperlink" Target="http://www.wikidata.org/entity/Q2374149" TargetMode="External"/><Relationship Id="rId2092" Type="http://schemas.openxmlformats.org/officeDocument/2006/relationships/hyperlink" Target="http://www.wikidata.org/entity/Q2332586" TargetMode="External"/><Relationship Id="rId2093" Type="http://schemas.openxmlformats.org/officeDocument/2006/relationships/hyperlink" Target="http://www.wikidata.org/entity/Q2251335" TargetMode="External"/><Relationship Id="rId2094" Type="http://schemas.openxmlformats.org/officeDocument/2006/relationships/hyperlink" Target="http://www.wikidata.org/entity/Q2539969" TargetMode="External"/><Relationship Id="rId2095" Type="http://schemas.openxmlformats.org/officeDocument/2006/relationships/hyperlink" Target="http://www.wikidata.org/entity/Q36180" TargetMode="External"/><Relationship Id="rId2096" Type="http://schemas.openxmlformats.org/officeDocument/2006/relationships/hyperlink" Target="http://commons.wikimedia.org/wiki/Special:FilePath/Alfons%20Siffer%201850-1941.jpg" TargetMode="External"/><Relationship Id="rId2097" Type="http://schemas.openxmlformats.org/officeDocument/2006/relationships/hyperlink" Target="http://www.wikidata.org/entity/Q322106" TargetMode="External"/><Relationship Id="rId2098" Type="http://schemas.openxmlformats.org/officeDocument/2006/relationships/hyperlink" Target="http://www.wikidata.org/entity/Q1622272" TargetMode="External"/><Relationship Id="rId2099" Type="http://schemas.openxmlformats.org/officeDocument/2006/relationships/hyperlink" Target="http://commons.wikimedia.org/wiki/Special:FilePath/Portrait%20of%20Walter%20William%20Skeat.jpg" TargetMode="External"/><Relationship Id="rId3391" Type="http://schemas.openxmlformats.org/officeDocument/2006/relationships/hyperlink" Target="http://commons.wikimedia.org/wiki/Special:FilePath/Wytterick%2023.JPG" TargetMode="External"/><Relationship Id="rId2060" Type="http://schemas.openxmlformats.org/officeDocument/2006/relationships/hyperlink" Target="http://www.wikidata.org/entity/Q49757" TargetMode="External"/><Relationship Id="rId3390" Type="http://schemas.openxmlformats.org/officeDocument/2006/relationships/hyperlink" Target="http://www.wikidata.org/entity/Q175151" TargetMode="External"/><Relationship Id="rId2061" Type="http://schemas.openxmlformats.org/officeDocument/2006/relationships/hyperlink" Target="http://www.wikidata.org/entity/Q322106" TargetMode="External"/><Relationship Id="rId3393" Type="http://schemas.openxmlformats.org/officeDocument/2006/relationships/hyperlink" Target="http://www.wikidata.org/entity/Q18120029" TargetMode="External"/><Relationship Id="rId2062" Type="http://schemas.openxmlformats.org/officeDocument/2006/relationships/hyperlink" Target="http://www.wikidata.org/entity/Q14467526" TargetMode="External"/><Relationship Id="rId3392" Type="http://schemas.openxmlformats.org/officeDocument/2006/relationships/hyperlink" Target="http://www.wikidata.org/entity/Q2163210" TargetMode="External"/><Relationship Id="rId2063" Type="http://schemas.openxmlformats.org/officeDocument/2006/relationships/hyperlink" Target="http://commons.wikimedia.org/wiki/Special:FilePath/Portrait%20of%20Walter%20William%20Skeat.jpg" TargetMode="External"/><Relationship Id="rId3395" Type="http://schemas.openxmlformats.org/officeDocument/2006/relationships/hyperlink" Target="http://www.wikidata.org/entity/Q182436" TargetMode="External"/><Relationship Id="rId2064" Type="http://schemas.openxmlformats.org/officeDocument/2006/relationships/hyperlink" Target="http://www.wikidata.org/entity/Q2539969" TargetMode="External"/><Relationship Id="rId3394" Type="http://schemas.openxmlformats.org/officeDocument/2006/relationships/hyperlink" Target="http://www.wikidata.org/entity/Q2658862" TargetMode="External"/><Relationship Id="rId2065" Type="http://schemas.openxmlformats.org/officeDocument/2006/relationships/hyperlink" Target="http://www.wikidata.org/entity/Q998550" TargetMode="External"/><Relationship Id="rId3397" Type="http://schemas.openxmlformats.org/officeDocument/2006/relationships/hyperlink" Target="http://www.wikidata.org/entity/Q201788" TargetMode="External"/><Relationship Id="rId2066" Type="http://schemas.openxmlformats.org/officeDocument/2006/relationships/hyperlink" Target="http://commons.wikimedia.org/wiki/Special:FilePath/Alfons%20Siffer%201850-1941.jpg" TargetMode="External"/><Relationship Id="rId3396" Type="http://schemas.openxmlformats.org/officeDocument/2006/relationships/hyperlink" Target="http://www.wikidata.org/entity/Q2658862" TargetMode="External"/><Relationship Id="rId2067" Type="http://schemas.openxmlformats.org/officeDocument/2006/relationships/hyperlink" Target="http://www.wikidata.org/entity/Q13429634" TargetMode="External"/><Relationship Id="rId3399" Type="http://schemas.openxmlformats.org/officeDocument/2006/relationships/hyperlink" Target="http://www.wikidata.org/entity/Q250867" TargetMode="External"/><Relationship Id="rId2068" Type="http://schemas.openxmlformats.org/officeDocument/2006/relationships/hyperlink" Target="http://www.wikidata.org/entity/Q82955" TargetMode="External"/><Relationship Id="rId3398" Type="http://schemas.openxmlformats.org/officeDocument/2006/relationships/hyperlink" Target="http://www.wikidata.org/entity/Q2658862" TargetMode="External"/><Relationship Id="rId2069" Type="http://schemas.openxmlformats.org/officeDocument/2006/relationships/hyperlink" Target="http://www.wikidata.org/entity/Q13429634" TargetMode="External"/><Relationship Id="rId3380" Type="http://schemas.openxmlformats.org/officeDocument/2006/relationships/hyperlink" Target="http://commons.wikimedia.org/wiki/Special:FilePath/Amaat%20Joos.jpg" TargetMode="External"/><Relationship Id="rId2050" Type="http://schemas.openxmlformats.org/officeDocument/2006/relationships/hyperlink" Target="http://www.wikidata.org/entity/Q2154331" TargetMode="External"/><Relationship Id="rId3382" Type="http://schemas.openxmlformats.org/officeDocument/2006/relationships/hyperlink" Target="http://www.wikidata.org/entity/Q1753370" TargetMode="External"/><Relationship Id="rId2051" Type="http://schemas.openxmlformats.org/officeDocument/2006/relationships/hyperlink" Target="http://www.wikidata.org/entity/Q49757" TargetMode="External"/><Relationship Id="rId3381" Type="http://schemas.openxmlformats.org/officeDocument/2006/relationships/hyperlink" Target="http://www.wikidata.org/entity/Q2050293" TargetMode="External"/><Relationship Id="rId2052" Type="http://schemas.openxmlformats.org/officeDocument/2006/relationships/hyperlink" Target="http://www.wikidata.org/entity/Q13576607" TargetMode="External"/><Relationship Id="rId3384" Type="http://schemas.openxmlformats.org/officeDocument/2006/relationships/hyperlink" Target="http://www.wikidata.org/entity/Q14972848" TargetMode="External"/><Relationship Id="rId2053" Type="http://schemas.openxmlformats.org/officeDocument/2006/relationships/hyperlink" Target="http://www.wikidata.org/entity/Q115706151" TargetMode="External"/><Relationship Id="rId3383" Type="http://schemas.openxmlformats.org/officeDocument/2006/relationships/hyperlink" Target="http://www.wikidata.org/entity/Q42596" TargetMode="External"/><Relationship Id="rId2054" Type="http://schemas.openxmlformats.org/officeDocument/2006/relationships/hyperlink" Target="http://www.wikidata.org/entity/Q2490990" TargetMode="External"/><Relationship Id="rId3386" Type="http://schemas.openxmlformats.org/officeDocument/2006/relationships/hyperlink" Target="http://www.wikidata.org/entity/Q2360599" TargetMode="External"/><Relationship Id="rId2055" Type="http://schemas.openxmlformats.org/officeDocument/2006/relationships/hyperlink" Target="http://www.wikidata.org/entity/Q82955" TargetMode="External"/><Relationship Id="rId3385" Type="http://schemas.openxmlformats.org/officeDocument/2006/relationships/hyperlink" Target="http://commons.wikimedia.org/wiki/Special:FilePath/Frederic%20Mistral%20portrait%20photo.jpg" TargetMode="External"/><Relationship Id="rId2056" Type="http://schemas.openxmlformats.org/officeDocument/2006/relationships/hyperlink" Target="http://commons.wikimedia.org/wiki/Special:FilePath/Kortrijk%20Astridpark-11.JPG" TargetMode="External"/><Relationship Id="rId3388" Type="http://schemas.openxmlformats.org/officeDocument/2006/relationships/hyperlink" Target="http://commons.wikimedia.org/wiki/Special:FilePath/Wytterick%2023.JPG" TargetMode="External"/><Relationship Id="rId2057" Type="http://schemas.openxmlformats.org/officeDocument/2006/relationships/hyperlink" Target="http://www.wikidata.org/entity/Q2215154" TargetMode="External"/><Relationship Id="rId3387" Type="http://schemas.openxmlformats.org/officeDocument/2006/relationships/hyperlink" Target="http://www.wikidata.org/entity/Q3391743" TargetMode="External"/><Relationship Id="rId2058" Type="http://schemas.openxmlformats.org/officeDocument/2006/relationships/hyperlink" Target="http://www.wikidata.org/entity/Q36180" TargetMode="External"/><Relationship Id="rId2059" Type="http://schemas.openxmlformats.org/officeDocument/2006/relationships/hyperlink" Target="http://www.wikidata.org/entity/Q2215154" TargetMode="External"/><Relationship Id="rId3389" Type="http://schemas.openxmlformats.org/officeDocument/2006/relationships/hyperlink" Target="http://www.wikidata.org/entity/Q2360599" TargetMode="External"/><Relationship Id="rId2080" Type="http://schemas.openxmlformats.org/officeDocument/2006/relationships/hyperlink" Target="http://www.wikidata.org/entity/Q2332586" TargetMode="External"/><Relationship Id="rId2081" Type="http://schemas.openxmlformats.org/officeDocument/2006/relationships/hyperlink" Target="http://www.wikidata.org/entity/Q82955" TargetMode="External"/><Relationship Id="rId2082" Type="http://schemas.openxmlformats.org/officeDocument/2006/relationships/hyperlink" Target="http://www.wikidata.org/entity/Q29019503" TargetMode="External"/><Relationship Id="rId2083" Type="http://schemas.openxmlformats.org/officeDocument/2006/relationships/hyperlink" Target="http://www.wikidata.org/entity/Q1622272" TargetMode="External"/><Relationship Id="rId2084" Type="http://schemas.openxmlformats.org/officeDocument/2006/relationships/hyperlink" Target="http://commons.wikimedia.org/wiki/Special:FilePath/WillemDeVreese.jpg" TargetMode="External"/><Relationship Id="rId2085" Type="http://schemas.openxmlformats.org/officeDocument/2006/relationships/hyperlink" Target="http://www.wikidata.org/entity/Q970833" TargetMode="External"/><Relationship Id="rId2086" Type="http://schemas.openxmlformats.org/officeDocument/2006/relationships/hyperlink" Target="http://www.wikidata.org/entity/Q212238" TargetMode="External"/><Relationship Id="rId2087" Type="http://schemas.openxmlformats.org/officeDocument/2006/relationships/hyperlink" Target="http://commons.wikimedia.org/wiki/Special:FilePath/KarelFransStallaert.jpg" TargetMode="External"/><Relationship Id="rId2088" Type="http://schemas.openxmlformats.org/officeDocument/2006/relationships/hyperlink" Target="http://www.wikidata.org/entity/Q13576607" TargetMode="External"/><Relationship Id="rId2089" Type="http://schemas.openxmlformats.org/officeDocument/2006/relationships/hyperlink" Target="http://www.wikidata.org/entity/Q2251335" TargetMode="External"/><Relationship Id="rId2070" Type="http://schemas.openxmlformats.org/officeDocument/2006/relationships/hyperlink" Target="http://www.wikidata.org/entity/Q635734" TargetMode="External"/><Relationship Id="rId2071" Type="http://schemas.openxmlformats.org/officeDocument/2006/relationships/hyperlink" Target="http://www.wikidata.org/entity/Q13429634" TargetMode="External"/><Relationship Id="rId2072" Type="http://schemas.openxmlformats.org/officeDocument/2006/relationships/hyperlink" Target="http://www.wikidata.org/entity/Q2516866" TargetMode="External"/><Relationship Id="rId2073" Type="http://schemas.openxmlformats.org/officeDocument/2006/relationships/hyperlink" Target="http://www.wikidata.org/entity/Q322106" TargetMode="External"/><Relationship Id="rId2074" Type="http://schemas.openxmlformats.org/officeDocument/2006/relationships/hyperlink" Target="http://www.wikidata.org/entity/Q36180" TargetMode="External"/><Relationship Id="rId2075" Type="http://schemas.openxmlformats.org/officeDocument/2006/relationships/hyperlink" Target="http://commons.wikimedia.org/wiki/Special:FilePath/Portrait%20of%20Walter%20William%20Skeat.jpg" TargetMode="External"/><Relationship Id="rId2076" Type="http://schemas.openxmlformats.org/officeDocument/2006/relationships/hyperlink" Target="http://www.wikidata.org/entity/Q13576607" TargetMode="External"/><Relationship Id="rId2077" Type="http://schemas.openxmlformats.org/officeDocument/2006/relationships/hyperlink" Target="http://www.wikidata.org/entity/Q82955" TargetMode="External"/><Relationship Id="rId2078" Type="http://schemas.openxmlformats.org/officeDocument/2006/relationships/hyperlink" Target="http://www.wikidata.org/entity/Q13576607" TargetMode="External"/><Relationship Id="rId2079" Type="http://schemas.openxmlformats.org/officeDocument/2006/relationships/hyperlink" Target="http://www.wikidata.org/entity/Q589298" TargetMode="External"/><Relationship Id="rId2940" Type="http://schemas.openxmlformats.org/officeDocument/2006/relationships/hyperlink" Target="http://www.wikidata.org/entity/Q1056310" TargetMode="External"/><Relationship Id="rId1610" Type="http://schemas.openxmlformats.org/officeDocument/2006/relationships/hyperlink" Target="http://www.wikidata.org/entity/Q116460145" TargetMode="External"/><Relationship Id="rId2941" Type="http://schemas.openxmlformats.org/officeDocument/2006/relationships/hyperlink" Target="http://www.wikidata.org/entity/Q120793054" TargetMode="External"/><Relationship Id="rId1611" Type="http://schemas.openxmlformats.org/officeDocument/2006/relationships/hyperlink" Target="http://www.wikidata.org/entity/Q916292" TargetMode="External"/><Relationship Id="rId2942" Type="http://schemas.openxmlformats.org/officeDocument/2006/relationships/hyperlink" Target="http://www.wikidata.org/entity/Q779280" TargetMode="External"/><Relationship Id="rId1612" Type="http://schemas.openxmlformats.org/officeDocument/2006/relationships/hyperlink" Target="http://www.wikidata.org/entity/Q120721942" TargetMode="External"/><Relationship Id="rId2943" Type="http://schemas.openxmlformats.org/officeDocument/2006/relationships/hyperlink" Target="http://www.wikidata.org/entity/Q125365215" TargetMode="External"/><Relationship Id="rId1613" Type="http://schemas.openxmlformats.org/officeDocument/2006/relationships/hyperlink" Target="http://www.wikidata.org/entity/Q45684" TargetMode="External"/><Relationship Id="rId2944" Type="http://schemas.openxmlformats.org/officeDocument/2006/relationships/hyperlink" Target="http://www.wikidata.org/entity/Q191808" TargetMode="External"/><Relationship Id="rId1614" Type="http://schemas.openxmlformats.org/officeDocument/2006/relationships/hyperlink" Target="http://www.wikidata.org/entity/Q118151362" TargetMode="External"/><Relationship Id="rId2945" Type="http://schemas.openxmlformats.org/officeDocument/2006/relationships/hyperlink" Target="http://www.wikidata.org/entity/Q125365561" TargetMode="External"/><Relationship Id="rId1615" Type="http://schemas.openxmlformats.org/officeDocument/2006/relationships/hyperlink" Target="http://www.wikidata.org/entity/Q1753370" TargetMode="External"/><Relationship Id="rId2946" Type="http://schemas.openxmlformats.org/officeDocument/2006/relationships/hyperlink" Target="http://www.wikidata.org/entity/Q191808" TargetMode="External"/><Relationship Id="rId1616" Type="http://schemas.openxmlformats.org/officeDocument/2006/relationships/hyperlink" Target="http://www.wikidata.org/entity/Q116687356" TargetMode="External"/><Relationship Id="rId2947" Type="http://schemas.openxmlformats.org/officeDocument/2006/relationships/hyperlink" Target="http://www.wikidata.org/entity/Q125351679" TargetMode="External"/><Relationship Id="rId907" Type="http://schemas.openxmlformats.org/officeDocument/2006/relationships/hyperlink" Target="http://commons.wikimedia.org/wiki/Special:FilePath/Langendonck.jpg" TargetMode="External"/><Relationship Id="rId1617" Type="http://schemas.openxmlformats.org/officeDocument/2006/relationships/hyperlink" Target="http://www.wikidata.org/entity/Q20814940" TargetMode="External"/><Relationship Id="rId2948" Type="http://schemas.openxmlformats.org/officeDocument/2006/relationships/hyperlink" Target="http://www.wikidata.org/entity/Q23754015" TargetMode="External"/><Relationship Id="rId906" Type="http://schemas.openxmlformats.org/officeDocument/2006/relationships/hyperlink" Target="http://www.wikidata.org/entity/Q11774202" TargetMode="External"/><Relationship Id="rId1618" Type="http://schemas.openxmlformats.org/officeDocument/2006/relationships/hyperlink" Target="http://www.wikidata.org/entity/Q116460145" TargetMode="External"/><Relationship Id="rId2949" Type="http://schemas.openxmlformats.org/officeDocument/2006/relationships/hyperlink" Target="http://www.wikidata.org/entity/Q125365215" TargetMode="External"/><Relationship Id="rId905" Type="http://schemas.openxmlformats.org/officeDocument/2006/relationships/hyperlink" Target="http://www.wikidata.org/entity/Q2754460" TargetMode="External"/><Relationship Id="rId1619" Type="http://schemas.openxmlformats.org/officeDocument/2006/relationships/hyperlink" Target="http://www.wikidata.org/entity/Q36180" TargetMode="External"/><Relationship Id="rId904" Type="http://schemas.openxmlformats.org/officeDocument/2006/relationships/hyperlink" Target="http://commons.wikimedia.org/wiki/Special:FilePath/Jan%20Bols%2C%20borststuk%20door%20E.%20Fabronius.tif" TargetMode="External"/><Relationship Id="rId909" Type="http://schemas.openxmlformats.org/officeDocument/2006/relationships/hyperlink" Target="http://www.wikidata.org/entity/Q201788" TargetMode="External"/><Relationship Id="rId908" Type="http://schemas.openxmlformats.org/officeDocument/2006/relationships/hyperlink" Target="http://www.wikidata.org/entity/Q3032807" TargetMode="External"/><Relationship Id="rId903" Type="http://schemas.openxmlformats.org/officeDocument/2006/relationships/hyperlink" Target="http://www.wikidata.org/entity/Q36180" TargetMode="External"/><Relationship Id="rId902" Type="http://schemas.openxmlformats.org/officeDocument/2006/relationships/hyperlink" Target="http://www.wikidata.org/entity/Q1920135" TargetMode="External"/><Relationship Id="rId901" Type="http://schemas.openxmlformats.org/officeDocument/2006/relationships/hyperlink" Target="http://commons.wikimedia.org/wiki/Special:FilePath/Jan%20Bols%2C%20borststuk%20door%20E.%20Fabronius.tif" TargetMode="External"/><Relationship Id="rId900" Type="http://schemas.openxmlformats.org/officeDocument/2006/relationships/hyperlink" Target="http://www.wikidata.org/entity/Q1231865" TargetMode="External"/><Relationship Id="rId2930" Type="http://schemas.openxmlformats.org/officeDocument/2006/relationships/hyperlink" Target="http://www.wikidata.org/entity/Q37226" TargetMode="External"/><Relationship Id="rId1600" Type="http://schemas.openxmlformats.org/officeDocument/2006/relationships/hyperlink" Target="http://www.wikidata.org/entity/Q119701807" TargetMode="External"/><Relationship Id="rId2931" Type="http://schemas.openxmlformats.org/officeDocument/2006/relationships/hyperlink" Target="http://www.wikidata.org/entity/Q125351679" TargetMode="External"/><Relationship Id="rId1601" Type="http://schemas.openxmlformats.org/officeDocument/2006/relationships/hyperlink" Target="http://www.wikidata.org/entity/Q2251335" TargetMode="External"/><Relationship Id="rId2932" Type="http://schemas.openxmlformats.org/officeDocument/2006/relationships/hyperlink" Target="http://www.wikidata.org/entity/Q7501153" TargetMode="External"/><Relationship Id="rId1602" Type="http://schemas.openxmlformats.org/officeDocument/2006/relationships/hyperlink" Target="http://www.wikidata.org/entity/Q116687401" TargetMode="External"/><Relationship Id="rId2933" Type="http://schemas.openxmlformats.org/officeDocument/2006/relationships/hyperlink" Target="http://www.wikidata.org/entity/Q120489194" TargetMode="External"/><Relationship Id="rId1603" Type="http://schemas.openxmlformats.org/officeDocument/2006/relationships/hyperlink" Target="http://www.wikidata.org/entity/Q7316604" TargetMode="External"/><Relationship Id="rId2934" Type="http://schemas.openxmlformats.org/officeDocument/2006/relationships/hyperlink" Target="http://www.wikidata.org/entity/Q118395622" TargetMode="External"/><Relationship Id="rId1604" Type="http://schemas.openxmlformats.org/officeDocument/2006/relationships/hyperlink" Target="http://www.wikidata.org/entity/Q116687401" TargetMode="External"/><Relationship Id="rId2935" Type="http://schemas.openxmlformats.org/officeDocument/2006/relationships/hyperlink" Target="http://www.wikidata.org/entity/Q120489194" TargetMode="External"/><Relationship Id="rId1605" Type="http://schemas.openxmlformats.org/officeDocument/2006/relationships/hyperlink" Target="http://www.wikidata.org/entity/Q7313543" TargetMode="External"/><Relationship Id="rId2936" Type="http://schemas.openxmlformats.org/officeDocument/2006/relationships/hyperlink" Target="http://www.wikidata.org/entity/Q120489274" TargetMode="External"/><Relationship Id="rId1606" Type="http://schemas.openxmlformats.org/officeDocument/2006/relationships/hyperlink" Target="http://www.wikidata.org/entity/Q118151362" TargetMode="External"/><Relationship Id="rId2937" Type="http://schemas.openxmlformats.org/officeDocument/2006/relationships/hyperlink" Target="http://www.wikidata.org/entity/Q120489194" TargetMode="External"/><Relationship Id="rId1607" Type="http://schemas.openxmlformats.org/officeDocument/2006/relationships/hyperlink" Target="http://www.wikidata.org/entity/Q1469535" TargetMode="External"/><Relationship Id="rId2938" Type="http://schemas.openxmlformats.org/officeDocument/2006/relationships/hyperlink" Target="http://www.wikidata.org/entity/Q250867" TargetMode="External"/><Relationship Id="rId1608" Type="http://schemas.openxmlformats.org/officeDocument/2006/relationships/hyperlink" Target="http://www.wikidata.org/entity/Q118612085" TargetMode="External"/><Relationship Id="rId2939" Type="http://schemas.openxmlformats.org/officeDocument/2006/relationships/hyperlink" Target="http://www.wikidata.org/entity/Q120489194" TargetMode="External"/><Relationship Id="rId1609" Type="http://schemas.openxmlformats.org/officeDocument/2006/relationships/hyperlink" Target="http://www.wikidata.org/entity/Q36180" TargetMode="External"/><Relationship Id="rId1631" Type="http://schemas.openxmlformats.org/officeDocument/2006/relationships/hyperlink" Target="http://www.wikidata.org/entity/Q250867" TargetMode="External"/><Relationship Id="rId2962" Type="http://schemas.openxmlformats.org/officeDocument/2006/relationships/hyperlink" Target="http://www.wikidata.org/entity/Q175151" TargetMode="External"/><Relationship Id="rId1632" Type="http://schemas.openxmlformats.org/officeDocument/2006/relationships/hyperlink" Target="http://www.wikidata.org/entity/Q118792556" TargetMode="External"/><Relationship Id="rId2963" Type="http://schemas.openxmlformats.org/officeDocument/2006/relationships/hyperlink" Target="http://www.wikidata.org/entity/Q125257556" TargetMode="External"/><Relationship Id="rId1633" Type="http://schemas.openxmlformats.org/officeDocument/2006/relationships/hyperlink" Target="http://www.wikidata.org/entity/Q42603" TargetMode="External"/><Relationship Id="rId2964" Type="http://schemas.openxmlformats.org/officeDocument/2006/relationships/hyperlink" Target="http://www.wikidata.org/entity/Q1776501" TargetMode="External"/><Relationship Id="rId1634" Type="http://schemas.openxmlformats.org/officeDocument/2006/relationships/hyperlink" Target="http://www.wikidata.org/entity/Q115839443" TargetMode="External"/><Relationship Id="rId2965" Type="http://schemas.openxmlformats.org/officeDocument/2006/relationships/hyperlink" Target="http://www.wikidata.org/entity/Q120733873" TargetMode="External"/><Relationship Id="rId1635" Type="http://schemas.openxmlformats.org/officeDocument/2006/relationships/hyperlink" Target="http://www.wikidata.org/entity/Q955464" TargetMode="External"/><Relationship Id="rId2966" Type="http://schemas.openxmlformats.org/officeDocument/2006/relationships/hyperlink" Target="http://www.wikidata.org/entity/Q589298" TargetMode="External"/><Relationship Id="rId1636" Type="http://schemas.openxmlformats.org/officeDocument/2006/relationships/hyperlink" Target="http://www.wikidata.org/entity/Q116508494" TargetMode="External"/><Relationship Id="rId2967" Type="http://schemas.openxmlformats.org/officeDocument/2006/relationships/hyperlink" Target="http://www.wikidata.org/entity/Q117246781" TargetMode="External"/><Relationship Id="rId1637" Type="http://schemas.openxmlformats.org/officeDocument/2006/relationships/hyperlink" Target="http://www.wikidata.org/entity/Q836904" TargetMode="External"/><Relationship Id="rId2968" Type="http://schemas.openxmlformats.org/officeDocument/2006/relationships/hyperlink" Target="http://www.wikidata.org/entity/Q242468" TargetMode="External"/><Relationship Id="rId1638" Type="http://schemas.openxmlformats.org/officeDocument/2006/relationships/hyperlink" Target="http://www.wikidata.org/entity/Q115835156" TargetMode="External"/><Relationship Id="rId2969" Type="http://schemas.openxmlformats.org/officeDocument/2006/relationships/hyperlink" Target="http://www.wikidata.org/entity/Q120733873" TargetMode="External"/><Relationship Id="rId929" Type="http://schemas.openxmlformats.org/officeDocument/2006/relationships/hyperlink" Target="http://commons.wikimedia.org/wiki/Special:FilePath/Max%20Rooses.jpg" TargetMode="External"/><Relationship Id="rId1639" Type="http://schemas.openxmlformats.org/officeDocument/2006/relationships/hyperlink" Target="http://www.wikidata.org/entity/Q2251335" TargetMode="External"/><Relationship Id="rId928" Type="http://schemas.openxmlformats.org/officeDocument/2006/relationships/hyperlink" Target="http://www.wikidata.org/entity/Q1792450" TargetMode="External"/><Relationship Id="rId927" Type="http://schemas.openxmlformats.org/officeDocument/2006/relationships/hyperlink" Target="http://www.wikidata.org/entity/Q2413334" TargetMode="External"/><Relationship Id="rId926" Type="http://schemas.openxmlformats.org/officeDocument/2006/relationships/hyperlink" Target="http://www.wikidata.org/entity/Q1753370" TargetMode="External"/><Relationship Id="rId921" Type="http://schemas.openxmlformats.org/officeDocument/2006/relationships/hyperlink" Target="http://www.wikidata.org/entity/Q2251335" TargetMode="External"/><Relationship Id="rId920" Type="http://schemas.openxmlformats.org/officeDocument/2006/relationships/hyperlink" Target="http://www.wikidata.org/entity/Q3032807" TargetMode="External"/><Relationship Id="rId925" Type="http://schemas.openxmlformats.org/officeDocument/2006/relationships/hyperlink" Target="http://www.wikidata.org/entity/Q2182589" TargetMode="External"/><Relationship Id="rId924" Type="http://schemas.openxmlformats.org/officeDocument/2006/relationships/hyperlink" Target="http://commons.wikimedia.org/wiki/Special:FilePath/Josephus%20Alberdingk%20Thijm%20portret%20%281864-1889%29.png" TargetMode="External"/><Relationship Id="rId923" Type="http://schemas.openxmlformats.org/officeDocument/2006/relationships/hyperlink" Target="http://www.wikidata.org/entity/Q4263842" TargetMode="External"/><Relationship Id="rId922" Type="http://schemas.openxmlformats.org/officeDocument/2006/relationships/hyperlink" Target="http://www.wikidata.org/entity/Q1978794" TargetMode="External"/><Relationship Id="rId2960" Type="http://schemas.openxmlformats.org/officeDocument/2006/relationships/hyperlink" Target="http://www.wikidata.org/entity/Q175151" TargetMode="External"/><Relationship Id="rId1630" Type="http://schemas.openxmlformats.org/officeDocument/2006/relationships/hyperlink" Target="http://www.wikidata.org/entity/Q115835605" TargetMode="External"/><Relationship Id="rId2961" Type="http://schemas.openxmlformats.org/officeDocument/2006/relationships/hyperlink" Target="http://www.wikidata.org/entity/Q118120903" TargetMode="External"/><Relationship Id="rId1620" Type="http://schemas.openxmlformats.org/officeDocument/2006/relationships/hyperlink" Target="http://www.wikidata.org/entity/Q116460145" TargetMode="External"/><Relationship Id="rId2951" Type="http://schemas.openxmlformats.org/officeDocument/2006/relationships/hyperlink" Target="http://www.wikidata.org/entity/Q125491053" TargetMode="External"/><Relationship Id="rId1621" Type="http://schemas.openxmlformats.org/officeDocument/2006/relationships/hyperlink" Target="http://www.wikidata.org/entity/Q49757" TargetMode="External"/><Relationship Id="rId2952" Type="http://schemas.openxmlformats.org/officeDocument/2006/relationships/hyperlink" Target="http://www.wikidata.org/entity/Q327321" TargetMode="External"/><Relationship Id="rId1622" Type="http://schemas.openxmlformats.org/officeDocument/2006/relationships/hyperlink" Target="http://www.wikidata.org/entity/Q115835156" TargetMode="External"/><Relationship Id="rId2953" Type="http://schemas.openxmlformats.org/officeDocument/2006/relationships/hyperlink" Target="http://www.wikidata.org/entity/Q125257556" TargetMode="External"/><Relationship Id="rId1623" Type="http://schemas.openxmlformats.org/officeDocument/2006/relationships/hyperlink" Target="http://www.wikidata.org/entity/Q955464" TargetMode="External"/><Relationship Id="rId2954" Type="http://schemas.openxmlformats.org/officeDocument/2006/relationships/hyperlink" Target="http://www.wikidata.org/entity/Q191808" TargetMode="External"/><Relationship Id="rId1624" Type="http://schemas.openxmlformats.org/officeDocument/2006/relationships/hyperlink" Target="http://www.wikidata.org/entity/Q115835605" TargetMode="External"/><Relationship Id="rId2955" Type="http://schemas.openxmlformats.org/officeDocument/2006/relationships/hyperlink" Target="http://www.wikidata.org/entity/Q117227040" TargetMode="External"/><Relationship Id="rId1625" Type="http://schemas.openxmlformats.org/officeDocument/2006/relationships/hyperlink" Target="http://www.wikidata.org/entity/Q955464" TargetMode="External"/><Relationship Id="rId2956" Type="http://schemas.openxmlformats.org/officeDocument/2006/relationships/hyperlink" Target="http://www.wikidata.org/entity/Q7313543" TargetMode="External"/><Relationship Id="rId1626" Type="http://schemas.openxmlformats.org/officeDocument/2006/relationships/hyperlink" Target="http://www.wikidata.org/entity/Q115835156" TargetMode="External"/><Relationship Id="rId2957" Type="http://schemas.openxmlformats.org/officeDocument/2006/relationships/hyperlink" Target="http://www.wikidata.org/entity/Q123399443" TargetMode="External"/><Relationship Id="rId1627" Type="http://schemas.openxmlformats.org/officeDocument/2006/relationships/hyperlink" Target="http://www.wikidata.org/entity/Q1056391" TargetMode="External"/><Relationship Id="rId2958" Type="http://schemas.openxmlformats.org/officeDocument/2006/relationships/hyperlink" Target="http://www.wikidata.org/entity/Q191808" TargetMode="External"/><Relationship Id="rId918" Type="http://schemas.openxmlformats.org/officeDocument/2006/relationships/hyperlink" Target="http://www.wikidata.org/entity/Q212238" TargetMode="External"/><Relationship Id="rId1628" Type="http://schemas.openxmlformats.org/officeDocument/2006/relationships/hyperlink" Target="http://www.wikidata.org/entity/Q115835605" TargetMode="External"/><Relationship Id="rId2959" Type="http://schemas.openxmlformats.org/officeDocument/2006/relationships/hyperlink" Target="http://www.wikidata.org/entity/Q118120867" TargetMode="External"/><Relationship Id="rId917" Type="http://schemas.openxmlformats.org/officeDocument/2006/relationships/hyperlink" Target="http://www.wikidata.org/entity/Q2754460" TargetMode="External"/><Relationship Id="rId1629" Type="http://schemas.openxmlformats.org/officeDocument/2006/relationships/hyperlink" Target="http://www.wikidata.org/entity/Q1056391" TargetMode="External"/><Relationship Id="rId916" Type="http://schemas.openxmlformats.org/officeDocument/2006/relationships/hyperlink" Target="http://commons.wikimedia.org/wiki/Special:FilePath/JBBethune%20par%20Raoux.jpg" TargetMode="External"/><Relationship Id="rId915" Type="http://schemas.openxmlformats.org/officeDocument/2006/relationships/hyperlink" Target="http://www.wikidata.org/entity/Q5322166" TargetMode="External"/><Relationship Id="rId919" Type="http://schemas.openxmlformats.org/officeDocument/2006/relationships/hyperlink" Target="http://commons.wikimedia.org/wiki/Special:FilePath/Langendonck.jpg" TargetMode="External"/><Relationship Id="rId910" Type="http://schemas.openxmlformats.org/officeDocument/2006/relationships/hyperlink" Target="http://www.wikidata.org/entity/Q3032807" TargetMode="External"/><Relationship Id="rId914" Type="http://schemas.openxmlformats.org/officeDocument/2006/relationships/hyperlink" Target="http://www.wikidata.org/entity/Q354052" TargetMode="External"/><Relationship Id="rId913" Type="http://schemas.openxmlformats.org/officeDocument/2006/relationships/hyperlink" Target="http://www.wikidata.org/entity/Q250867" TargetMode="External"/><Relationship Id="rId912" Type="http://schemas.openxmlformats.org/officeDocument/2006/relationships/hyperlink" Target="http://www.wikidata.org/entity/Q3032807" TargetMode="External"/><Relationship Id="rId911" Type="http://schemas.openxmlformats.org/officeDocument/2006/relationships/hyperlink" Target="http://www.wikidata.org/entity/Q1056391" TargetMode="External"/><Relationship Id="rId2950" Type="http://schemas.openxmlformats.org/officeDocument/2006/relationships/hyperlink" Target="http://www.wikidata.org/entity/Q1776501" TargetMode="External"/><Relationship Id="rId2900" Type="http://schemas.openxmlformats.org/officeDocument/2006/relationships/hyperlink" Target="http://www.wikidata.org/entity/Q12713481" TargetMode="External"/><Relationship Id="rId2901" Type="http://schemas.openxmlformats.org/officeDocument/2006/relationships/hyperlink" Target="http://www.wikidata.org/entity/Q118732528" TargetMode="External"/><Relationship Id="rId2902" Type="http://schemas.openxmlformats.org/officeDocument/2006/relationships/hyperlink" Target="http://www.wikidata.org/entity/Q4991371" TargetMode="External"/><Relationship Id="rId2903" Type="http://schemas.openxmlformats.org/officeDocument/2006/relationships/hyperlink" Target="http://www.wikidata.org/entity/Q125334130" TargetMode="External"/><Relationship Id="rId2904" Type="http://schemas.openxmlformats.org/officeDocument/2006/relationships/hyperlink" Target="http://www.wikidata.org/entity/Q833860" TargetMode="External"/><Relationship Id="rId2905" Type="http://schemas.openxmlformats.org/officeDocument/2006/relationships/hyperlink" Target="http://www.wikidata.org/entity/Q116508893" TargetMode="External"/><Relationship Id="rId2906" Type="http://schemas.openxmlformats.org/officeDocument/2006/relationships/hyperlink" Target="http://commons.wikimedia.org/wiki/Special:FilePath/Bidprentje%20Justine%20Van%20de%20Velde.jpg" TargetMode="External"/><Relationship Id="rId2907" Type="http://schemas.openxmlformats.org/officeDocument/2006/relationships/hyperlink" Target="http://www.wikidata.org/entity/Q118175361" TargetMode="External"/><Relationship Id="rId2908" Type="http://schemas.openxmlformats.org/officeDocument/2006/relationships/hyperlink" Target="http://www.wikidata.org/entity/Q955464" TargetMode="External"/><Relationship Id="rId2909" Type="http://schemas.openxmlformats.org/officeDocument/2006/relationships/hyperlink" Target="http://www.wikidata.org/entity/Q118175361" TargetMode="External"/><Relationship Id="rId2920" Type="http://schemas.openxmlformats.org/officeDocument/2006/relationships/hyperlink" Target="http://www.wikidata.org/entity/Q250867" TargetMode="External"/><Relationship Id="rId2921" Type="http://schemas.openxmlformats.org/officeDocument/2006/relationships/hyperlink" Target="http://www.wikidata.org/entity/Q118175361" TargetMode="External"/><Relationship Id="rId2922" Type="http://schemas.openxmlformats.org/officeDocument/2006/relationships/hyperlink" Target="http://www.wikidata.org/entity/Q2251335" TargetMode="External"/><Relationship Id="rId2923" Type="http://schemas.openxmlformats.org/officeDocument/2006/relationships/hyperlink" Target="http://www.wikidata.org/entity/Q116621407" TargetMode="External"/><Relationship Id="rId2924" Type="http://schemas.openxmlformats.org/officeDocument/2006/relationships/hyperlink" Target="http://www.wikidata.org/entity/Q175151" TargetMode="External"/><Relationship Id="rId2925" Type="http://schemas.openxmlformats.org/officeDocument/2006/relationships/hyperlink" Target="http://www.wikidata.org/entity/Q120913841" TargetMode="External"/><Relationship Id="rId2926" Type="http://schemas.openxmlformats.org/officeDocument/2006/relationships/hyperlink" Target="http://www.wikidata.org/entity/Q1753370" TargetMode="External"/><Relationship Id="rId2927" Type="http://schemas.openxmlformats.org/officeDocument/2006/relationships/hyperlink" Target="http://www.wikidata.org/entity/Q120793054" TargetMode="External"/><Relationship Id="rId2928" Type="http://schemas.openxmlformats.org/officeDocument/2006/relationships/hyperlink" Target="http://www.wikidata.org/entity/Q1776501" TargetMode="External"/><Relationship Id="rId2929" Type="http://schemas.openxmlformats.org/officeDocument/2006/relationships/hyperlink" Target="http://www.wikidata.org/entity/Q120999304" TargetMode="External"/><Relationship Id="rId2910" Type="http://schemas.openxmlformats.org/officeDocument/2006/relationships/hyperlink" Target="http://www.wikidata.org/entity/Q1072363" TargetMode="External"/><Relationship Id="rId2911" Type="http://schemas.openxmlformats.org/officeDocument/2006/relationships/hyperlink" Target="http://www.wikidata.org/entity/Q120913841" TargetMode="External"/><Relationship Id="rId2912" Type="http://schemas.openxmlformats.org/officeDocument/2006/relationships/hyperlink" Target="http://www.wikidata.org/entity/Q1657500" TargetMode="External"/><Relationship Id="rId2913" Type="http://schemas.openxmlformats.org/officeDocument/2006/relationships/hyperlink" Target="http://www.wikidata.org/entity/Q118175361" TargetMode="External"/><Relationship Id="rId2914" Type="http://schemas.openxmlformats.org/officeDocument/2006/relationships/hyperlink" Target="http://www.wikidata.org/entity/Q250867" TargetMode="External"/><Relationship Id="rId2915" Type="http://schemas.openxmlformats.org/officeDocument/2006/relationships/hyperlink" Target="http://www.wikidata.org/entity/Q120640333" TargetMode="External"/><Relationship Id="rId2916" Type="http://schemas.openxmlformats.org/officeDocument/2006/relationships/hyperlink" Target="http://www.wikidata.org/entity/Q955464" TargetMode="External"/><Relationship Id="rId2917" Type="http://schemas.openxmlformats.org/officeDocument/2006/relationships/hyperlink" Target="http://www.wikidata.org/entity/Q122971839" TargetMode="External"/><Relationship Id="rId2918" Type="http://schemas.openxmlformats.org/officeDocument/2006/relationships/hyperlink" Target="http://www.wikidata.org/entity/Q1229025" TargetMode="External"/><Relationship Id="rId2919" Type="http://schemas.openxmlformats.org/officeDocument/2006/relationships/hyperlink" Target="http://www.wikidata.org/entity/Q120640333" TargetMode="External"/><Relationship Id="rId1697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1698" Type="http://schemas.openxmlformats.org/officeDocument/2006/relationships/hyperlink" Target="http://www.wikidata.org/entity/Q119860278" TargetMode="External"/><Relationship Id="rId1699" Type="http://schemas.openxmlformats.org/officeDocument/2006/relationships/hyperlink" Target="http://www.wikidata.org/entity/Q2516866" TargetMode="External"/><Relationship Id="rId866" Type="http://schemas.openxmlformats.org/officeDocument/2006/relationships/hyperlink" Target="http://www.wikidata.org/entity/Q2182589" TargetMode="External"/><Relationship Id="rId865" Type="http://schemas.openxmlformats.org/officeDocument/2006/relationships/hyperlink" Target="http://commons.wikimedia.org/wiki/Special:FilePath/G%C3%A9rard%20van%20Caloen%20%28detail%29.jpg" TargetMode="External"/><Relationship Id="rId864" Type="http://schemas.openxmlformats.org/officeDocument/2006/relationships/hyperlink" Target="http://www.wikidata.org/entity/Q733786" TargetMode="External"/><Relationship Id="rId863" Type="http://schemas.openxmlformats.org/officeDocument/2006/relationships/hyperlink" Target="http://www.wikidata.org/entity/Q2606766" TargetMode="External"/><Relationship Id="rId869" Type="http://schemas.openxmlformats.org/officeDocument/2006/relationships/hyperlink" Target="http://www.wikidata.org/entity/Q250867" TargetMode="External"/><Relationship Id="rId868" Type="http://schemas.openxmlformats.org/officeDocument/2006/relationships/hyperlink" Target="http://www.wikidata.org/entity/Q2182589" TargetMode="External"/><Relationship Id="rId867" Type="http://schemas.openxmlformats.org/officeDocument/2006/relationships/hyperlink" Target="http://www.wikidata.org/entity/Q955464" TargetMode="External"/><Relationship Id="rId1690" Type="http://schemas.openxmlformats.org/officeDocument/2006/relationships/hyperlink" Target="http://www.wikidata.org/entity/Q955464" TargetMode="External"/><Relationship Id="rId1691" Type="http://schemas.openxmlformats.org/officeDocument/2006/relationships/hyperlink" Target="http://www.wikidata.org/entity/Q119860278" TargetMode="External"/><Relationship Id="rId1692" Type="http://schemas.openxmlformats.org/officeDocument/2006/relationships/hyperlink" Target="http://www.wikidata.org/entity/Q82955" TargetMode="External"/><Relationship Id="rId862" Type="http://schemas.openxmlformats.org/officeDocument/2006/relationships/hyperlink" Target="http://www.wikidata.org/entity/Q2516866" TargetMode="External"/><Relationship Id="rId1693" Type="http://schemas.openxmlformats.org/officeDocument/2006/relationships/hyperlink" Target="http://www.wikidata.org/entity/Q120721942" TargetMode="External"/><Relationship Id="rId861" Type="http://schemas.openxmlformats.org/officeDocument/2006/relationships/hyperlink" Target="http://www.wikidata.org/entity/Q970036" TargetMode="External"/><Relationship Id="rId1694" Type="http://schemas.openxmlformats.org/officeDocument/2006/relationships/hyperlink" Target="http://www.wikidata.org/entity/Q1056391" TargetMode="External"/><Relationship Id="rId860" Type="http://schemas.openxmlformats.org/officeDocument/2006/relationships/hyperlink" Target="http://commons.wikimedia.org/wiki/Special:FilePath/HugoVerriest.jpg" TargetMode="External"/><Relationship Id="rId1695" Type="http://schemas.openxmlformats.org/officeDocument/2006/relationships/hyperlink" Target="http://www.wikidata.org/entity/Q115839360" TargetMode="External"/><Relationship Id="rId1696" Type="http://schemas.openxmlformats.org/officeDocument/2006/relationships/hyperlink" Target="http://www.wikidata.org/entity/Q250867" TargetMode="External"/><Relationship Id="rId1686" Type="http://schemas.openxmlformats.org/officeDocument/2006/relationships/hyperlink" Target="http://www.wikidata.org/entity/Q115839360" TargetMode="External"/><Relationship Id="rId1687" Type="http://schemas.openxmlformats.org/officeDocument/2006/relationships/hyperlink" Target="http://www.wikidata.org/entity/Q1056391" TargetMode="External"/><Relationship Id="rId1688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1689" Type="http://schemas.openxmlformats.org/officeDocument/2006/relationships/hyperlink" Target="http://www.wikidata.org/entity/Q120721942" TargetMode="External"/><Relationship Id="rId855" Type="http://schemas.openxmlformats.org/officeDocument/2006/relationships/hyperlink" Target="http://www.wikidata.org/entity/Q354052" TargetMode="External"/><Relationship Id="rId854" Type="http://schemas.openxmlformats.org/officeDocument/2006/relationships/hyperlink" Target="http://www.wikidata.org/entity/Q1930187" TargetMode="External"/><Relationship Id="rId853" Type="http://schemas.openxmlformats.org/officeDocument/2006/relationships/hyperlink" Target="http://www.wikidata.org/entity/Q970036" TargetMode="External"/><Relationship Id="rId852" Type="http://schemas.openxmlformats.org/officeDocument/2006/relationships/hyperlink" Target="http://www.wikidata.org/entity/Q589298" TargetMode="External"/><Relationship Id="rId859" Type="http://schemas.openxmlformats.org/officeDocument/2006/relationships/hyperlink" Target="http://www.wikidata.org/entity/Q250867" TargetMode="External"/><Relationship Id="rId858" Type="http://schemas.openxmlformats.org/officeDocument/2006/relationships/hyperlink" Target="http://www.wikidata.org/entity/Q981444" TargetMode="External"/><Relationship Id="rId857" Type="http://schemas.openxmlformats.org/officeDocument/2006/relationships/hyperlink" Target="http://commons.wikimedia.org/wiki/Special:FilePath/JBBethune%20par%20Raoux.jpg" TargetMode="External"/><Relationship Id="rId856" Type="http://schemas.openxmlformats.org/officeDocument/2006/relationships/hyperlink" Target="http://www.wikidata.org/entity/Q82955" TargetMode="External"/><Relationship Id="rId1680" Type="http://schemas.openxmlformats.org/officeDocument/2006/relationships/hyperlink" Target="http://www.wikidata.org/entity/Q120488044" TargetMode="External"/><Relationship Id="rId1681" Type="http://schemas.openxmlformats.org/officeDocument/2006/relationships/hyperlink" Target="http://www.wikidata.org/entity/Q876864" TargetMode="External"/><Relationship Id="rId851" Type="http://schemas.openxmlformats.org/officeDocument/2006/relationships/hyperlink" Target="http://www.wikidata.org/entity/Q970036" TargetMode="External"/><Relationship Id="rId1682" Type="http://schemas.openxmlformats.org/officeDocument/2006/relationships/hyperlink" Target="http://www.wikidata.org/entity/Q120472271" TargetMode="External"/><Relationship Id="rId850" Type="http://schemas.openxmlformats.org/officeDocument/2006/relationships/hyperlink" Target="http://www.wikidata.org/entity/Q82955" TargetMode="External"/><Relationship Id="rId1683" Type="http://schemas.openxmlformats.org/officeDocument/2006/relationships/hyperlink" Target="http://www.wikidata.org/entity/Q1753370" TargetMode="External"/><Relationship Id="rId1684" Type="http://schemas.openxmlformats.org/officeDocument/2006/relationships/hyperlink" Target="http://www.wikidata.org/entity/Q119701807" TargetMode="External"/><Relationship Id="rId1685" Type="http://schemas.openxmlformats.org/officeDocument/2006/relationships/hyperlink" Target="http://www.wikidata.org/entity/Q37226" TargetMode="External"/><Relationship Id="rId3414" Type="http://schemas.openxmlformats.org/officeDocument/2006/relationships/hyperlink" Target="http://www.wikidata.org/entity/Q2203619" TargetMode="External"/><Relationship Id="rId3413" Type="http://schemas.openxmlformats.org/officeDocument/2006/relationships/hyperlink" Target="http://commons.wikimedia.org/wiki/Special:FilePath/Bishop%20Camillus%20Paul%20Maes.jpg" TargetMode="External"/><Relationship Id="rId3416" Type="http://schemas.openxmlformats.org/officeDocument/2006/relationships/hyperlink" Target="http://commons.wikimedia.org/wiki/Special:FilePath/Canon%20Camille%20Looten.jpg" TargetMode="External"/><Relationship Id="rId3415" Type="http://schemas.openxmlformats.org/officeDocument/2006/relationships/hyperlink" Target="http://www.wikidata.org/entity/Q2251335" TargetMode="External"/><Relationship Id="rId3418" Type="http://schemas.openxmlformats.org/officeDocument/2006/relationships/hyperlink" Target="http://www.wikidata.org/entity/Q1657500" TargetMode="External"/><Relationship Id="rId3417" Type="http://schemas.openxmlformats.org/officeDocument/2006/relationships/hyperlink" Target="http://www.wikidata.org/entity/Q2658862" TargetMode="External"/><Relationship Id="rId3419" Type="http://schemas.openxmlformats.org/officeDocument/2006/relationships/hyperlink" Target="http://www.wikidata.org/entity/Q2658862" TargetMode="External"/><Relationship Id="rId888" Type="http://schemas.openxmlformats.org/officeDocument/2006/relationships/hyperlink" Target="http://www.wikidata.org/entity/Q14467526" TargetMode="External"/><Relationship Id="rId887" Type="http://schemas.openxmlformats.org/officeDocument/2006/relationships/hyperlink" Target="http://www.wikidata.org/entity/Q1920135" TargetMode="External"/><Relationship Id="rId886" Type="http://schemas.openxmlformats.org/officeDocument/2006/relationships/hyperlink" Target="http://www.wikidata.org/entity/Q2251335" TargetMode="External"/><Relationship Id="rId885" Type="http://schemas.openxmlformats.org/officeDocument/2006/relationships/hyperlink" Target="http://www.wikidata.org/entity/Q2182589" TargetMode="External"/><Relationship Id="rId889" Type="http://schemas.openxmlformats.org/officeDocument/2006/relationships/hyperlink" Target="http://commons.wikimedia.org/wiki/Special:FilePath/Jan%20Bols%2C%20borststuk%20door%20E.%20Fabronius.tif" TargetMode="External"/><Relationship Id="rId880" Type="http://schemas.openxmlformats.org/officeDocument/2006/relationships/hyperlink" Target="http://www.wikidata.org/entity/Q36180" TargetMode="External"/><Relationship Id="rId884" Type="http://schemas.openxmlformats.org/officeDocument/2006/relationships/hyperlink" Target="http://commons.wikimedia.org/wiki/Special:FilePath/Jan%20Bols%2C%20borststuk%20door%20E.%20Fabronius.tif" TargetMode="External"/><Relationship Id="rId3410" Type="http://schemas.openxmlformats.org/officeDocument/2006/relationships/hyperlink" Target="http://commons.wikimedia.org/wiki/Special:FilePath/Amaat%20Joos.jpg" TargetMode="External"/><Relationship Id="rId883" Type="http://schemas.openxmlformats.org/officeDocument/2006/relationships/hyperlink" Target="http://www.wikidata.org/entity/Q1056391" TargetMode="External"/><Relationship Id="rId882" Type="http://schemas.openxmlformats.org/officeDocument/2006/relationships/hyperlink" Target="http://www.wikidata.org/entity/Q1920135" TargetMode="External"/><Relationship Id="rId3412" Type="http://schemas.openxmlformats.org/officeDocument/2006/relationships/hyperlink" Target="http://www.wikidata.org/entity/Q36180" TargetMode="External"/><Relationship Id="rId881" Type="http://schemas.openxmlformats.org/officeDocument/2006/relationships/hyperlink" Target="http://commons.wikimedia.org/wiki/Special:FilePath/Max%20Rooses.jpg" TargetMode="External"/><Relationship Id="rId3411" Type="http://schemas.openxmlformats.org/officeDocument/2006/relationships/hyperlink" Target="http://www.wikidata.org/entity/Q5026719" TargetMode="External"/><Relationship Id="rId3403" Type="http://schemas.openxmlformats.org/officeDocument/2006/relationships/hyperlink" Target="http://www.wikidata.org/entity/Q2099446" TargetMode="External"/><Relationship Id="rId3402" Type="http://schemas.openxmlformats.org/officeDocument/2006/relationships/hyperlink" Target="http://commons.wikimedia.org/wiki/Special:FilePath/Bishop%20Camillus%20Paul%20Maes.jpg" TargetMode="External"/><Relationship Id="rId3405" Type="http://schemas.openxmlformats.org/officeDocument/2006/relationships/hyperlink" Target="http://commons.wikimedia.org/wiki/Special:FilePath/Amaat%20Joos.jpg" TargetMode="External"/><Relationship Id="rId3404" Type="http://schemas.openxmlformats.org/officeDocument/2006/relationships/hyperlink" Target="http://www.wikidata.org/entity/Q4773904" TargetMode="External"/><Relationship Id="rId3407" Type="http://schemas.openxmlformats.org/officeDocument/2006/relationships/hyperlink" Target="http://www.wikidata.org/entity/Q36834" TargetMode="External"/><Relationship Id="rId3406" Type="http://schemas.openxmlformats.org/officeDocument/2006/relationships/hyperlink" Target="http://www.wikidata.org/entity/Q3531475" TargetMode="External"/><Relationship Id="rId3409" Type="http://schemas.openxmlformats.org/officeDocument/2006/relationships/hyperlink" Target="http://www.wikidata.org/entity/Q1056391" TargetMode="External"/><Relationship Id="rId3408" Type="http://schemas.openxmlformats.org/officeDocument/2006/relationships/hyperlink" Target="http://www.wikidata.org/entity/Q2099446" TargetMode="External"/><Relationship Id="rId877" Type="http://schemas.openxmlformats.org/officeDocument/2006/relationships/hyperlink" Target="http://www.wikidata.org/entity/Q49757" TargetMode="External"/><Relationship Id="rId876" Type="http://schemas.openxmlformats.org/officeDocument/2006/relationships/hyperlink" Target="http://www.wikidata.org/entity/Q981444" TargetMode="External"/><Relationship Id="rId875" Type="http://schemas.openxmlformats.org/officeDocument/2006/relationships/hyperlink" Target="http://commons.wikimedia.org/wiki/Special:FilePath/HugoVerriest.jpg" TargetMode="External"/><Relationship Id="rId874" Type="http://schemas.openxmlformats.org/officeDocument/2006/relationships/hyperlink" Target="http://www.wikidata.org/entity/Q36180" TargetMode="External"/><Relationship Id="rId879" Type="http://schemas.openxmlformats.org/officeDocument/2006/relationships/hyperlink" Target="http://www.wikidata.org/entity/Q2413334" TargetMode="External"/><Relationship Id="rId878" Type="http://schemas.openxmlformats.org/officeDocument/2006/relationships/hyperlink" Target="http://commons.wikimedia.org/wiki/Special:FilePath/HugoVerriest.jpg" TargetMode="External"/><Relationship Id="rId873" Type="http://schemas.openxmlformats.org/officeDocument/2006/relationships/hyperlink" Target="http://www.wikidata.org/entity/Q981444" TargetMode="External"/><Relationship Id="rId872" Type="http://schemas.openxmlformats.org/officeDocument/2006/relationships/hyperlink" Target="http://commons.wikimedia.org/wiki/Special:FilePath/G%C3%A9rard%20van%20Caloen%20%28detail%29.jpg" TargetMode="External"/><Relationship Id="rId871" Type="http://schemas.openxmlformats.org/officeDocument/2006/relationships/hyperlink" Target="http://www.wikidata.org/entity/Q219477" TargetMode="External"/><Relationship Id="rId3401" Type="http://schemas.openxmlformats.org/officeDocument/2006/relationships/hyperlink" Target="http://www.wikidata.org/entity/Q250867" TargetMode="External"/><Relationship Id="rId870" Type="http://schemas.openxmlformats.org/officeDocument/2006/relationships/hyperlink" Target="http://www.wikidata.org/entity/Q2606766" TargetMode="External"/><Relationship Id="rId3400" Type="http://schemas.openxmlformats.org/officeDocument/2006/relationships/hyperlink" Target="http://www.wikidata.org/entity/Q5026719" TargetMode="External"/><Relationship Id="rId1653" Type="http://schemas.openxmlformats.org/officeDocument/2006/relationships/hyperlink" Target="http://www.wikidata.org/entity/Q955464" TargetMode="External"/><Relationship Id="rId2984" Type="http://schemas.openxmlformats.org/officeDocument/2006/relationships/hyperlink" Target="http://www.wikidata.org/entity/Q66095885" TargetMode="External"/><Relationship Id="rId1654" Type="http://schemas.openxmlformats.org/officeDocument/2006/relationships/hyperlink" Target="http://www.wikidata.org/entity/Q120472271" TargetMode="External"/><Relationship Id="rId2985" Type="http://schemas.openxmlformats.org/officeDocument/2006/relationships/hyperlink" Target="http://www.wikidata.org/entity/Q125491053" TargetMode="External"/><Relationship Id="rId1655" Type="http://schemas.openxmlformats.org/officeDocument/2006/relationships/hyperlink" Target="http://www.wikidata.org/entity/Q250867" TargetMode="External"/><Relationship Id="rId2986" Type="http://schemas.openxmlformats.org/officeDocument/2006/relationships/hyperlink" Target="http://www.wikidata.org/entity/Q16513769" TargetMode="External"/><Relationship Id="rId1656" Type="http://schemas.openxmlformats.org/officeDocument/2006/relationships/hyperlink" Target="http://www.wikidata.org/entity/Q117244596" TargetMode="External"/><Relationship Id="rId2987" Type="http://schemas.openxmlformats.org/officeDocument/2006/relationships/hyperlink" Target="http://www.wikidata.org/entity/Q117246781" TargetMode="External"/><Relationship Id="rId1657" Type="http://schemas.openxmlformats.org/officeDocument/2006/relationships/hyperlink" Target="http://www.wikidata.org/entity/Q37226" TargetMode="External"/><Relationship Id="rId2988" Type="http://schemas.openxmlformats.org/officeDocument/2006/relationships/hyperlink" Target="http://www.wikidata.org/entity/Q2229927" TargetMode="External"/><Relationship Id="rId1658" Type="http://schemas.openxmlformats.org/officeDocument/2006/relationships/hyperlink" Target="http://commons.wikimedia.org/wiki/Special:FilePath/Foto%20van%20Hortense%20Gezelle.jpg" TargetMode="External"/><Relationship Id="rId2989" Type="http://schemas.openxmlformats.org/officeDocument/2006/relationships/hyperlink" Target="http://www.wikidata.org/entity/Q122798023" TargetMode="External"/><Relationship Id="rId1659" Type="http://schemas.openxmlformats.org/officeDocument/2006/relationships/hyperlink" Target="http://www.wikidata.org/entity/Q115839360" TargetMode="External"/><Relationship Id="rId829" Type="http://schemas.openxmlformats.org/officeDocument/2006/relationships/hyperlink" Target="http://www.wikidata.org/entity/Q674426" TargetMode="External"/><Relationship Id="rId828" Type="http://schemas.openxmlformats.org/officeDocument/2006/relationships/hyperlink" Target="http://www.wikidata.org/entity/Q2413334" TargetMode="External"/><Relationship Id="rId827" Type="http://schemas.openxmlformats.org/officeDocument/2006/relationships/hyperlink" Target="http://commons.wikimedia.org/wiki/Special:FilePath/Jan%20Bols%2C%20borststuk%20door%20E.%20Fabronius.tif" TargetMode="External"/><Relationship Id="rId822" Type="http://schemas.openxmlformats.org/officeDocument/2006/relationships/hyperlink" Target="http://www.wikidata.org/entity/Q2413334" TargetMode="External"/><Relationship Id="rId821" Type="http://schemas.openxmlformats.org/officeDocument/2006/relationships/hyperlink" Target="http://www.wikidata.org/entity/Q1792450" TargetMode="External"/><Relationship Id="rId820" Type="http://schemas.openxmlformats.org/officeDocument/2006/relationships/hyperlink" Target="http://www.wikidata.org/entity/Q2672741" TargetMode="External"/><Relationship Id="rId826" Type="http://schemas.openxmlformats.org/officeDocument/2006/relationships/hyperlink" Target="http://www.wikidata.org/entity/Q2251335" TargetMode="External"/><Relationship Id="rId825" Type="http://schemas.openxmlformats.org/officeDocument/2006/relationships/hyperlink" Target="http://www.wikidata.org/entity/Q1920135" TargetMode="External"/><Relationship Id="rId824" Type="http://schemas.openxmlformats.org/officeDocument/2006/relationships/hyperlink" Target="http://commons.wikimedia.org/wiki/Special:FilePath/Max%20Rooses.jpg" TargetMode="External"/><Relationship Id="rId823" Type="http://schemas.openxmlformats.org/officeDocument/2006/relationships/hyperlink" Target="http://www.wikidata.org/entity/Q4263842" TargetMode="External"/><Relationship Id="rId2980" Type="http://schemas.openxmlformats.org/officeDocument/2006/relationships/hyperlink" Target="http://www.wikidata.org/entity/Q2251335" TargetMode="External"/><Relationship Id="rId1650" Type="http://schemas.openxmlformats.org/officeDocument/2006/relationships/hyperlink" Target="http://www.wikidata.org/entity/Q116621487" TargetMode="External"/><Relationship Id="rId2981" Type="http://schemas.openxmlformats.org/officeDocument/2006/relationships/hyperlink" Target="http://www.wikidata.org/entity/Q115980044" TargetMode="External"/><Relationship Id="rId1651" Type="http://schemas.openxmlformats.org/officeDocument/2006/relationships/hyperlink" Target="http://www.wikidata.org/entity/Q1162163" TargetMode="External"/><Relationship Id="rId2982" Type="http://schemas.openxmlformats.org/officeDocument/2006/relationships/hyperlink" Target="http://www.wikidata.org/entity/Q2251335" TargetMode="External"/><Relationship Id="rId1652" Type="http://schemas.openxmlformats.org/officeDocument/2006/relationships/hyperlink" Target="http://www.wikidata.org/entity/Q120472271" TargetMode="External"/><Relationship Id="rId2983" Type="http://schemas.openxmlformats.org/officeDocument/2006/relationships/hyperlink" Target="http://www.wikidata.org/entity/Q118732528" TargetMode="External"/><Relationship Id="rId1642" Type="http://schemas.openxmlformats.org/officeDocument/2006/relationships/hyperlink" Target="http://www.wikidata.org/entity/Q115839443" TargetMode="External"/><Relationship Id="rId2973" Type="http://schemas.openxmlformats.org/officeDocument/2006/relationships/hyperlink" Target="http://www.wikidata.org/entity/Q120489194" TargetMode="External"/><Relationship Id="rId1643" Type="http://schemas.openxmlformats.org/officeDocument/2006/relationships/hyperlink" Target="http://www.wikidata.org/entity/Q250867" TargetMode="External"/><Relationship Id="rId2974" Type="http://schemas.openxmlformats.org/officeDocument/2006/relationships/hyperlink" Target="http://www.wikidata.org/entity/Q1753370" TargetMode="External"/><Relationship Id="rId1644" Type="http://schemas.openxmlformats.org/officeDocument/2006/relationships/hyperlink" Target="http://www.wikidata.org/entity/Q115835605" TargetMode="External"/><Relationship Id="rId2975" Type="http://schemas.openxmlformats.org/officeDocument/2006/relationships/hyperlink" Target="http://www.wikidata.org/entity/Q120493880" TargetMode="External"/><Relationship Id="rId1645" Type="http://schemas.openxmlformats.org/officeDocument/2006/relationships/hyperlink" Target="http://www.wikidata.org/entity/Q2251335" TargetMode="External"/><Relationship Id="rId2976" Type="http://schemas.openxmlformats.org/officeDocument/2006/relationships/hyperlink" Target="http://www.wikidata.org/entity/Q641208" TargetMode="External"/><Relationship Id="rId1646" Type="http://schemas.openxmlformats.org/officeDocument/2006/relationships/hyperlink" Target="http://www.wikidata.org/entity/Q115839443" TargetMode="External"/><Relationship Id="rId2977" Type="http://schemas.openxmlformats.org/officeDocument/2006/relationships/hyperlink" Target="http://www.wikidata.org/entity/Q115980044" TargetMode="External"/><Relationship Id="rId1647" Type="http://schemas.openxmlformats.org/officeDocument/2006/relationships/hyperlink" Target="http://www.wikidata.org/entity/Q2251335" TargetMode="External"/><Relationship Id="rId2978" Type="http://schemas.openxmlformats.org/officeDocument/2006/relationships/hyperlink" Target="http://www.wikidata.org/entity/Q250867" TargetMode="External"/><Relationship Id="rId1648" Type="http://schemas.openxmlformats.org/officeDocument/2006/relationships/hyperlink" Target="http://www.wikidata.org/entity/Q115835605" TargetMode="External"/><Relationship Id="rId2979" Type="http://schemas.openxmlformats.org/officeDocument/2006/relationships/hyperlink" Target="http://www.wikidata.org/entity/Q115979048" TargetMode="External"/><Relationship Id="rId1649" Type="http://schemas.openxmlformats.org/officeDocument/2006/relationships/hyperlink" Target="http://www.wikidata.org/entity/Q1104153" TargetMode="External"/><Relationship Id="rId819" Type="http://schemas.openxmlformats.org/officeDocument/2006/relationships/hyperlink" Target="http://www.wikidata.org/entity/Q201788" TargetMode="External"/><Relationship Id="rId818" Type="http://schemas.openxmlformats.org/officeDocument/2006/relationships/hyperlink" Target="http://www.wikidata.org/entity/Q2672741" TargetMode="External"/><Relationship Id="rId817" Type="http://schemas.openxmlformats.org/officeDocument/2006/relationships/hyperlink" Target="http://www.wikidata.org/entity/Q82955" TargetMode="External"/><Relationship Id="rId816" Type="http://schemas.openxmlformats.org/officeDocument/2006/relationships/hyperlink" Target="http://www.wikidata.org/entity/Q2672741" TargetMode="External"/><Relationship Id="rId811" Type="http://schemas.openxmlformats.org/officeDocument/2006/relationships/hyperlink" Target="http://www.wikidata.org/entity/Q82955" TargetMode="External"/><Relationship Id="rId810" Type="http://schemas.openxmlformats.org/officeDocument/2006/relationships/hyperlink" Target="http://www.wikidata.org/entity/Q1920135" TargetMode="External"/><Relationship Id="rId815" Type="http://schemas.openxmlformats.org/officeDocument/2006/relationships/hyperlink" Target="http://commons.wikimedia.org/wiki/Special:FilePath/Josephus%20Alberdingk%20Thijm%20portret%20%281864-1889%29.png" TargetMode="External"/><Relationship Id="rId814" Type="http://schemas.openxmlformats.org/officeDocument/2006/relationships/hyperlink" Target="http://www.wikidata.org/entity/Q4164507" TargetMode="External"/><Relationship Id="rId813" Type="http://schemas.openxmlformats.org/officeDocument/2006/relationships/hyperlink" Target="http://www.wikidata.org/entity/Q1978794" TargetMode="External"/><Relationship Id="rId812" Type="http://schemas.openxmlformats.org/officeDocument/2006/relationships/hyperlink" Target="http://commons.wikimedia.org/wiki/Special:FilePath/Jan%20Bols%2C%20borststuk%20door%20E.%20Fabronius.tif" TargetMode="External"/><Relationship Id="rId2970" Type="http://schemas.openxmlformats.org/officeDocument/2006/relationships/hyperlink" Target="http://www.wikidata.org/entity/Q2516866" TargetMode="External"/><Relationship Id="rId1640" Type="http://schemas.openxmlformats.org/officeDocument/2006/relationships/hyperlink" Target="http://www.wikidata.org/entity/Q115839443" TargetMode="External"/><Relationship Id="rId2971" Type="http://schemas.openxmlformats.org/officeDocument/2006/relationships/hyperlink" Target="http://www.wikidata.org/entity/Q123399443" TargetMode="External"/><Relationship Id="rId1641" Type="http://schemas.openxmlformats.org/officeDocument/2006/relationships/hyperlink" Target="http://www.wikidata.org/entity/Q1056391" TargetMode="External"/><Relationship Id="rId2972" Type="http://schemas.openxmlformats.org/officeDocument/2006/relationships/hyperlink" Target="http://www.wikidata.org/entity/Q1776501" TargetMode="External"/><Relationship Id="rId1675" Type="http://schemas.openxmlformats.org/officeDocument/2006/relationships/hyperlink" Target="http://www.wikidata.org/entity/Q37226" TargetMode="External"/><Relationship Id="rId1676" Type="http://schemas.openxmlformats.org/officeDocument/2006/relationships/hyperlink" Target="http://www.wikidata.org/entity/Q116621828" TargetMode="External"/><Relationship Id="rId1677" Type="http://schemas.openxmlformats.org/officeDocument/2006/relationships/hyperlink" Target="http://www.wikidata.org/entity/Q3023339" TargetMode="External"/><Relationship Id="rId1678" Type="http://schemas.openxmlformats.org/officeDocument/2006/relationships/hyperlink" Target="http://www.wikidata.org/entity/Q115839443" TargetMode="External"/><Relationship Id="rId1679" Type="http://schemas.openxmlformats.org/officeDocument/2006/relationships/hyperlink" Target="http://www.wikidata.org/entity/Q1753370" TargetMode="External"/><Relationship Id="rId849" Type="http://schemas.openxmlformats.org/officeDocument/2006/relationships/hyperlink" Target="http://www.wikidata.org/entity/Q970036" TargetMode="External"/><Relationship Id="rId844" Type="http://schemas.openxmlformats.org/officeDocument/2006/relationships/hyperlink" Target="http://www.wikidata.org/entity/Q611644" TargetMode="External"/><Relationship Id="rId843" Type="http://schemas.openxmlformats.org/officeDocument/2006/relationships/hyperlink" Target="http://www.wikidata.org/entity/Q4865289" TargetMode="External"/><Relationship Id="rId842" Type="http://schemas.openxmlformats.org/officeDocument/2006/relationships/hyperlink" Target="http://commons.wikimedia.org/wiki/Special:FilePath/HugoVerriest.jpg" TargetMode="External"/><Relationship Id="rId841" Type="http://schemas.openxmlformats.org/officeDocument/2006/relationships/hyperlink" Target="http://www.wikidata.org/entity/Q1056391" TargetMode="External"/><Relationship Id="rId848" Type="http://schemas.openxmlformats.org/officeDocument/2006/relationships/hyperlink" Target="http://commons.wikimedia.org/wiki/Special:FilePath/Max%20Rooses.jpg" TargetMode="External"/><Relationship Id="rId847" Type="http://schemas.openxmlformats.org/officeDocument/2006/relationships/hyperlink" Target="http://www.wikidata.org/entity/Q1930187" TargetMode="External"/><Relationship Id="rId846" Type="http://schemas.openxmlformats.org/officeDocument/2006/relationships/hyperlink" Target="http://www.wikidata.org/entity/Q2413334" TargetMode="External"/><Relationship Id="rId845" Type="http://schemas.openxmlformats.org/officeDocument/2006/relationships/hyperlink" Target="http://commons.wikimedia.org/wiki/Special:FilePath/Bartholomew%20Woodlock%2C%20portrait.png" TargetMode="External"/><Relationship Id="rId1670" Type="http://schemas.openxmlformats.org/officeDocument/2006/relationships/hyperlink" Target="http://www.wikidata.org/entity/Q116621828" TargetMode="External"/><Relationship Id="rId840" Type="http://schemas.openxmlformats.org/officeDocument/2006/relationships/hyperlink" Target="http://www.wikidata.org/entity/Q981444" TargetMode="External"/><Relationship Id="rId1671" Type="http://schemas.openxmlformats.org/officeDocument/2006/relationships/hyperlink" Target="http://www.wikidata.org/entity/Q833860" TargetMode="External"/><Relationship Id="rId1672" Type="http://schemas.openxmlformats.org/officeDocument/2006/relationships/hyperlink" Target="http://www.wikidata.org/entity/Q116621487" TargetMode="External"/><Relationship Id="rId1673" Type="http://schemas.openxmlformats.org/officeDocument/2006/relationships/hyperlink" Target="http://www.wikidata.org/entity/Q191808" TargetMode="External"/><Relationship Id="rId1674" Type="http://schemas.openxmlformats.org/officeDocument/2006/relationships/hyperlink" Target="http://www.wikidata.org/entity/Q116687356" TargetMode="External"/><Relationship Id="rId1664" Type="http://schemas.openxmlformats.org/officeDocument/2006/relationships/hyperlink" Target="http://www.wikidata.org/entity/Q120472271" TargetMode="External"/><Relationship Id="rId2995" Type="http://schemas.openxmlformats.org/officeDocument/2006/relationships/hyperlink" Target="http://www.wikidata.org/entity/Q115980044" TargetMode="External"/><Relationship Id="rId1665" Type="http://schemas.openxmlformats.org/officeDocument/2006/relationships/hyperlink" Target="http://www.wikidata.org/entity/Q2251335" TargetMode="External"/><Relationship Id="rId2996" Type="http://schemas.openxmlformats.org/officeDocument/2006/relationships/hyperlink" Target="http://www.wikidata.org/entity/Q1657500" TargetMode="External"/><Relationship Id="rId1666" Type="http://schemas.openxmlformats.org/officeDocument/2006/relationships/hyperlink" Target="http://www.wikidata.org/entity/Q120472271" TargetMode="External"/><Relationship Id="rId2997" Type="http://schemas.openxmlformats.org/officeDocument/2006/relationships/hyperlink" Target="http://www.wikidata.org/entity/Q120999304" TargetMode="External"/><Relationship Id="rId1667" Type="http://schemas.openxmlformats.org/officeDocument/2006/relationships/hyperlink" Target="http://www.wikidata.org/entity/Q1104153" TargetMode="External"/><Relationship Id="rId2998" Type="http://schemas.openxmlformats.org/officeDocument/2006/relationships/hyperlink" Target="http://www.wikidata.org/entity/Q1056391" TargetMode="External"/><Relationship Id="rId1668" Type="http://schemas.openxmlformats.org/officeDocument/2006/relationships/hyperlink" Target="http://www.wikidata.org/entity/Q115835156" TargetMode="External"/><Relationship Id="rId2999" Type="http://schemas.openxmlformats.org/officeDocument/2006/relationships/hyperlink" Target="http://www.wikidata.org/entity/Q120999304" TargetMode="External"/><Relationship Id="rId1669" Type="http://schemas.openxmlformats.org/officeDocument/2006/relationships/hyperlink" Target="http://www.wikidata.org/entity/Q1753370" TargetMode="External"/><Relationship Id="rId839" Type="http://schemas.openxmlformats.org/officeDocument/2006/relationships/hyperlink" Target="http://commons.wikimedia.org/wiki/Special:FilePath/G%C3%A9rard%20van%20Caloen%20%28detail%29.jpg" TargetMode="External"/><Relationship Id="rId838" Type="http://schemas.openxmlformats.org/officeDocument/2006/relationships/hyperlink" Target="http://www.wikidata.org/entity/Q611644" TargetMode="External"/><Relationship Id="rId833" Type="http://schemas.openxmlformats.org/officeDocument/2006/relationships/hyperlink" Target="http://commons.wikimedia.org/wiki/Special:FilePath/Max%20Rooses.jpg" TargetMode="External"/><Relationship Id="rId832" Type="http://schemas.openxmlformats.org/officeDocument/2006/relationships/hyperlink" Target="http://www.wikidata.org/entity/Q118395622" TargetMode="External"/><Relationship Id="rId831" Type="http://schemas.openxmlformats.org/officeDocument/2006/relationships/hyperlink" Target="http://www.wikidata.org/entity/Q2413334" TargetMode="External"/><Relationship Id="rId830" Type="http://schemas.openxmlformats.org/officeDocument/2006/relationships/hyperlink" Target="http://commons.wikimedia.org/wiki/Special:FilePath/Max%20Rooses.jpg" TargetMode="External"/><Relationship Id="rId837" Type="http://schemas.openxmlformats.org/officeDocument/2006/relationships/hyperlink" Target="http://www.wikidata.org/entity/Q2606766" TargetMode="External"/><Relationship Id="rId836" Type="http://schemas.openxmlformats.org/officeDocument/2006/relationships/hyperlink" Target="http://commons.wikimedia.org/wiki/Special:FilePath/Theophiel%20Coopman%20%281852-1915%29.jpg" TargetMode="External"/><Relationship Id="rId835" Type="http://schemas.openxmlformats.org/officeDocument/2006/relationships/hyperlink" Target="http://www.wikidata.org/entity/Q49757" TargetMode="External"/><Relationship Id="rId834" Type="http://schemas.openxmlformats.org/officeDocument/2006/relationships/hyperlink" Target="http://www.wikidata.org/entity/Q719358" TargetMode="External"/><Relationship Id="rId2990" Type="http://schemas.openxmlformats.org/officeDocument/2006/relationships/hyperlink" Target="http://www.wikidata.org/entity/Q7316604" TargetMode="External"/><Relationship Id="rId1660" Type="http://schemas.openxmlformats.org/officeDocument/2006/relationships/hyperlink" Target="http://www.wikidata.org/entity/Q2251335" TargetMode="External"/><Relationship Id="rId2991" Type="http://schemas.openxmlformats.org/officeDocument/2006/relationships/hyperlink" Target="http://www.wikidata.org/entity/Q125351679" TargetMode="External"/><Relationship Id="rId1661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2992" Type="http://schemas.openxmlformats.org/officeDocument/2006/relationships/hyperlink" Target="http://www.wikidata.org/entity/Q66095885" TargetMode="External"/><Relationship Id="rId1662" Type="http://schemas.openxmlformats.org/officeDocument/2006/relationships/hyperlink" Target="http://www.wikidata.org/entity/Q120472271" TargetMode="External"/><Relationship Id="rId2993" Type="http://schemas.openxmlformats.org/officeDocument/2006/relationships/hyperlink" Target="http://www.wikidata.org/entity/Q123416923" TargetMode="External"/><Relationship Id="rId1663" Type="http://schemas.openxmlformats.org/officeDocument/2006/relationships/hyperlink" Target="http://www.wikidata.org/entity/Q242468" TargetMode="External"/><Relationship Id="rId2994" Type="http://schemas.openxmlformats.org/officeDocument/2006/relationships/hyperlink" Target="http://www.wikidata.org/entity/Q191808" TargetMode="External"/><Relationship Id="rId2148" Type="http://schemas.openxmlformats.org/officeDocument/2006/relationships/hyperlink" Target="http://commons.wikimedia.org/wiki/Special:FilePath/Hendrik%20Pickery%20gedenkteken%20R03.jpg" TargetMode="External"/><Relationship Id="rId2149" Type="http://schemas.openxmlformats.org/officeDocument/2006/relationships/hyperlink" Target="http://www.wikidata.org/entity/Q7190386" TargetMode="External"/><Relationship Id="rId3479" Type="http://schemas.openxmlformats.org/officeDocument/2006/relationships/hyperlink" Target="http://www.wikidata.org/entity/Q2251335" TargetMode="External"/><Relationship Id="rId3470" Type="http://schemas.openxmlformats.org/officeDocument/2006/relationships/hyperlink" Target="http://www.wikidata.org/entity/Q1028181" TargetMode="External"/><Relationship Id="rId2140" Type="http://schemas.openxmlformats.org/officeDocument/2006/relationships/hyperlink" Target="http://www.wikidata.org/entity/Q36180" TargetMode="External"/><Relationship Id="rId3472" Type="http://schemas.openxmlformats.org/officeDocument/2006/relationships/hyperlink" Target="http://www.wikidata.org/entity/Q115806424" TargetMode="External"/><Relationship Id="rId2141" Type="http://schemas.openxmlformats.org/officeDocument/2006/relationships/hyperlink" Target="http://www.wikidata.org/entity/Q2539969" TargetMode="External"/><Relationship Id="rId3471" Type="http://schemas.openxmlformats.org/officeDocument/2006/relationships/hyperlink" Target="http://commons.wikimedia.org/wiki/Special:FilePath/Pol%20de%20Mont%201896.jpg" TargetMode="External"/><Relationship Id="rId2142" Type="http://schemas.openxmlformats.org/officeDocument/2006/relationships/hyperlink" Target="http://www.wikidata.org/entity/Q2516866" TargetMode="External"/><Relationship Id="rId3474" Type="http://schemas.openxmlformats.org/officeDocument/2006/relationships/hyperlink" Target="http://www.wikidata.org/entity/Q115806424" TargetMode="External"/><Relationship Id="rId2143" Type="http://schemas.openxmlformats.org/officeDocument/2006/relationships/hyperlink" Target="http://commons.wikimedia.org/wiki/Special:FilePath/Alfons%20Siffer%201850-1941.jpg" TargetMode="External"/><Relationship Id="rId3473" Type="http://schemas.openxmlformats.org/officeDocument/2006/relationships/hyperlink" Target="http://www.wikidata.org/entity/Q955464" TargetMode="External"/><Relationship Id="rId2144" Type="http://schemas.openxmlformats.org/officeDocument/2006/relationships/hyperlink" Target="http://www.wikidata.org/entity/Q7190386" TargetMode="External"/><Relationship Id="rId3476" Type="http://schemas.openxmlformats.org/officeDocument/2006/relationships/hyperlink" Target="http://www.wikidata.org/entity/Q115806424" TargetMode="External"/><Relationship Id="rId2145" Type="http://schemas.openxmlformats.org/officeDocument/2006/relationships/hyperlink" Target="http://www.wikidata.org/entity/Q955464" TargetMode="External"/><Relationship Id="rId3475" Type="http://schemas.openxmlformats.org/officeDocument/2006/relationships/hyperlink" Target="http://www.wikidata.org/entity/Q1056391" TargetMode="External"/><Relationship Id="rId2146" Type="http://schemas.openxmlformats.org/officeDocument/2006/relationships/hyperlink" Target="http://www.wikidata.org/entity/Q11029222" TargetMode="External"/><Relationship Id="rId3478" Type="http://schemas.openxmlformats.org/officeDocument/2006/relationships/hyperlink" Target="http://www.wikidata.org/entity/Q115813555" TargetMode="External"/><Relationship Id="rId2147" Type="http://schemas.openxmlformats.org/officeDocument/2006/relationships/hyperlink" Target="http://www.wikidata.org/entity/Q3391743" TargetMode="External"/><Relationship Id="rId3477" Type="http://schemas.openxmlformats.org/officeDocument/2006/relationships/hyperlink" Target="http://www.wikidata.org/entity/Q250867" TargetMode="External"/><Relationship Id="rId2137" Type="http://schemas.openxmlformats.org/officeDocument/2006/relationships/hyperlink" Target="http://www.wikidata.org/entity/Q333634" TargetMode="External"/><Relationship Id="rId3469" Type="http://schemas.openxmlformats.org/officeDocument/2006/relationships/hyperlink" Target="http://www.wikidata.org/entity/Q3515115" TargetMode="External"/><Relationship Id="rId2138" Type="http://schemas.openxmlformats.org/officeDocument/2006/relationships/hyperlink" Target="http://commons.wikimedia.org/wiki/Special:FilePath/Emiel%20Lauwers%20-%20Kortrijk%20-%20Belgi%C3%AB.jpg" TargetMode="External"/><Relationship Id="rId3468" Type="http://schemas.openxmlformats.org/officeDocument/2006/relationships/hyperlink" Target="http://commons.wikimedia.org/wiki/Special:FilePath/Pol%20de%20Mont%201896.jpg" TargetMode="External"/><Relationship Id="rId2139" Type="http://schemas.openxmlformats.org/officeDocument/2006/relationships/hyperlink" Target="http://www.wikidata.org/entity/Q55420570" TargetMode="External"/><Relationship Id="rId3461" Type="http://schemas.openxmlformats.org/officeDocument/2006/relationships/hyperlink" Target="http://www.wikidata.org/entity/Q2050293" TargetMode="External"/><Relationship Id="rId2130" Type="http://schemas.openxmlformats.org/officeDocument/2006/relationships/hyperlink" Target="http://commons.wikimedia.org/wiki/Special:FilePath/Emiel%20Lauwers%20-%20Kortrijk%20-%20Belgi%C3%AB.jpg" TargetMode="External"/><Relationship Id="rId3460" Type="http://schemas.openxmlformats.org/officeDocument/2006/relationships/hyperlink" Target="http://commons.wikimedia.org/wiki/Special:FilePath/Pol%20de%20Mont%201896.jpg" TargetMode="External"/><Relationship Id="rId2131" Type="http://schemas.openxmlformats.org/officeDocument/2006/relationships/hyperlink" Target="http://www.wikidata.org/entity/Q970833" TargetMode="External"/><Relationship Id="rId3463" Type="http://schemas.openxmlformats.org/officeDocument/2006/relationships/hyperlink" Target="http://www.wikidata.org/entity/Q2203619" TargetMode="External"/><Relationship Id="rId2132" Type="http://schemas.openxmlformats.org/officeDocument/2006/relationships/hyperlink" Target="http://www.wikidata.org/entity/Q2251335" TargetMode="External"/><Relationship Id="rId3462" Type="http://schemas.openxmlformats.org/officeDocument/2006/relationships/hyperlink" Target="http://www.wikidata.org/entity/Q36180" TargetMode="External"/><Relationship Id="rId2133" Type="http://schemas.openxmlformats.org/officeDocument/2006/relationships/hyperlink" Target="http://commons.wikimedia.org/wiki/Special:FilePath/KarelFransStallaert.jpg" TargetMode="External"/><Relationship Id="rId3465" Type="http://schemas.openxmlformats.org/officeDocument/2006/relationships/hyperlink" Target="http://commons.wikimedia.org/wiki/Special:FilePath/Canon%20Camille%20Looten.jpg" TargetMode="External"/><Relationship Id="rId2134" Type="http://schemas.openxmlformats.org/officeDocument/2006/relationships/hyperlink" Target="http://www.wikidata.org/entity/Q43140929" TargetMode="External"/><Relationship Id="rId3464" Type="http://schemas.openxmlformats.org/officeDocument/2006/relationships/hyperlink" Target="http://www.wikidata.org/entity/Q250867" TargetMode="External"/><Relationship Id="rId2135" Type="http://schemas.openxmlformats.org/officeDocument/2006/relationships/hyperlink" Target="http://www.wikidata.org/entity/Q40348" TargetMode="External"/><Relationship Id="rId3467" Type="http://schemas.openxmlformats.org/officeDocument/2006/relationships/hyperlink" Target="http://www.wikidata.org/entity/Q1930187" TargetMode="External"/><Relationship Id="rId2136" Type="http://schemas.openxmlformats.org/officeDocument/2006/relationships/hyperlink" Target="http://www.wikidata.org/entity/Q2183646" TargetMode="External"/><Relationship Id="rId3466" Type="http://schemas.openxmlformats.org/officeDocument/2006/relationships/hyperlink" Target="http://www.wikidata.org/entity/Q3515115" TargetMode="External"/><Relationship Id="rId3490" Type="http://schemas.openxmlformats.org/officeDocument/2006/relationships/hyperlink" Target="http://www.wikidata.org/entity/Q110039191" TargetMode="External"/><Relationship Id="rId2160" Type="http://schemas.openxmlformats.org/officeDocument/2006/relationships/hyperlink" Target="http://www.wikidata.org/entity/Q2154331" TargetMode="External"/><Relationship Id="rId3492" Type="http://schemas.openxmlformats.org/officeDocument/2006/relationships/hyperlink" Target="http://www.wikidata.org/entity/Q110039191" TargetMode="External"/><Relationship Id="rId2161" Type="http://schemas.openxmlformats.org/officeDocument/2006/relationships/hyperlink" Target="http://www.wikidata.org/entity/Q1162163" TargetMode="External"/><Relationship Id="rId3491" Type="http://schemas.openxmlformats.org/officeDocument/2006/relationships/hyperlink" Target="http://www.wikidata.org/entity/Q2251335" TargetMode="External"/><Relationship Id="rId2162" Type="http://schemas.openxmlformats.org/officeDocument/2006/relationships/hyperlink" Target="http://www.wikidata.org/entity/Q2154331" TargetMode="External"/><Relationship Id="rId3494" Type="http://schemas.openxmlformats.org/officeDocument/2006/relationships/hyperlink" Target="http://www.wikidata.org/entity/Q111336261" TargetMode="External"/><Relationship Id="rId2163" Type="http://schemas.openxmlformats.org/officeDocument/2006/relationships/hyperlink" Target="http://www.wikidata.org/entity/Q250867" TargetMode="External"/><Relationship Id="rId3493" Type="http://schemas.openxmlformats.org/officeDocument/2006/relationships/hyperlink" Target="http://www.wikidata.org/entity/Q1657500" TargetMode="External"/><Relationship Id="rId2164" Type="http://schemas.openxmlformats.org/officeDocument/2006/relationships/hyperlink" Target="http://www.wikidata.org/entity/Q2154331" TargetMode="External"/><Relationship Id="rId3496" Type="http://schemas.openxmlformats.org/officeDocument/2006/relationships/hyperlink" Target="http://www.wikidata.org/entity/Q111336261" TargetMode="External"/><Relationship Id="rId2165" Type="http://schemas.openxmlformats.org/officeDocument/2006/relationships/hyperlink" Target="http://www.wikidata.org/entity/Q2251335" TargetMode="External"/><Relationship Id="rId3495" Type="http://schemas.openxmlformats.org/officeDocument/2006/relationships/hyperlink" Target="http://www.wikidata.org/entity/Q175151" TargetMode="External"/><Relationship Id="rId2166" Type="http://schemas.openxmlformats.org/officeDocument/2006/relationships/hyperlink" Target="http://www.wikidata.org/entity/Q2215154" TargetMode="External"/><Relationship Id="rId3498" Type="http://schemas.openxmlformats.org/officeDocument/2006/relationships/hyperlink" Target="http://www.wikidata.org/entity/Q111336261" TargetMode="External"/><Relationship Id="rId2167" Type="http://schemas.openxmlformats.org/officeDocument/2006/relationships/hyperlink" Target="http://www.wikidata.org/entity/Q955464" TargetMode="External"/><Relationship Id="rId3497" Type="http://schemas.openxmlformats.org/officeDocument/2006/relationships/hyperlink" Target="http://www.wikidata.org/entity/Q3391743" TargetMode="External"/><Relationship Id="rId2168" Type="http://schemas.openxmlformats.org/officeDocument/2006/relationships/hyperlink" Target="http://www.wikidata.org/entity/Q2215154" TargetMode="External"/><Relationship Id="rId2169" Type="http://schemas.openxmlformats.org/officeDocument/2006/relationships/hyperlink" Target="http://www.wikidata.org/entity/Q822146" TargetMode="External"/><Relationship Id="rId3499" Type="http://schemas.openxmlformats.org/officeDocument/2006/relationships/hyperlink" Target="http://www.wikidata.org/entity/Q16947657" TargetMode="External"/><Relationship Id="rId2159" Type="http://schemas.openxmlformats.org/officeDocument/2006/relationships/hyperlink" Target="http://www.wikidata.org/entity/Q82955" TargetMode="External"/><Relationship Id="rId3481" Type="http://schemas.openxmlformats.org/officeDocument/2006/relationships/hyperlink" Target="http://www.wikidata.org/entity/Q2251335" TargetMode="External"/><Relationship Id="rId2150" Type="http://schemas.openxmlformats.org/officeDocument/2006/relationships/hyperlink" Target="http://www.wikidata.org/entity/Q1622272" TargetMode="External"/><Relationship Id="rId3480" Type="http://schemas.openxmlformats.org/officeDocument/2006/relationships/hyperlink" Target="http://www.wikidata.org/entity/Q115806424" TargetMode="External"/><Relationship Id="rId2151" Type="http://schemas.openxmlformats.org/officeDocument/2006/relationships/hyperlink" Target="http://www.wikidata.org/entity/Q7190386" TargetMode="External"/><Relationship Id="rId3483" Type="http://schemas.openxmlformats.org/officeDocument/2006/relationships/hyperlink" Target="http://www.wikidata.org/entity/Q955464" TargetMode="External"/><Relationship Id="rId2152" Type="http://schemas.openxmlformats.org/officeDocument/2006/relationships/hyperlink" Target="http://www.wikidata.org/entity/Q1234713" TargetMode="External"/><Relationship Id="rId3482" Type="http://schemas.openxmlformats.org/officeDocument/2006/relationships/hyperlink" Target="http://www.wikidata.org/entity/Q110039191" TargetMode="External"/><Relationship Id="rId2153" Type="http://schemas.openxmlformats.org/officeDocument/2006/relationships/hyperlink" Target="http://www.wikidata.org/entity/Q3080591" TargetMode="External"/><Relationship Id="rId3485" Type="http://schemas.openxmlformats.org/officeDocument/2006/relationships/hyperlink" Target="http://www.wikidata.org/entity/Q1162163" TargetMode="External"/><Relationship Id="rId2154" Type="http://schemas.openxmlformats.org/officeDocument/2006/relationships/hyperlink" Target="http://www.wikidata.org/entity/Q40348" TargetMode="External"/><Relationship Id="rId3484" Type="http://schemas.openxmlformats.org/officeDocument/2006/relationships/hyperlink" Target="http://www.wikidata.org/entity/Q110039191" TargetMode="External"/><Relationship Id="rId2155" Type="http://schemas.openxmlformats.org/officeDocument/2006/relationships/hyperlink" Target="http://www.wikidata.org/entity/Q970833" TargetMode="External"/><Relationship Id="rId3487" Type="http://schemas.openxmlformats.org/officeDocument/2006/relationships/hyperlink" Target="http://www.wikidata.org/entity/Q1958649" TargetMode="External"/><Relationship Id="rId2156" Type="http://schemas.openxmlformats.org/officeDocument/2006/relationships/hyperlink" Target="http://www.wikidata.org/entity/Q635734" TargetMode="External"/><Relationship Id="rId3486" Type="http://schemas.openxmlformats.org/officeDocument/2006/relationships/hyperlink" Target="http://www.wikidata.org/entity/Q115813555" TargetMode="External"/><Relationship Id="rId2157" Type="http://schemas.openxmlformats.org/officeDocument/2006/relationships/hyperlink" Target="http://commons.wikimedia.org/wiki/Special:FilePath/KarelFransStallaert.jpg" TargetMode="External"/><Relationship Id="rId3489" Type="http://schemas.openxmlformats.org/officeDocument/2006/relationships/hyperlink" Target="http://www.wikidata.org/entity/Q250867" TargetMode="External"/><Relationship Id="rId2158" Type="http://schemas.openxmlformats.org/officeDocument/2006/relationships/hyperlink" Target="http://www.wikidata.org/entity/Q2154331" TargetMode="External"/><Relationship Id="rId3488" Type="http://schemas.openxmlformats.org/officeDocument/2006/relationships/hyperlink" Target="http://www.wikidata.org/entity/Q110039191" TargetMode="External"/><Relationship Id="rId2104" Type="http://schemas.openxmlformats.org/officeDocument/2006/relationships/hyperlink" Target="http://www.wikidata.org/entity/Q13576607" TargetMode="External"/><Relationship Id="rId3436" Type="http://schemas.openxmlformats.org/officeDocument/2006/relationships/hyperlink" Target="http://www.wikidata.org/entity/Q2251335" TargetMode="External"/><Relationship Id="rId2105" Type="http://schemas.openxmlformats.org/officeDocument/2006/relationships/hyperlink" Target="http://www.wikidata.org/entity/Q1753370" TargetMode="External"/><Relationship Id="rId3435" Type="http://schemas.openxmlformats.org/officeDocument/2006/relationships/hyperlink" Target="http://www.wikidata.org/entity/Q975292" TargetMode="External"/><Relationship Id="rId2106" Type="http://schemas.openxmlformats.org/officeDocument/2006/relationships/hyperlink" Target="http://www.wikidata.org/entity/Q2490990" TargetMode="External"/><Relationship Id="rId3438" Type="http://schemas.openxmlformats.org/officeDocument/2006/relationships/hyperlink" Target="http://www.wikidata.org/entity/Q2163210" TargetMode="External"/><Relationship Id="rId2107" Type="http://schemas.openxmlformats.org/officeDocument/2006/relationships/hyperlink" Target="http://www.wikidata.org/entity/Q40348" TargetMode="External"/><Relationship Id="rId3437" Type="http://schemas.openxmlformats.org/officeDocument/2006/relationships/hyperlink" Target="http://commons.wikimedia.org/wiki/Special:FilePath/Jan%20Van%20Beers.jpg" TargetMode="External"/><Relationship Id="rId2108" Type="http://schemas.openxmlformats.org/officeDocument/2006/relationships/hyperlink" Target="http://commons.wikimedia.org/wiki/Special:FilePath/Kortrijk%20Astridpark-11.JPG" TargetMode="External"/><Relationship Id="rId2109" Type="http://schemas.openxmlformats.org/officeDocument/2006/relationships/hyperlink" Target="http://www.wikidata.org/entity/Q2332586" TargetMode="External"/><Relationship Id="rId3439" Type="http://schemas.openxmlformats.org/officeDocument/2006/relationships/hyperlink" Target="http://www.wikidata.org/entity/Q36180" TargetMode="External"/><Relationship Id="rId3430" Type="http://schemas.openxmlformats.org/officeDocument/2006/relationships/hyperlink" Target="http://www.wikidata.org/entity/Q2251335" TargetMode="External"/><Relationship Id="rId2100" Type="http://schemas.openxmlformats.org/officeDocument/2006/relationships/hyperlink" Target="http://www.wikidata.org/entity/Q2627945" TargetMode="External"/><Relationship Id="rId3432" Type="http://schemas.openxmlformats.org/officeDocument/2006/relationships/hyperlink" Target="http://www.wikidata.org/entity/Q15956" TargetMode="External"/><Relationship Id="rId2101" Type="http://schemas.openxmlformats.org/officeDocument/2006/relationships/hyperlink" Target="http://www.wikidata.org/entity/Q2251335" TargetMode="External"/><Relationship Id="rId3431" Type="http://schemas.openxmlformats.org/officeDocument/2006/relationships/hyperlink" Target="http://commons.wikimedia.org/wiki/Special:FilePath/Pol%20de%20Mont%201896.jpg" TargetMode="External"/><Relationship Id="rId2102" Type="http://schemas.openxmlformats.org/officeDocument/2006/relationships/hyperlink" Target="http://www.wikidata.org/entity/Q43129301" TargetMode="External"/><Relationship Id="rId3434" Type="http://schemas.openxmlformats.org/officeDocument/2006/relationships/hyperlink" Target="http://commons.wikimedia.org/wiki/Special:FilePath/Frans%20Schollaert.jpg" TargetMode="External"/><Relationship Id="rId2103" Type="http://schemas.openxmlformats.org/officeDocument/2006/relationships/hyperlink" Target="http://www.wikidata.org/entity/Q42603" TargetMode="External"/><Relationship Id="rId3433" Type="http://schemas.openxmlformats.org/officeDocument/2006/relationships/hyperlink" Target="http://www.wikidata.org/entity/Q82955" TargetMode="External"/><Relationship Id="rId3425" Type="http://schemas.openxmlformats.org/officeDocument/2006/relationships/hyperlink" Target="http://www.wikidata.org/entity/Q1753370" TargetMode="External"/><Relationship Id="rId3424" Type="http://schemas.openxmlformats.org/officeDocument/2006/relationships/hyperlink" Target="http://www.wikidata.org/entity/Q2658862" TargetMode="External"/><Relationship Id="rId3427" Type="http://schemas.openxmlformats.org/officeDocument/2006/relationships/hyperlink" Target="http://www.wikidata.org/entity/Q182436" TargetMode="External"/><Relationship Id="rId3426" Type="http://schemas.openxmlformats.org/officeDocument/2006/relationships/hyperlink" Target="http://www.wikidata.org/entity/Q975292" TargetMode="External"/><Relationship Id="rId3429" Type="http://schemas.openxmlformats.org/officeDocument/2006/relationships/hyperlink" Target="http://www.wikidata.org/entity/Q3515115" TargetMode="External"/><Relationship Id="rId3428" Type="http://schemas.openxmlformats.org/officeDocument/2006/relationships/hyperlink" Target="http://commons.wikimedia.org/wiki/Special:FilePath/Jan%20Van%20Beers.jpg" TargetMode="External"/><Relationship Id="rId899" Type="http://schemas.openxmlformats.org/officeDocument/2006/relationships/hyperlink" Target="http://www.wikidata.org/entity/Q1920135" TargetMode="External"/><Relationship Id="rId898" Type="http://schemas.openxmlformats.org/officeDocument/2006/relationships/hyperlink" Target="http://commons.wikimedia.org/wiki/Special:FilePath/Bartholomew%20Woodlock%2C%20portrait.png" TargetMode="External"/><Relationship Id="rId897" Type="http://schemas.openxmlformats.org/officeDocument/2006/relationships/hyperlink" Target="http://www.wikidata.org/entity/Q250867" TargetMode="External"/><Relationship Id="rId896" Type="http://schemas.openxmlformats.org/officeDocument/2006/relationships/hyperlink" Target="http://www.wikidata.org/entity/Q4865289" TargetMode="External"/><Relationship Id="rId891" Type="http://schemas.openxmlformats.org/officeDocument/2006/relationships/hyperlink" Target="http://www.wikidata.org/entity/Q1056391" TargetMode="External"/><Relationship Id="rId890" Type="http://schemas.openxmlformats.org/officeDocument/2006/relationships/hyperlink" Target="http://www.wikidata.org/entity/Q2606766" TargetMode="External"/><Relationship Id="rId895" Type="http://schemas.openxmlformats.org/officeDocument/2006/relationships/hyperlink" Target="http://commons.wikimedia.org/wiki/Special:FilePath/G%C3%A9rard%20van%20Caloen%20%28detail%29.jpg" TargetMode="External"/><Relationship Id="rId3421" Type="http://schemas.openxmlformats.org/officeDocument/2006/relationships/hyperlink" Target="http://www.wikidata.org/entity/Q3515115" TargetMode="External"/><Relationship Id="rId894" Type="http://schemas.openxmlformats.org/officeDocument/2006/relationships/hyperlink" Target="http://www.wikidata.org/entity/Q250867" TargetMode="External"/><Relationship Id="rId3420" Type="http://schemas.openxmlformats.org/officeDocument/2006/relationships/hyperlink" Target="http://www.wikidata.org/entity/Q208762" TargetMode="External"/><Relationship Id="rId893" Type="http://schemas.openxmlformats.org/officeDocument/2006/relationships/hyperlink" Target="http://www.wikidata.org/entity/Q2606766" TargetMode="External"/><Relationship Id="rId3423" Type="http://schemas.openxmlformats.org/officeDocument/2006/relationships/hyperlink" Target="http://commons.wikimedia.org/wiki/Special:FilePath/Pol%20de%20Mont%201896.jpg" TargetMode="External"/><Relationship Id="rId892" Type="http://schemas.openxmlformats.org/officeDocument/2006/relationships/hyperlink" Target="http://commons.wikimedia.org/wiki/Special:FilePath/G%C3%A9rard%20van%20Caloen%20%28detail%29.jpg" TargetMode="External"/><Relationship Id="rId3422" Type="http://schemas.openxmlformats.org/officeDocument/2006/relationships/hyperlink" Target="http://www.wikidata.org/entity/Q82955" TargetMode="External"/><Relationship Id="rId2126" Type="http://schemas.openxmlformats.org/officeDocument/2006/relationships/hyperlink" Target="http://www.wikidata.org/entity/Q2627945" TargetMode="External"/><Relationship Id="rId3458" Type="http://schemas.openxmlformats.org/officeDocument/2006/relationships/hyperlink" Target="http://www.wikidata.org/entity/Q3515115" TargetMode="External"/><Relationship Id="rId2127" Type="http://schemas.openxmlformats.org/officeDocument/2006/relationships/hyperlink" Target="http://www.wikidata.org/entity/Q3075052" TargetMode="External"/><Relationship Id="rId3457" Type="http://schemas.openxmlformats.org/officeDocument/2006/relationships/hyperlink" Target="http://commons.wikimedia.org/wiki/Special:FilePath/Pol%20de%20Mont%201896.jpg" TargetMode="External"/><Relationship Id="rId2128" Type="http://schemas.openxmlformats.org/officeDocument/2006/relationships/hyperlink" Target="http://www.wikidata.org/entity/Q2183646" TargetMode="External"/><Relationship Id="rId2129" Type="http://schemas.openxmlformats.org/officeDocument/2006/relationships/hyperlink" Target="http://www.wikidata.org/entity/Q82955" TargetMode="External"/><Relationship Id="rId3459" Type="http://schemas.openxmlformats.org/officeDocument/2006/relationships/hyperlink" Target="http://www.wikidata.org/entity/Q674426" TargetMode="External"/><Relationship Id="rId3450" Type="http://schemas.openxmlformats.org/officeDocument/2006/relationships/hyperlink" Target="http://www.wikidata.org/entity/Q1234713" TargetMode="External"/><Relationship Id="rId2120" Type="http://schemas.openxmlformats.org/officeDocument/2006/relationships/hyperlink" Target="http://www.wikidata.org/entity/Q2546317" TargetMode="External"/><Relationship Id="rId3452" Type="http://schemas.openxmlformats.org/officeDocument/2006/relationships/hyperlink" Target="http://www.wikidata.org/entity/Q2524668" TargetMode="External"/><Relationship Id="rId2121" Type="http://schemas.openxmlformats.org/officeDocument/2006/relationships/hyperlink" Target="http://www.wikidata.org/entity/Q36180" TargetMode="External"/><Relationship Id="rId3451" Type="http://schemas.openxmlformats.org/officeDocument/2006/relationships/hyperlink" Target="http://commons.wikimedia.org/wiki/Special:FilePath/Amaat%20Joos.jpg" TargetMode="External"/><Relationship Id="rId2122" Type="http://schemas.openxmlformats.org/officeDocument/2006/relationships/hyperlink" Target="http://commons.wikimedia.org/wiki/Special:FilePath/Eugeen%20van%20Oye%20-%20Statue%20in%20Gistel.jpg" TargetMode="External"/><Relationship Id="rId3454" Type="http://schemas.openxmlformats.org/officeDocument/2006/relationships/hyperlink" Target="http://commons.wikimedia.org/wiki/Special:FilePath/Adolf%20Duclos001.jpg" TargetMode="External"/><Relationship Id="rId2123" Type="http://schemas.openxmlformats.org/officeDocument/2006/relationships/hyperlink" Target="http://www.wikidata.org/entity/Q2546317" TargetMode="External"/><Relationship Id="rId3453" Type="http://schemas.openxmlformats.org/officeDocument/2006/relationships/hyperlink" Target="http://www.wikidata.org/entity/Q1958649" TargetMode="External"/><Relationship Id="rId2124" Type="http://schemas.openxmlformats.org/officeDocument/2006/relationships/hyperlink" Target="http://www.wikidata.org/entity/Q49757" TargetMode="External"/><Relationship Id="rId3456" Type="http://schemas.openxmlformats.org/officeDocument/2006/relationships/hyperlink" Target="http://www.wikidata.org/entity/Q589298" TargetMode="External"/><Relationship Id="rId2125" Type="http://schemas.openxmlformats.org/officeDocument/2006/relationships/hyperlink" Target="http://commons.wikimedia.org/wiki/Special:FilePath/Eugeen%20van%20Oye%20-%20Statue%20in%20Gistel.jpg" TargetMode="External"/><Relationship Id="rId3455" Type="http://schemas.openxmlformats.org/officeDocument/2006/relationships/hyperlink" Target="http://www.wikidata.org/entity/Q3515115" TargetMode="External"/><Relationship Id="rId2115" Type="http://schemas.openxmlformats.org/officeDocument/2006/relationships/hyperlink" Target="http://www.wikidata.org/entity/Q2266893" TargetMode="External"/><Relationship Id="rId3447" Type="http://schemas.openxmlformats.org/officeDocument/2006/relationships/hyperlink" Target="http://www.wikidata.org/entity/Q3391743" TargetMode="External"/><Relationship Id="rId2116" Type="http://schemas.openxmlformats.org/officeDocument/2006/relationships/hyperlink" Target="http://www.wikidata.org/entity/Q49757" TargetMode="External"/><Relationship Id="rId3446" Type="http://schemas.openxmlformats.org/officeDocument/2006/relationships/hyperlink" Target="http://www.wikidata.org/entity/Q2677198" TargetMode="External"/><Relationship Id="rId2117" Type="http://schemas.openxmlformats.org/officeDocument/2006/relationships/hyperlink" Target="http://www.wikidata.org/entity/Q2546317" TargetMode="External"/><Relationship Id="rId3449" Type="http://schemas.openxmlformats.org/officeDocument/2006/relationships/hyperlink" Target="http://www.wikidata.org/entity/Q2099446" TargetMode="External"/><Relationship Id="rId2118" Type="http://schemas.openxmlformats.org/officeDocument/2006/relationships/hyperlink" Target="http://www.wikidata.org/entity/Q39631" TargetMode="External"/><Relationship Id="rId3448" Type="http://schemas.openxmlformats.org/officeDocument/2006/relationships/hyperlink" Target="http://commons.wikimedia.org/wiki/Special:FilePath/Jules%20Lagae%20%281862-1931%29.jpg" TargetMode="External"/><Relationship Id="rId2119" Type="http://schemas.openxmlformats.org/officeDocument/2006/relationships/hyperlink" Target="http://commons.wikimedia.org/wiki/Special:FilePath/Eugeen%20van%20Oye%20-%20Statue%20in%20Gistel.jpg" TargetMode="External"/><Relationship Id="rId3441" Type="http://schemas.openxmlformats.org/officeDocument/2006/relationships/hyperlink" Target="http://www.wikidata.org/entity/Q82955" TargetMode="External"/><Relationship Id="rId2110" Type="http://schemas.openxmlformats.org/officeDocument/2006/relationships/hyperlink" Target="http://www.wikidata.org/entity/Q1753370" TargetMode="External"/><Relationship Id="rId3440" Type="http://schemas.openxmlformats.org/officeDocument/2006/relationships/hyperlink" Target="http://www.wikidata.org/entity/Q661733" TargetMode="External"/><Relationship Id="rId2111" Type="http://schemas.openxmlformats.org/officeDocument/2006/relationships/hyperlink" Target="http://www.wikidata.org/entity/Q2266893" TargetMode="External"/><Relationship Id="rId3443" Type="http://schemas.openxmlformats.org/officeDocument/2006/relationships/hyperlink" Target="http://www.wikidata.org/entity/Q185351" TargetMode="External"/><Relationship Id="rId2112" Type="http://schemas.openxmlformats.org/officeDocument/2006/relationships/hyperlink" Target="http://www.wikidata.org/entity/Q36180" TargetMode="External"/><Relationship Id="rId3442" Type="http://schemas.openxmlformats.org/officeDocument/2006/relationships/hyperlink" Target="http://www.wikidata.org/entity/Q661733" TargetMode="External"/><Relationship Id="rId2113" Type="http://schemas.openxmlformats.org/officeDocument/2006/relationships/hyperlink" Target="http://www.wikidata.org/entity/Q2266893" TargetMode="External"/><Relationship Id="rId3445" Type="http://schemas.openxmlformats.org/officeDocument/2006/relationships/hyperlink" Target="http://www.wikidata.org/entity/Q201788" TargetMode="External"/><Relationship Id="rId2114" Type="http://schemas.openxmlformats.org/officeDocument/2006/relationships/hyperlink" Target="http://www.wikidata.org/entity/Q37226" TargetMode="External"/><Relationship Id="rId3444" Type="http://schemas.openxmlformats.org/officeDocument/2006/relationships/hyperlink" Target="http://www.wikidata.org/entity/Q661733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wikidata.org/prop/direct/P463" TargetMode="External"/><Relationship Id="rId391" Type="http://schemas.openxmlformats.org/officeDocument/2006/relationships/hyperlink" Target="http://www.wikidata.org/entity/Q118524331" TargetMode="External"/><Relationship Id="rId390" Type="http://schemas.openxmlformats.org/officeDocument/2006/relationships/hyperlink" Target="http://www.wikidata.org/entity/Q56036059" TargetMode="External"/><Relationship Id="rId2180" Type="http://schemas.openxmlformats.org/officeDocument/2006/relationships/hyperlink" Target="http://www.wikidata.org/prop/direct/P108" TargetMode="External"/><Relationship Id="rId2181" Type="http://schemas.openxmlformats.org/officeDocument/2006/relationships/hyperlink" Target="http://www.wikidata.org/entity/Q115982585" TargetMode="External"/><Relationship Id="rId2182" Type="http://schemas.openxmlformats.org/officeDocument/2006/relationships/hyperlink" Target="http://www.wikidata.org/entity/Q2663876" TargetMode="External"/><Relationship Id="rId2183" Type="http://schemas.openxmlformats.org/officeDocument/2006/relationships/hyperlink" Target="http://www.wikidata.org/prop/direct/P69" TargetMode="External"/><Relationship Id="rId385" Type="http://schemas.openxmlformats.org/officeDocument/2006/relationships/hyperlink" Target="http://www.wikidata.org/entity/Q644789" TargetMode="External"/><Relationship Id="rId2184" Type="http://schemas.openxmlformats.org/officeDocument/2006/relationships/hyperlink" Target="http://www.wikidata.org/entity/Q2539969" TargetMode="External"/><Relationship Id="rId384" Type="http://schemas.openxmlformats.org/officeDocument/2006/relationships/hyperlink" Target="http://www.wikidata.org/entity/Q110039180" TargetMode="External"/><Relationship Id="rId2185" Type="http://schemas.openxmlformats.org/officeDocument/2006/relationships/hyperlink" Target="http://www.wikidata.org/entity/Q644789" TargetMode="External"/><Relationship Id="rId383" Type="http://schemas.openxmlformats.org/officeDocument/2006/relationships/hyperlink" Target="http://www.wikidata.org/prop/direct/P69" TargetMode="External"/><Relationship Id="rId2186" Type="http://schemas.openxmlformats.org/officeDocument/2006/relationships/hyperlink" Target="http://www.wikidata.org/prop/direct/P69" TargetMode="External"/><Relationship Id="rId382" Type="http://schemas.openxmlformats.org/officeDocument/2006/relationships/hyperlink" Target="http://www.wikidata.org/entity/Q118464788" TargetMode="External"/><Relationship Id="rId2187" Type="http://schemas.openxmlformats.org/officeDocument/2006/relationships/hyperlink" Target="http://www.wikidata.org/entity/Q3032807" TargetMode="External"/><Relationship Id="rId389" Type="http://schemas.openxmlformats.org/officeDocument/2006/relationships/hyperlink" Target="http://www.wikidata.org/prop/direct/P108" TargetMode="External"/><Relationship Id="rId2188" Type="http://schemas.openxmlformats.org/officeDocument/2006/relationships/hyperlink" Target="http://www.wikidata.org/entity/Q1867263" TargetMode="External"/><Relationship Id="rId388" Type="http://schemas.openxmlformats.org/officeDocument/2006/relationships/hyperlink" Target="http://www.wikidata.org/entity/Q2018402" TargetMode="External"/><Relationship Id="rId2189" Type="http://schemas.openxmlformats.org/officeDocument/2006/relationships/hyperlink" Target="http://www.wikidata.org/prop/direct/P69" TargetMode="External"/><Relationship Id="rId387" Type="http://schemas.openxmlformats.org/officeDocument/2006/relationships/hyperlink" Target="http://www.wikidata.org/entity/Q115818009" TargetMode="External"/><Relationship Id="rId386" Type="http://schemas.openxmlformats.org/officeDocument/2006/relationships/hyperlink" Target="http://www.wikidata.org/prop/direct/P69" TargetMode="External"/><Relationship Id="rId381" Type="http://schemas.openxmlformats.org/officeDocument/2006/relationships/hyperlink" Target="http://www.wikidata.org/entity/Q113627806" TargetMode="External"/><Relationship Id="rId380" Type="http://schemas.openxmlformats.org/officeDocument/2006/relationships/hyperlink" Target="http://www.wikidata.org/prop/direct/P463" TargetMode="External"/><Relationship Id="rId379" Type="http://schemas.openxmlformats.org/officeDocument/2006/relationships/hyperlink" Target="http://www.wikidata.org/entity/Q1268453" TargetMode="External"/><Relationship Id="rId2170" Type="http://schemas.openxmlformats.org/officeDocument/2006/relationships/hyperlink" Target="http://www.wikidata.org/entity/Q2789347" TargetMode="External"/><Relationship Id="rId2171" Type="http://schemas.openxmlformats.org/officeDocument/2006/relationships/hyperlink" Target="http://www.wikidata.org/prop/direct/P108" TargetMode="External"/><Relationship Id="rId2172" Type="http://schemas.openxmlformats.org/officeDocument/2006/relationships/hyperlink" Target="http://www.wikidata.org/entity/Q115979048" TargetMode="External"/><Relationship Id="rId374" Type="http://schemas.openxmlformats.org/officeDocument/2006/relationships/hyperlink" Target="http://www.wikidata.org/prop/direct/P463" TargetMode="External"/><Relationship Id="rId2173" Type="http://schemas.openxmlformats.org/officeDocument/2006/relationships/hyperlink" Target="http://www.wikidata.org/entity/Q2479554" TargetMode="External"/><Relationship Id="rId373" Type="http://schemas.openxmlformats.org/officeDocument/2006/relationships/hyperlink" Target="http://www.wikidata.org/entity/Q111317357" TargetMode="External"/><Relationship Id="rId2174" Type="http://schemas.openxmlformats.org/officeDocument/2006/relationships/hyperlink" Target="http://www.wikidata.org/prop/direct/P69" TargetMode="External"/><Relationship Id="rId372" Type="http://schemas.openxmlformats.org/officeDocument/2006/relationships/hyperlink" Target="http://www.wikidata.org/entity/Q118612085" TargetMode="External"/><Relationship Id="rId2175" Type="http://schemas.openxmlformats.org/officeDocument/2006/relationships/hyperlink" Target="http://www.wikidata.org/entity/Q377071" TargetMode="External"/><Relationship Id="rId371" Type="http://schemas.openxmlformats.org/officeDocument/2006/relationships/hyperlink" Target="http://www.wikidata.org/prop/direct/P69" TargetMode="External"/><Relationship Id="rId2176" Type="http://schemas.openxmlformats.org/officeDocument/2006/relationships/hyperlink" Target="http://www.wikidata.org/entity/Q336968" TargetMode="External"/><Relationship Id="rId378" Type="http://schemas.openxmlformats.org/officeDocument/2006/relationships/hyperlink" Target="http://www.wikidata.org/entity/Q2542423" TargetMode="External"/><Relationship Id="rId2177" Type="http://schemas.openxmlformats.org/officeDocument/2006/relationships/hyperlink" Target="http://www.wikidata.org/prop/direct/P69" TargetMode="External"/><Relationship Id="rId377" Type="http://schemas.openxmlformats.org/officeDocument/2006/relationships/hyperlink" Target="http://www.wikidata.org/prop/direct/P69" TargetMode="External"/><Relationship Id="rId2178" Type="http://schemas.openxmlformats.org/officeDocument/2006/relationships/hyperlink" Target="http://www.wikidata.org/entity/Q377071" TargetMode="External"/><Relationship Id="rId376" Type="http://schemas.openxmlformats.org/officeDocument/2006/relationships/hyperlink" Target="http://www.wikidata.org/entity/Q2479554" TargetMode="External"/><Relationship Id="rId2179" Type="http://schemas.openxmlformats.org/officeDocument/2006/relationships/hyperlink" Target="http://www.wikidata.org/entity/Q336968" TargetMode="External"/><Relationship Id="rId375" Type="http://schemas.openxmlformats.org/officeDocument/2006/relationships/hyperlink" Target="http://www.wikidata.org/entity/Q115818009" TargetMode="External"/><Relationship Id="rId2190" Type="http://schemas.openxmlformats.org/officeDocument/2006/relationships/hyperlink" Target="http://www.wikidata.org/entity/Q2539969" TargetMode="External"/><Relationship Id="rId2191" Type="http://schemas.openxmlformats.org/officeDocument/2006/relationships/hyperlink" Target="http://www.wikidata.org/entity/Q2690997" TargetMode="External"/><Relationship Id="rId2192" Type="http://schemas.openxmlformats.org/officeDocument/2006/relationships/hyperlink" Target="http://www.wikidata.org/prop/direct/P463" TargetMode="External"/><Relationship Id="rId2193" Type="http://schemas.openxmlformats.org/officeDocument/2006/relationships/hyperlink" Target="http://www.wikidata.org/entity/Q377071" TargetMode="External"/><Relationship Id="rId2194" Type="http://schemas.openxmlformats.org/officeDocument/2006/relationships/hyperlink" Target="http://www.wikidata.org/entity/Q337580" TargetMode="External"/><Relationship Id="rId396" Type="http://schemas.openxmlformats.org/officeDocument/2006/relationships/hyperlink" Target="http://www.wikidata.org/entity/Q2450554" TargetMode="External"/><Relationship Id="rId2195" Type="http://schemas.openxmlformats.org/officeDocument/2006/relationships/hyperlink" Target="http://www.wikidata.org/prop/direct/P463" TargetMode="External"/><Relationship Id="rId395" Type="http://schemas.openxmlformats.org/officeDocument/2006/relationships/hyperlink" Target="http://www.wikidata.org/prop/direct/P463" TargetMode="External"/><Relationship Id="rId2196" Type="http://schemas.openxmlformats.org/officeDocument/2006/relationships/hyperlink" Target="http://www.wikidata.org/entity/Q115979048" TargetMode="External"/><Relationship Id="rId394" Type="http://schemas.openxmlformats.org/officeDocument/2006/relationships/hyperlink" Target="http://www.wikidata.org/entity/Q118559307" TargetMode="External"/><Relationship Id="rId2197" Type="http://schemas.openxmlformats.org/officeDocument/2006/relationships/hyperlink" Target="http://www.wikidata.org/entity/Q2018402" TargetMode="External"/><Relationship Id="rId393" Type="http://schemas.openxmlformats.org/officeDocument/2006/relationships/hyperlink" Target="http://www.wikidata.org/entity/Q56036059" TargetMode="External"/><Relationship Id="rId2198" Type="http://schemas.openxmlformats.org/officeDocument/2006/relationships/hyperlink" Target="http://www.wikidata.org/prop/direct/P108" TargetMode="External"/><Relationship Id="rId2199" Type="http://schemas.openxmlformats.org/officeDocument/2006/relationships/hyperlink" Target="http://www.wikidata.org/entity/Q42596" TargetMode="External"/><Relationship Id="rId399" Type="http://schemas.openxmlformats.org/officeDocument/2006/relationships/hyperlink" Target="http://www.wikidata.org/entity/Q11071766" TargetMode="External"/><Relationship Id="rId398" Type="http://schemas.openxmlformats.org/officeDocument/2006/relationships/hyperlink" Target="http://www.wikidata.org/prop/direct/P463" TargetMode="External"/><Relationship Id="rId397" Type="http://schemas.openxmlformats.org/officeDocument/2006/relationships/hyperlink" Target="http://www.wikidata.org/entity/Q118369084" TargetMode="External"/><Relationship Id="rId1730" Type="http://schemas.openxmlformats.org/officeDocument/2006/relationships/hyperlink" Target="http://www.wikidata.org/prop/direct/P108" TargetMode="External"/><Relationship Id="rId1731" Type="http://schemas.openxmlformats.org/officeDocument/2006/relationships/hyperlink" Target="http://www.wikidata.org/entity/Q87648661" TargetMode="External"/><Relationship Id="rId1732" Type="http://schemas.openxmlformats.org/officeDocument/2006/relationships/hyperlink" Target="http://www.wikidata.org/entity/Q63122451" TargetMode="External"/><Relationship Id="rId1733" Type="http://schemas.openxmlformats.org/officeDocument/2006/relationships/hyperlink" Target="http://www.wikidata.org/prop/direct/P108" TargetMode="External"/><Relationship Id="rId1734" Type="http://schemas.openxmlformats.org/officeDocument/2006/relationships/hyperlink" Target="http://www.wikidata.org/entity/Q118175361" TargetMode="External"/><Relationship Id="rId1735" Type="http://schemas.openxmlformats.org/officeDocument/2006/relationships/hyperlink" Target="http://www.wikidata.org/entity/Q120979288" TargetMode="External"/><Relationship Id="rId1736" Type="http://schemas.openxmlformats.org/officeDocument/2006/relationships/hyperlink" Target="http://www.wikidata.org/prop/direct/P108" TargetMode="External"/><Relationship Id="rId1737" Type="http://schemas.openxmlformats.org/officeDocument/2006/relationships/hyperlink" Target="http://www.wikidata.org/entity/Q7190386" TargetMode="External"/><Relationship Id="rId1738" Type="http://schemas.openxmlformats.org/officeDocument/2006/relationships/hyperlink" Target="http://www.wikidata.org/entity/Q644789" TargetMode="External"/><Relationship Id="rId1739" Type="http://schemas.openxmlformats.org/officeDocument/2006/relationships/hyperlink" Target="http://www.wikidata.org/prop/direct/P69" TargetMode="External"/><Relationship Id="rId1720" Type="http://schemas.openxmlformats.org/officeDocument/2006/relationships/hyperlink" Target="http://www.wikidata.org/entity/Q2018402" TargetMode="External"/><Relationship Id="rId1721" Type="http://schemas.openxmlformats.org/officeDocument/2006/relationships/hyperlink" Target="http://www.wikidata.org/prop/direct/P69" TargetMode="External"/><Relationship Id="rId1722" Type="http://schemas.openxmlformats.org/officeDocument/2006/relationships/hyperlink" Target="http://www.wikidata.org/entity/Q115825992" TargetMode="External"/><Relationship Id="rId1723" Type="http://schemas.openxmlformats.org/officeDocument/2006/relationships/hyperlink" Target="http://www.wikidata.org/entity/Q792369" TargetMode="External"/><Relationship Id="rId1724" Type="http://schemas.openxmlformats.org/officeDocument/2006/relationships/hyperlink" Target="http://www.wikidata.org/prop/direct/P108" TargetMode="External"/><Relationship Id="rId1725" Type="http://schemas.openxmlformats.org/officeDocument/2006/relationships/hyperlink" Target="http://www.wikidata.org/entity/Q119041387" TargetMode="External"/><Relationship Id="rId1726" Type="http://schemas.openxmlformats.org/officeDocument/2006/relationships/hyperlink" Target="http://www.wikidata.org/entity/Q644789" TargetMode="External"/><Relationship Id="rId1727" Type="http://schemas.openxmlformats.org/officeDocument/2006/relationships/hyperlink" Target="http://www.wikidata.org/prop/direct/P69" TargetMode="External"/><Relationship Id="rId1728" Type="http://schemas.openxmlformats.org/officeDocument/2006/relationships/hyperlink" Target="http://www.wikidata.org/entity/Q115834690" TargetMode="External"/><Relationship Id="rId1729" Type="http://schemas.openxmlformats.org/officeDocument/2006/relationships/hyperlink" Target="http://www.wikidata.org/entity/Q2479554" TargetMode="External"/><Relationship Id="rId1752" Type="http://schemas.openxmlformats.org/officeDocument/2006/relationships/hyperlink" Target="http://www.wikidata.org/entity/Q17428533" TargetMode="External"/><Relationship Id="rId1753" Type="http://schemas.openxmlformats.org/officeDocument/2006/relationships/hyperlink" Target="http://www.wikidata.org/entity/Q2499618" TargetMode="External"/><Relationship Id="rId1754" Type="http://schemas.openxmlformats.org/officeDocument/2006/relationships/hyperlink" Target="http://www.wikidata.org/prop/direct/P69" TargetMode="External"/><Relationship Id="rId1755" Type="http://schemas.openxmlformats.org/officeDocument/2006/relationships/hyperlink" Target="http://www.wikidata.org/entity/Q14101076" TargetMode="External"/><Relationship Id="rId1756" Type="http://schemas.openxmlformats.org/officeDocument/2006/relationships/hyperlink" Target="http://www.wikidata.org/entity/Q1268453" TargetMode="External"/><Relationship Id="rId1757" Type="http://schemas.openxmlformats.org/officeDocument/2006/relationships/hyperlink" Target="http://www.wikidata.org/prop/direct/P463" TargetMode="External"/><Relationship Id="rId1758" Type="http://schemas.openxmlformats.org/officeDocument/2006/relationships/hyperlink" Target="http://www.wikidata.org/entity/Q18655152" TargetMode="External"/><Relationship Id="rId1759" Type="http://schemas.openxmlformats.org/officeDocument/2006/relationships/hyperlink" Target="http://www.wikidata.org/entity/Q654185" TargetMode="External"/><Relationship Id="rId1750" Type="http://schemas.openxmlformats.org/officeDocument/2006/relationships/hyperlink" Target="http://www.wikidata.org/entity/Q2663876" TargetMode="External"/><Relationship Id="rId1751" Type="http://schemas.openxmlformats.org/officeDocument/2006/relationships/hyperlink" Target="http://www.wikidata.org/prop/direct/P108" TargetMode="External"/><Relationship Id="rId1741" Type="http://schemas.openxmlformats.org/officeDocument/2006/relationships/hyperlink" Target="http://www.wikidata.org/entity/Q2663876" TargetMode="External"/><Relationship Id="rId1742" Type="http://schemas.openxmlformats.org/officeDocument/2006/relationships/hyperlink" Target="http://www.wikidata.org/prop/direct/P108" TargetMode="External"/><Relationship Id="rId1743" Type="http://schemas.openxmlformats.org/officeDocument/2006/relationships/hyperlink" Target="http://www.wikidata.org/entity/Q13769746" TargetMode="External"/><Relationship Id="rId1744" Type="http://schemas.openxmlformats.org/officeDocument/2006/relationships/hyperlink" Target="http://www.wikidata.org/entity/Q1268453" TargetMode="External"/><Relationship Id="rId1745" Type="http://schemas.openxmlformats.org/officeDocument/2006/relationships/hyperlink" Target="http://www.wikidata.org/prop/direct/P463" TargetMode="External"/><Relationship Id="rId1746" Type="http://schemas.openxmlformats.org/officeDocument/2006/relationships/hyperlink" Target="http://www.wikidata.org/entity/Q115836065" TargetMode="External"/><Relationship Id="rId1747" Type="http://schemas.openxmlformats.org/officeDocument/2006/relationships/hyperlink" Target="http://www.wikidata.org/entity/Q1867263" TargetMode="External"/><Relationship Id="rId1748" Type="http://schemas.openxmlformats.org/officeDocument/2006/relationships/hyperlink" Target="http://www.wikidata.org/prop/direct/P69" TargetMode="External"/><Relationship Id="rId1749" Type="http://schemas.openxmlformats.org/officeDocument/2006/relationships/hyperlink" Target="http://www.wikidata.org/entity/Q115835605" TargetMode="External"/><Relationship Id="rId1740" Type="http://schemas.openxmlformats.org/officeDocument/2006/relationships/hyperlink" Target="http://www.wikidata.org/entity/Q115839975" TargetMode="External"/><Relationship Id="rId1710" Type="http://schemas.openxmlformats.org/officeDocument/2006/relationships/hyperlink" Target="http://www.wikidata.org/entity/Q110039191" TargetMode="External"/><Relationship Id="rId1711" Type="http://schemas.openxmlformats.org/officeDocument/2006/relationships/hyperlink" Target="http://www.wikidata.org/entity/Q231768" TargetMode="External"/><Relationship Id="rId1712" Type="http://schemas.openxmlformats.org/officeDocument/2006/relationships/hyperlink" Target="http://www.wikidata.org/prop/direct/P108" TargetMode="External"/><Relationship Id="rId1713" Type="http://schemas.openxmlformats.org/officeDocument/2006/relationships/hyperlink" Target="http://www.wikidata.org/entity/Q2183646" TargetMode="External"/><Relationship Id="rId1714" Type="http://schemas.openxmlformats.org/officeDocument/2006/relationships/hyperlink" Target="http://www.wikidata.org/entity/Q1867263" TargetMode="External"/><Relationship Id="rId1715" Type="http://schemas.openxmlformats.org/officeDocument/2006/relationships/hyperlink" Target="http://www.wikidata.org/prop/direct/P69" TargetMode="External"/><Relationship Id="rId1716" Type="http://schemas.openxmlformats.org/officeDocument/2006/relationships/hyperlink" Target="http://www.wikidata.org/entity/Q115839965" TargetMode="External"/><Relationship Id="rId1717" Type="http://schemas.openxmlformats.org/officeDocument/2006/relationships/hyperlink" Target="http://www.wikidata.org/entity/Q1867263" TargetMode="External"/><Relationship Id="rId1718" Type="http://schemas.openxmlformats.org/officeDocument/2006/relationships/hyperlink" Target="http://www.wikidata.org/prop/direct/P69" TargetMode="External"/><Relationship Id="rId1719" Type="http://schemas.openxmlformats.org/officeDocument/2006/relationships/hyperlink" Target="http://www.wikidata.org/entity/Q5026719" TargetMode="External"/><Relationship Id="rId1700" Type="http://schemas.openxmlformats.org/officeDocument/2006/relationships/hyperlink" Target="http://www.wikidata.org/prop/direct/P69" TargetMode="External"/><Relationship Id="rId1701" Type="http://schemas.openxmlformats.org/officeDocument/2006/relationships/hyperlink" Target="http://www.wikidata.org/entity/Q110039191" TargetMode="External"/><Relationship Id="rId1702" Type="http://schemas.openxmlformats.org/officeDocument/2006/relationships/hyperlink" Target="http://www.wikidata.org/entity/Q2139232" TargetMode="External"/><Relationship Id="rId1703" Type="http://schemas.openxmlformats.org/officeDocument/2006/relationships/hyperlink" Target="http://www.wikidata.org/prop/direct/P108" TargetMode="External"/><Relationship Id="rId1704" Type="http://schemas.openxmlformats.org/officeDocument/2006/relationships/hyperlink" Target="http://www.wikidata.org/entity/Q75320317" TargetMode="External"/><Relationship Id="rId1705" Type="http://schemas.openxmlformats.org/officeDocument/2006/relationships/hyperlink" Target="http://www.wikidata.org/entity/Q7587793" TargetMode="External"/><Relationship Id="rId1706" Type="http://schemas.openxmlformats.org/officeDocument/2006/relationships/hyperlink" Target="http://www.wikidata.org/prop/direct/P69" TargetMode="External"/><Relationship Id="rId1707" Type="http://schemas.openxmlformats.org/officeDocument/2006/relationships/hyperlink" Target="http://www.wikidata.org/entity/Q5026719" TargetMode="External"/><Relationship Id="rId1708" Type="http://schemas.openxmlformats.org/officeDocument/2006/relationships/hyperlink" Target="http://www.wikidata.org/entity/Q2005895" TargetMode="External"/><Relationship Id="rId1709" Type="http://schemas.openxmlformats.org/officeDocument/2006/relationships/hyperlink" Target="http://www.wikidata.org/prop/direct/P69" TargetMode="External"/><Relationship Id="rId40" Type="http://schemas.openxmlformats.org/officeDocument/2006/relationships/hyperlink" Target="http://www.wikidata.org/entity/Q2480833" TargetMode="External"/><Relationship Id="rId42" Type="http://schemas.openxmlformats.org/officeDocument/2006/relationships/hyperlink" Target="http://www.wikidata.org/entity/Q115979418" TargetMode="External"/><Relationship Id="rId41" Type="http://schemas.openxmlformats.org/officeDocument/2006/relationships/hyperlink" Target="http://www.wikidata.org/prop/direct/P108" TargetMode="External"/><Relationship Id="rId44" Type="http://schemas.openxmlformats.org/officeDocument/2006/relationships/hyperlink" Target="http://www.wikidata.org/prop/direct/P108" TargetMode="External"/><Relationship Id="rId43" Type="http://schemas.openxmlformats.org/officeDocument/2006/relationships/hyperlink" Target="http://www.wikidata.org/entity/Q118464951" TargetMode="External"/><Relationship Id="rId46" Type="http://schemas.openxmlformats.org/officeDocument/2006/relationships/hyperlink" Target="http://www.wikidata.org/entity/Q118388831" TargetMode="External"/><Relationship Id="rId45" Type="http://schemas.openxmlformats.org/officeDocument/2006/relationships/hyperlink" Target="http://www.wikidata.org/entity/Q115818424" TargetMode="External"/><Relationship Id="rId48" Type="http://schemas.openxmlformats.org/officeDocument/2006/relationships/hyperlink" Target="http://www.wikidata.org/entity/Q115829623" TargetMode="External"/><Relationship Id="rId47" Type="http://schemas.openxmlformats.org/officeDocument/2006/relationships/hyperlink" Target="http://www.wikidata.org/prop/direct/P108" TargetMode="External"/><Relationship Id="rId49" Type="http://schemas.openxmlformats.org/officeDocument/2006/relationships/hyperlink" Target="http://www.wikidata.org/entity/Q118464788" TargetMode="External"/><Relationship Id="rId31" Type="http://schemas.openxmlformats.org/officeDocument/2006/relationships/hyperlink" Target="http://www.wikidata.org/entity/Q2124530" TargetMode="External"/><Relationship Id="rId30" Type="http://schemas.openxmlformats.org/officeDocument/2006/relationships/hyperlink" Target="http://www.wikidata.org/entity/Q115818849" TargetMode="External"/><Relationship Id="rId33" Type="http://schemas.openxmlformats.org/officeDocument/2006/relationships/hyperlink" Target="http://www.wikidata.org/entity/Q115818861" TargetMode="External"/><Relationship Id="rId32" Type="http://schemas.openxmlformats.org/officeDocument/2006/relationships/hyperlink" Target="http://www.wikidata.org/prop/direct/P108" TargetMode="External"/><Relationship Id="rId35" Type="http://schemas.openxmlformats.org/officeDocument/2006/relationships/hyperlink" Target="http://www.wikidata.org/prop/direct/P69" TargetMode="External"/><Relationship Id="rId34" Type="http://schemas.openxmlformats.org/officeDocument/2006/relationships/hyperlink" Target="http://www.wikidata.org/entity/Q15882061" TargetMode="External"/><Relationship Id="rId37" Type="http://schemas.openxmlformats.org/officeDocument/2006/relationships/hyperlink" Target="http://www.wikidata.org/entity/Q118369334" TargetMode="External"/><Relationship Id="rId36" Type="http://schemas.openxmlformats.org/officeDocument/2006/relationships/hyperlink" Target="http://www.wikidata.org/entity/Q115979418" TargetMode="External"/><Relationship Id="rId39" Type="http://schemas.openxmlformats.org/officeDocument/2006/relationships/hyperlink" Target="http://www.wikidata.org/entity/Q115844105" TargetMode="External"/><Relationship Id="rId38" Type="http://schemas.openxmlformats.org/officeDocument/2006/relationships/hyperlink" Target="http://www.wikidata.org/prop/direct/P108" TargetMode="External"/><Relationship Id="rId2203" Type="http://schemas.openxmlformats.org/officeDocument/2006/relationships/hyperlink" Target="http://www.wikidata.org/entity/Q2663876" TargetMode="External"/><Relationship Id="rId2204" Type="http://schemas.openxmlformats.org/officeDocument/2006/relationships/hyperlink" Target="http://www.wikidata.org/prop/direct/P108" TargetMode="External"/><Relationship Id="rId20" Type="http://schemas.openxmlformats.org/officeDocument/2006/relationships/hyperlink" Target="http://www.wikidata.org/prop/direct/P69" TargetMode="External"/><Relationship Id="rId2205" Type="http://schemas.openxmlformats.org/officeDocument/2006/relationships/hyperlink" Target="http://www.wikidata.org/entity/Q115839320" TargetMode="External"/><Relationship Id="rId2206" Type="http://schemas.openxmlformats.org/officeDocument/2006/relationships/hyperlink" Target="http://www.wikidata.org/entity/Q119767161" TargetMode="External"/><Relationship Id="rId22" Type="http://schemas.openxmlformats.org/officeDocument/2006/relationships/hyperlink" Target="http://www.wikidata.org/entity/Q1807289" TargetMode="External"/><Relationship Id="rId2207" Type="http://schemas.openxmlformats.org/officeDocument/2006/relationships/hyperlink" Target="http://www.wikidata.org/prop/direct/P108" TargetMode="External"/><Relationship Id="rId21" Type="http://schemas.openxmlformats.org/officeDocument/2006/relationships/hyperlink" Target="http://www.wikidata.org/entity/Q115821479" TargetMode="External"/><Relationship Id="rId2208" Type="http://schemas.openxmlformats.org/officeDocument/2006/relationships/hyperlink" Target="http://www.wikidata.org/entity/Q2490990" TargetMode="External"/><Relationship Id="rId24" Type="http://schemas.openxmlformats.org/officeDocument/2006/relationships/hyperlink" Target="http://www.wikidata.org/entity/Q115981938" TargetMode="External"/><Relationship Id="rId2209" Type="http://schemas.openxmlformats.org/officeDocument/2006/relationships/hyperlink" Target="http://www.wikidata.org/entity/Q644789" TargetMode="External"/><Relationship Id="rId23" Type="http://schemas.openxmlformats.org/officeDocument/2006/relationships/hyperlink" Target="http://www.wikidata.org/prop/direct/P108" TargetMode="External"/><Relationship Id="rId26" Type="http://schemas.openxmlformats.org/officeDocument/2006/relationships/hyperlink" Target="http://www.wikidata.org/prop/direct/P463" TargetMode="External"/><Relationship Id="rId25" Type="http://schemas.openxmlformats.org/officeDocument/2006/relationships/hyperlink" Target="http://www.wikidata.org/entity/Q119702334" TargetMode="External"/><Relationship Id="rId28" Type="http://schemas.openxmlformats.org/officeDocument/2006/relationships/hyperlink" Target="http://www.wikidata.org/entity/Q118369361" TargetMode="External"/><Relationship Id="rId27" Type="http://schemas.openxmlformats.org/officeDocument/2006/relationships/hyperlink" Target="http://www.wikidata.org/entity/Q115979140" TargetMode="External"/><Relationship Id="rId29" Type="http://schemas.openxmlformats.org/officeDocument/2006/relationships/hyperlink" Target="http://www.wikidata.org/prop/direct/P108" TargetMode="External"/><Relationship Id="rId2200" Type="http://schemas.openxmlformats.org/officeDocument/2006/relationships/hyperlink" Target="http://www.wikidata.org/entity/Q28659929" TargetMode="External"/><Relationship Id="rId2201" Type="http://schemas.openxmlformats.org/officeDocument/2006/relationships/hyperlink" Target="http://www.wikidata.org/prop/direct/P463" TargetMode="External"/><Relationship Id="rId2202" Type="http://schemas.openxmlformats.org/officeDocument/2006/relationships/hyperlink" Target="http://www.wikidata.org/entity/Q3032807" TargetMode="External"/><Relationship Id="rId11" Type="http://schemas.openxmlformats.org/officeDocument/2006/relationships/hyperlink" Target="http://www.wikidata.org/prop/direct/P108" TargetMode="External"/><Relationship Id="rId10" Type="http://schemas.openxmlformats.org/officeDocument/2006/relationships/hyperlink" Target="http://www.wikidata.org/entity/Q644789" TargetMode="External"/><Relationship Id="rId13" Type="http://schemas.openxmlformats.org/officeDocument/2006/relationships/hyperlink" Target="http://www.wikidata.org/entity/Q1867263" TargetMode="External"/><Relationship Id="rId12" Type="http://schemas.openxmlformats.org/officeDocument/2006/relationships/hyperlink" Target="http://www.wikidata.org/entity/Q115981938" TargetMode="External"/><Relationship Id="rId15" Type="http://schemas.openxmlformats.org/officeDocument/2006/relationships/hyperlink" Target="http://www.wikidata.org/entity/Q115818849" TargetMode="External"/><Relationship Id="rId14" Type="http://schemas.openxmlformats.org/officeDocument/2006/relationships/hyperlink" Target="http://www.wikidata.org/prop/direct/P69" TargetMode="External"/><Relationship Id="rId17" Type="http://schemas.openxmlformats.org/officeDocument/2006/relationships/hyperlink" Target="http://www.wikidata.org/prop/direct/P108" TargetMode="External"/><Relationship Id="rId16" Type="http://schemas.openxmlformats.org/officeDocument/2006/relationships/hyperlink" Target="http://www.wikidata.org/entity/Q120693890" TargetMode="External"/><Relationship Id="rId19" Type="http://schemas.openxmlformats.org/officeDocument/2006/relationships/hyperlink" Target="http://www.wikidata.org/entity/Q13744144" TargetMode="External"/><Relationship Id="rId18" Type="http://schemas.openxmlformats.org/officeDocument/2006/relationships/hyperlink" Target="http://www.wikidata.org/entity/Q115839088" TargetMode="External"/><Relationship Id="rId84" Type="http://schemas.openxmlformats.org/officeDocument/2006/relationships/hyperlink" Target="http://www.wikidata.org/entity/Q115830433" TargetMode="External"/><Relationship Id="rId1774" Type="http://schemas.openxmlformats.org/officeDocument/2006/relationships/hyperlink" Target="http://www.wikidata.org/entity/Q2663876" TargetMode="External"/><Relationship Id="rId83" Type="http://schemas.openxmlformats.org/officeDocument/2006/relationships/hyperlink" Target="http://www.wikidata.org/prop/direct/P69" TargetMode="External"/><Relationship Id="rId1775" Type="http://schemas.openxmlformats.org/officeDocument/2006/relationships/hyperlink" Target="http://www.wikidata.org/prop/direct/P108" TargetMode="External"/><Relationship Id="rId86" Type="http://schemas.openxmlformats.org/officeDocument/2006/relationships/hyperlink" Target="http://www.wikidata.org/prop/direct/P69" TargetMode="External"/><Relationship Id="rId1776" Type="http://schemas.openxmlformats.org/officeDocument/2006/relationships/hyperlink" Target="http://www.wikidata.org/entity/Q14101076" TargetMode="External"/><Relationship Id="rId85" Type="http://schemas.openxmlformats.org/officeDocument/2006/relationships/hyperlink" Target="http://www.wikidata.org/entity/Q118541114" TargetMode="External"/><Relationship Id="rId1777" Type="http://schemas.openxmlformats.org/officeDocument/2006/relationships/hyperlink" Target="http://www.wikidata.org/entity/Q25057323" TargetMode="External"/><Relationship Id="rId88" Type="http://schemas.openxmlformats.org/officeDocument/2006/relationships/hyperlink" Target="http://www.wikidata.org/entity/Q2480833" TargetMode="External"/><Relationship Id="rId1778" Type="http://schemas.openxmlformats.org/officeDocument/2006/relationships/hyperlink" Target="http://www.wikidata.org/prop/direct/P463" TargetMode="External"/><Relationship Id="rId87" Type="http://schemas.openxmlformats.org/officeDocument/2006/relationships/hyperlink" Target="http://www.wikidata.org/entity/Q115979130" TargetMode="External"/><Relationship Id="rId1779" Type="http://schemas.openxmlformats.org/officeDocument/2006/relationships/hyperlink" Target="http://www.wikidata.org/entity/Q3067739" TargetMode="External"/><Relationship Id="rId89" Type="http://schemas.openxmlformats.org/officeDocument/2006/relationships/hyperlink" Target="http://www.wikidata.org/prop/direct/P108" TargetMode="External"/><Relationship Id="rId80" Type="http://schemas.openxmlformats.org/officeDocument/2006/relationships/hyperlink" Target="http://www.wikidata.org/prop/direct/P69" TargetMode="External"/><Relationship Id="rId82" Type="http://schemas.openxmlformats.org/officeDocument/2006/relationships/hyperlink" Target="http://www.wikidata.org/entity/Q2479554" TargetMode="External"/><Relationship Id="rId81" Type="http://schemas.openxmlformats.org/officeDocument/2006/relationships/hyperlink" Target="http://www.wikidata.org/entity/Q115837646" TargetMode="External"/><Relationship Id="rId1770" Type="http://schemas.openxmlformats.org/officeDocument/2006/relationships/hyperlink" Target="http://www.wikidata.org/entity/Q18533827" TargetMode="External"/><Relationship Id="rId1771" Type="http://schemas.openxmlformats.org/officeDocument/2006/relationships/hyperlink" Target="http://www.wikidata.org/entity/Q336968" TargetMode="External"/><Relationship Id="rId1772" Type="http://schemas.openxmlformats.org/officeDocument/2006/relationships/hyperlink" Target="http://www.wikidata.org/prop/direct/P69" TargetMode="External"/><Relationship Id="rId1773" Type="http://schemas.openxmlformats.org/officeDocument/2006/relationships/hyperlink" Target="http://www.wikidata.org/entity/Q115836535" TargetMode="External"/><Relationship Id="rId73" Type="http://schemas.openxmlformats.org/officeDocument/2006/relationships/hyperlink" Target="http://www.wikidata.org/entity/Q467025" TargetMode="External"/><Relationship Id="rId1763" Type="http://schemas.openxmlformats.org/officeDocument/2006/relationships/hyperlink" Target="http://www.wikidata.org/prop/direct/P108" TargetMode="External"/><Relationship Id="rId72" Type="http://schemas.openxmlformats.org/officeDocument/2006/relationships/hyperlink" Target="http://www.wikidata.org/entity/Q115829623" TargetMode="External"/><Relationship Id="rId1764" Type="http://schemas.openxmlformats.org/officeDocument/2006/relationships/hyperlink" Target="http://www.wikidata.org/entity/Q115836065" TargetMode="External"/><Relationship Id="rId75" Type="http://schemas.openxmlformats.org/officeDocument/2006/relationships/hyperlink" Target="http://www.wikidata.org/entity/Q115839360" TargetMode="External"/><Relationship Id="rId1765" Type="http://schemas.openxmlformats.org/officeDocument/2006/relationships/hyperlink" Target="http://www.wikidata.org/entity/Q119702334" TargetMode="External"/><Relationship Id="rId74" Type="http://schemas.openxmlformats.org/officeDocument/2006/relationships/hyperlink" Target="http://www.wikidata.org/prop/direct/P69" TargetMode="External"/><Relationship Id="rId1766" Type="http://schemas.openxmlformats.org/officeDocument/2006/relationships/hyperlink" Target="http://www.wikidata.org/prop/direct/P463" TargetMode="External"/><Relationship Id="rId77" Type="http://schemas.openxmlformats.org/officeDocument/2006/relationships/hyperlink" Target="http://www.wikidata.org/prop/direct/P108" TargetMode="External"/><Relationship Id="rId1767" Type="http://schemas.openxmlformats.org/officeDocument/2006/relationships/hyperlink" Target="http://www.wikidata.org/entity/Q2457997" TargetMode="External"/><Relationship Id="rId76" Type="http://schemas.openxmlformats.org/officeDocument/2006/relationships/hyperlink" Target="http://www.wikidata.org/entity/Q590398" TargetMode="External"/><Relationship Id="rId1768" Type="http://schemas.openxmlformats.org/officeDocument/2006/relationships/hyperlink" Target="http://www.wikidata.org/entity/Q2564527" TargetMode="External"/><Relationship Id="rId79" Type="http://schemas.openxmlformats.org/officeDocument/2006/relationships/hyperlink" Target="http://www.wikidata.org/entity/Q1867263" TargetMode="External"/><Relationship Id="rId1769" Type="http://schemas.openxmlformats.org/officeDocument/2006/relationships/hyperlink" Target="http://www.wikidata.org/prop/direct/P108" TargetMode="External"/><Relationship Id="rId78" Type="http://schemas.openxmlformats.org/officeDocument/2006/relationships/hyperlink" Target="http://www.wikidata.org/entity/Q115979130" TargetMode="External"/><Relationship Id="rId71" Type="http://schemas.openxmlformats.org/officeDocument/2006/relationships/hyperlink" Target="http://www.wikidata.org/prop/direct/P108" TargetMode="External"/><Relationship Id="rId70" Type="http://schemas.openxmlformats.org/officeDocument/2006/relationships/hyperlink" Target="http://www.wikidata.org/entity/Q118456609" TargetMode="External"/><Relationship Id="rId1760" Type="http://schemas.openxmlformats.org/officeDocument/2006/relationships/hyperlink" Target="http://www.wikidata.org/prop/direct/P463" TargetMode="External"/><Relationship Id="rId1761" Type="http://schemas.openxmlformats.org/officeDocument/2006/relationships/hyperlink" Target="http://www.wikidata.org/entity/Q116460145" TargetMode="External"/><Relationship Id="rId1762" Type="http://schemas.openxmlformats.org/officeDocument/2006/relationships/hyperlink" Target="http://www.wikidata.org/entity/Q122904531" TargetMode="External"/><Relationship Id="rId62" Type="http://schemas.openxmlformats.org/officeDocument/2006/relationships/hyperlink" Target="http://www.wikidata.org/prop/direct/P108" TargetMode="External"/><Relationship Id="rId1796" Type="http://schemas.openxmlformats.org/officeDocument/2006/relationships/hyperlink" Target="http://www.wikidata.org/prop/direct/P69" TargetMode="External"/><Relationship Id="rId61" Type="http://schemas.openxmlformats.org/officeDocument/2006/relationships/hyperlink" Target="http://www.wikidata.org/entity/Q2663876" TargetMode="External"/><Relationship Id="rId1797" Type="http://schemas.openxmlformats.org/officeDocument/2006/relationships/hyperlink" Target="http://www.wikidata.org/entity/Q115836535" TargetMode="External"/><Relationship Id="rId64" Type="http://schemas.openxmlformats.org/officeDocument/2006/relationships/hyperlink" Target="http://www.wikidata.org/entity/Q15882061" TargetMode="External"/><Relationship Id="rId1798" Type="http://schemas.openxmlformats.org/officeDocument/2006/relationships/hyperlink" Target="http://www.wikidata.org/entity/Q2479554" TargetMode="External"/><Relationship Id="rId63" Type="http://schemas.openxmlformats.org/officeDocument/2006/relationships/hyperlink" Target="http://www.wikidata.org/entity/Q115819088" TargetMode="External"/><Relationship Id="rId1799" Type="http://schemas.openxmlformats.org/officeDocument/2006/relationships/hyperlink" Target="http://www.wikidata.org/prop/direct/P69" TargetMode="External"/><Relationship Id="rId66" Type="http://schemas.openxmlformats.org/officeDocument/2006/relationships/hyperlink" Target="http://www.wikidata.org/entity/Q115834834" TargetMode="External"/><Relationship Id="rId65" Type="http://schemas.openxmlformats.org/officeDocument/2006/relationships/hyperlink" Target="http://www.wikidata.org/prop/direct/P108" TargetMode="External"/><Relationship Id="rId68" Type="http://schemas.openxmlformats.org/officeDocument/2006/relationships/hyperlink" Target="http://www.wikidata.org/prop/direct/P463" TargetMode="External"/><Relationship Id="rId67" Type="http://schemas.openxmlformats.org/officeDocument/2006/relationships/hyperlink" Target="http://www.wikidata.org/entity/Q118369084" TargetMode="External"/><Relationship Id="rId60" Type="http://schemas.openxmlformats.org/officeDocument/2006/relationships/hyperlink" Target="http://www.wikidata.org/entity/Q115837342" TargetMode="External"/><Relationship Id="rId69" Type="http://schemas.openxmlformats.org/officeDocument/2006/relationships/hyperlink" Target="http://www.wikidata.org/entity/Q115818849" TargetMode="External"/><Relationship Id="rId1790" Type="http://schemas.openxmlformats.org/officeDocument/2006/relationships/hyperlink" Target="http://www.wikidata.org/prop/direct/P108" TargetMode="External"/><Relationship Id="rId1791" Type="http://schemas.openxmlformats.org/officeDocument/2006/relationships/hyperlink" Target="http://www.wikidata.org/entity/Q2619202" TargetMode="External"/><Relationship Id="rId1792" Type="http://schemas.openxmlformats.org/officeDocument/2006/relationships/hyperlink" Target="http://www.wikidata.org/entity/Q113988734" TargetMode="External"/><Relationship Id="rId1793" Type="http://schemas.openxmlformats.org/officeDocument/2006/relationships/hyperlink" Target="http://www.wikidata.org/prop/direct/P108" TargetMode="External"/><Relationship Id="rId1794" Type="http://schemas.openxmlformats.org/officeDocument/2006/relationships/hyperlink" Target="http://www.wikidata.org/entity/Q115816445" TargetMode="External"/><Relationship Id="rId1795" Type="http://schemas.openxmlformats.org/officeDocument/2006/relationships/hyperlink" Target="http://www.wikidata.org/entity/Q1867263" TargetMode="External"/><Relationship Id="rId51" Type="http://schemas.openxmlformats.org/officeDocument/2006/relationships/hyperlink" Target="http://www.wikidata.org/entity/Q115982545" TargetMode="External"/><Relationship Id="rId1785" Type="http://schemas.openxmlformats.org/officeDocument/2006/relationships/hyperlink" Target="http://www.wikidata.org/entity/Q125472556" TargetMode="External"/><Relationship Id="rId50" Type="http://schemas.openxmlformats.org/officeDocument/2006/relationships/hyperlink" Target="http://www.wikidata.org/prop/direct/P69" TargetMode="External"/><Relationship Id="rId1786" Type="http://schemas.openxmlformats.org/officeDocument/2006/relationships/hyperlink" Target="http://www.wikidata.org/entity/Q1867263" TargetMode="External"/><Relationship Id="rId53" Type="http://schemas.openxmlformats.org/officeDocument/2006/relationships/hyperlink" Target="http://www.wikidata.org/prop/direct/P108" TargetMode="External"/><Relationship Id="rId1787" Type="http://schemas.openxmlformats.org/officeDocument/2006/relationships/hyperlink" Target="http://www.wikidata.org/prop/direct/P69" TargetMode="External"/><Relationship Id="rId52" Type="http://schemas.openxmlformats.org/officeDocument/2006/relationships/hyperlink" Target="http://www.wikidata.org/entity/Q2663876" TargetMode="External"/><Relationship Id="rId1788" Type="http://schemas.openxmlformats.org/officeDocument/2006/relationships/hyperlink" Target="http://www.wikidata.org/entity/Q13769746" TargetMode="External"/><Relationship Id="rId55" Type="http://schemas.openxmlformats.org/officeDocument/2006/relationships/hyperlink" Target="http://www.wikidata.org/entity/Q2663876" TargetMode="External"/><Relationship Id="rId1789" Type="http://schemas.openxmlformats.org/officeDocument/2006/relationships/hyperlink" Target="http://www.wikidata.org/entity/Q644789" TargetMode="External"/><Relationship Id="rId54" Type="http://schemas.openxmlformats.org/officeDocument/2006/relationships/hyperlink" Target="http://www.wikidata.org/entity/Q115982548" TargetMode="External"/><Relationship Id="rId57" Type="http://schemas.openxmlformats.org/officeDocument/2006/relationships/hyperlink" Target="http://www.wikidata.org/entity/Q115844105" TargetMode="External"/><Relationship Id="rId56" Type="http://schemas.openxmlformats.org/officeDocument/2006/relationships/hyperlink" Target="http://www.wikidata.org/prop/direct/P108" TargetMode="External"/><Relationship Id="rId59" Type="http://schemas.openxmlformats.org/officeDocument/2006/relationships/hyperlink" Target="http://www.wikidata.org/prop/direct/P108" TargetMode="External"/><Relationship Id="rId58" Type="http://schemas.openxmlformats.org/officeDocument/2006/relationships/hyperlink" Target="http://www.wikidata.org/entity/Q2663876" TargetMode="External"/><Relationship Id="rId1780" Type="http://schemas.openxmlformats.org/officeDocument/2006/relationships/hyperlink" Target="http://www.wikidata.org/entity/Q219615" TargetMode="External"/><Relationship Id="rId1781" Type="http://schemas.openxmlformats.org/officeDocument/2006/relationships/hyperlink" Target="http://www.wikidata.org/prop/direct/P69" TargetMode="External"/><Relationship Id="rId1782" Type="http://schemas.openxmlformats.org/officeDocument/2006/relationships/hyperlink" Target="http://www.wikidata.org/entity/Q3067739" TargetMode="External"/><Relationship Id="rId1783" Type="http://schemas.openxmlformats.org/officeDocument/2006/relationships/hyperlink" Target="http://www.wikidata.org/entity/Q219615" TargetMode="External"/><Relationship Id="rId1784" Type="http://schemas.openxmlformats.org/officeDocument/2006/relationships/hyperlink" Target="http://www.wikidata.org/prop/direct/P108" TargetMode="External"/><Relationship Id="rId2269" Type="http://schemas.openxmlformats.org/officeDocument/2006/relationships/hyperlink" Target="http://www.wikidata.org/entity/Q1268453" TargetMode="External"/><Relationship Id="rId349" Type="http://schemas.openxmlformats.org/officeDocument/2006/relationships/hyperlink" Target="http://www.wikidata.org/entity/Q1867263" TargetMode="External"/><Relationship Id="rId348" Type="http://schemas.openxmlformats.org/officeDocument/2006/relationships/hyperlink" Target="http://www.wikidata.org/entity/Q120721942" TargetMode="External"/><Relationship Id="rId347" Type="http://schemas.openxmlformats.org/officeDocument/2006/relationships/hyperlink" Target="http://www.wikidata.org/prop/direct/P69" TargetMode="External"/><Relationship Id="rId346" Type="http://schemas.openxmlformats.org/officeDocument/2006/relationships/hyperlink" Target="http://www.wikidata.org/entity/Q644789" TargetMode="External"/><Relationship Id="rId2260" Type="http://schemas.openxmlformats.org/officeDocument/2006/relationships/hyperlink" Target="http://www.wikidata.org/entity/Q2690997" TargetMode="External"/><Relationship Id="rId341" Type="http://schemas.openxmlformats.org/officeDocument/2006/relationships/hyperlink" Target="http://www.wikidata.org/prop/direct/P108" TargetMode="External"/><Relationship Id="rId2261" Type="http://schemas.openxmlformats.org/officeDocument/2006/relationships/hyperlink" Target="http://www.wikidata.org/prop/direct/P463" TargetMode="External"/><Relationship Id="rId340" Type="http://schemas.openxmlformats.org/officeDocument/2006/relationships/hyperlink" Target="http://www.wikidata.org/entity/Q118464734" TargetMode="External"/><Relationship Id="rId2262" Type="http://schemas.openxmlformats.org/officeDocument/2006/relationships/hyperlink" Target="http://www.wikidata.org/entity/Q115841074" TargetMode="External"/><Relationship Id="rId2263" Type="http://schemas.openxmlformats.org/officeDocument/2006/relationships/hyperlink" Target="http://www.wikidata.org/entity/Q49425918" TargetMode="External"/><Relationship Id="rId2264" Type="http://schemas.openxmlformats.org/officeDocument/2006/relationships/hyperlink" Target="http://www.wikidata.org/prop/direct/P69" TargetMode="External"/><Relationship Id="rId345" Type="http://schemas.openxmlformats.org/officeDocument/2006/relationships/hyperlink" Target="http://www.wikidata.org/entity/Q42196616" TargetMode="External"/><Relationship Id="rId2265" Type="http://schemas.openxmlformats.org/officeDocument/2006/relationships/hyperlink" Target="http://www.wikidata.org/entity/Q2360914" TargetMode="External"/><Relationship Id="rId344" Type="http://schemas.openxmlformats.org/officeDocument/2006/relationships/hyperlink" Target="http://www.wikidata.org/prop/direct/P69" TargetMode="External"/><Relationship Id="rId2266" Type="http://schemas.openxmlformats.org/officeDocument/2006/relationships/hyperlink" Target="http://www.wikidata.org/entity/Q2663876" TargetMode="External"/><Relationship Id="rId343" Type="http://schemas.openxmlformats.org/officeDocument/2006/relationships/hyperlink" Target="http://www.wikidata.org/entity/Q1867263" TargetMode="External"/><Relationship Id="rId2267" Type="http://schemas.openxmlformats.org/officeDocument/2006/relationships/hyperlink" Target="http://www.wikidata.org/prop/direct/P69" TargetMode="External"/><Relationship Id="rId342" Type="http://schemas.openxmlformats.org/officeDocument/2006/relationships/hyperlink" Target="http://www.wikidata.org/entity/Q115818009" TargetMode="External"/><Relationship Id="rId2268" Type="http://schemas.openxmlformats.org/officeDocument/2006/relationships/hyperlink" Target="http://www.wikidata.org/entity/Q2360914" TargetMode="External"/><Relationship Id="rId2258" Type="http://schemas.openxmlformats.org/officeDocument/2006/relationships/hyperlink" Target="http://www.wikidata.org/prop/direct/P69" TargetMode="External"/><Relationship Id="rId2259" Type="http://schemas.openxmlformats.org/officeDocument/2006/relationships/hyperlink" Target="http://www.wikidata.org/entity/Q115839353" TargetMode="External"/><Relationship Id="rId338" Type="http://schemas.openxmlformats.org/officeDocument/2006/relationships/hyperlink" Target="http://www.wikidata.org/prop/direct/P108" TargetMode="External"/><Relationship Id="rId337" Type="http://schemas.openxmlformats.org/officeDocument/2006/relationships/hyperlink" Target="http://www.wikidata.org/entity/Q2663876" TargetMode="External"/><Relationship Id="rId336" Type="http://schemas.openxmlformats.org/officeDocument/2006/relationships/hyperlink" Target="http://www.wikidata.org/entity/Q110039178" TargetMode="External"/><Relationship Id="rId335" Type="http://schemas.openxmlformats.org/officeDocument/2006/relationships/hyperlink" Target="http://www.wikidata.org/prop/direct/P108" TargetMode="External"/><Relationship Id="rId339" Type="http://schemas.openxmlformats.org/officeDocument/2006/relationships/hyperlink" Target="http://www.wikidata.org/entity/Q119701807" TargetMode="External"/><Relationship Id="rId330" Type="http://schemas.openxmlformats.org/officeDocument/2006/relationships/hyperlink" Target="http://www.wikidata.org/entity/Q2450554" TargetMode="External"/><Relationship Id="rId2250" Type="http://schemas.openxmlformats.org/officeDocument/2006/relationships/hyperlink" Target="http://www.wikidata.org/entity/Q115839353" TargetMode="External"/><Relationship Id="rId2251" Type="http://schemas.openxmlformats.org/officeDocument/2006/relationships/hyperlink" Target="http://www.wikidata.org/entity/Q113988659" TargetMode="External"/><Relationship Id="rId2252" Type="http://schemas.openxmlformats.org/officeDocument/2006/relationships/hyperlink" Target="http://www.wikidata.org/prop/direct/P108" TargetMode="External"/><Relationship Id="rId2253" Type="http://schemas.openxmlformats.org/officeDocument/2006/relationships/hyperlink" Target="http://www.wikidata.org/entity/Q1950196" TargetMode="External"/><Relationship Id="rId334" Type="http://schemas.openxmlformats.org/officeDocument/2006/relationships/hyperlink" Target="http://www.wikidata.org/entity/Q52380328" TargetMode="External"/><Relationship Id="rId2254" Type="http://schemas.openxmlformats.org/officeDocument/2006/relationships/hyperlink" Target="http://www.wikidata.org/entity/Q2018402" TargetMode="External"/><Relationship Id="rId333" Type="http://schemas.openxmlformats.org/officeDocument/2006/relationships/hyperlink" Target="http://www.wikidata.org/entity/Q115818009" TargetMode="External"/><Relationship Id="rId2255" Type="http://schemas.openxmlformats.org/officeDocument/2006/relationships/hyperlink" Target="http://www.wikidata.org/prop/direct/P108" TargetMode="External"/><Relationship Id="rId332" Type="http://schemas.openxmlformats.org/officeDocument/2006/relationships/hyperlink" Target="http://www.wikidata.org/prop/direct/P69" TargetMode="External"/><Relationship Id="rId2256" Type="http://schemas.openxmlformats.org/officeDocument/2006/relationships/hyperlink" Target="http://www.wikidata.org/entity/Q2360914" TargetMode="External"/><Relationship Id="rId331" Type="http://schemas.openxmlformats.org/officeDocument/2006/relationships/hyperlink" Target="http://www.wikidata.org/entity/Q644789" TargetMode="External"/><Relationship Id="rId2257" Type="http://schemas.openxmlformats.org/officeDocument/2006/relationships/hyperlink" Target="http://www.wikidata.org/entity/Q1867263" TargetMode="External"/><Relationship Id="rId370" Type="http://schemas.openxmlformats.org/officeDocument/2006/relationships/hyperlink" Target="http://www.wikidata.org/entity/Q118464788" TargetMode="External"/><Relationship Id="rId369" Type="http://schemas.openxmlformats.org/officeDocument/2006/relationships/hyperlink" Target="http://www.wikidata.org/entity/Q11071766" TargetMode="External"/><Relationship Id="rId368" Type="http://schemas.openxmlformats.org/officeDocument/2006/relationships/hyperlink" Target="http://www.wikidata.org/prop/direct/P69" TargetMode="External"/><Relationship Id="rId2280" Type="http://schemas.openxmlformats.org/officeDocument/2006/relationships/hyperlink" Target="http://www.wikidata.org/entity/Q119797432" TargetMode="External"/><Relationship Id="rId2281" Type="http://schemas.openxmlformats.org/officeDocument/2006/relationships/hyperlink" Target="http://www.wikidata.org/entity/Q1867263" TargetMode="External"/><Relationship Id="rId2282" Type="http://schemas.openxmlformats.org/officeDocument/2006/relationships/hyperlink" Target="http://www.wikidata.org/prop/direct/P69" TargetMode="External"/><Relationship Id="rId363" Type="http://schemas.openxmlformats.org/officeDocument/2006/relationships/hyperlink" Target="http://www.wikidata.org/entity/Q571426" TargetMode="External"/><Relationship Id="rId2283" Type="http://schemas.openxmlformats.org/officeDocument/2006/relationships/hyperlink" Target="http://www.wikidata.org/entity/Q1851297" TargetMode="External"/><Relationship Id="rId362" Type="http://schemas.openxmlformats.org/officeDocument/2006/relationships/hyperlink" Target="http://www.wikidata.org/prop/direct/P69" TargetMode="External"/><Relationship Id="rId2284" Type="http://schemas.openxmlformats.org/officeDocument/2006/relationships/hyperlink" Target="http://www.wikidata.org/entity/Q1137665" TargetMode="External"/><Relationship Id="rId361" Type="http://schemas.openxmlformats.org/officeDocument/2006/relationships/hyperlink" Target="http://www.wikidata.org/entity/Q1867263" TargetMode="External"/><Relationship Id="rId2285" Type="http://schemas.openxmlformats.org/officeDocument/2006/relationships/hyperlink" Target="http://www.wikidata.org/prop/direct/P69" TargetMode="External"/><Relationship Id="rId360" Type="http://schemas.openxmlformats.org/officeDocument/2006/relationships/hyperlink" Target="http://www.wikidata.org/entity/Q2542423" TargetMode="External"/><Relationship Id="rId2286" Type="http://schemas.openxmlformats.org/officeDocument/2006/relationships/hyperlink" Target="http://www.wikidata.org/entity/Q115841074" TargetMode="External"/><Relationship Id="rId367" Type="http://schemas.openxmlformats.org/officeDocument/2006/relationships/hyperlink" Target="http://www.wikidata.org/entity/Q2479554" TargetMode="External"/><Relationship Id="rId2287" Type="http://schemas.openxmlformats.org/officeDocument/2006/relationships/hyperlink" Target="http://www.wikidata.org/entity/Q3151805" TargetMode="External"/><Relationship Id="rId366" Type="http://schemas.openxmlformats.org/officeDocument/2006/relationships/hyperlink" Target="http://www.wikidata.org/entity/Q110039180" TargetMode="External"/><Relationship Id="rId2288" Type="http://schemas.openxmlformats.org/officeDocument/2006/relationships/hyperlink" Target="http://www.wikidata.org/prop/direct/P108" TargetMode="External"/><Relationship Id="rId365" Type="http://schemas.openxmlformats.org/officeDocument/2006/relationships/hyperlink" Target="http://www.wikidata.org/prop/direct/P69" TargetMode="External"/><Relationship Id="rId2289" Type="http://schemas.openxmlformats.org/officeDocument/2006/relationships/hyperlink" Target="http://www.wikidata.org/entity/Q115840173" TargetMode="External"/><Relationship Id="rId364" Type="http://schemas.openxmlformats.org/officeDocument/2006/relationships/hyperlink" Target="http://www.wikidata.org/entity/Q221653" TargetMode="External"/><Relationship Id="rId95" Type="http://schemas.openxmlformats.org/officeDocument/2006/relationships/hyperlink" Target="http://www.wikidata.org/prop/direct/P108" TargetMode="External"/><Relationship Id="rId94" Type="http://schemas.openxmlformats.org/officeDocument/2006/relationships/hyperlink" Target="http://www.wikidata.org/entity/Q122877933" TargetMode="External"/><Relationship Id="rId97" Type="http://schemas.openxmlformats.org/officeDocument/2006/relationships/hyperlink" Target="http://www.wikidata.org/entity/Q590398" TargetMode="External"/><Relationship Id="rId96" Type="http://schemas.openxmlformats.org/officeDocument/2006/relationships/hyperlink" Target="http://www.wikidata.org/entity/Q115830433" TargetMode="External"/><Relationship Id="rId99" Type="http://schemas.openxmlformats.org/officeDocument/2006/relationships/hyperlink" Target="http://www.wikidata.org/entity/Q115840234" TargetMode="External"/><Relationship Id="rId98" Type="http://schemas.openxmlformats.org/officeDocument/2006/relationships/hyperlink" Target="http://www.wikidata.org/prop/direct/P108" TargetMode="External"/><Relationship Id="rId91" Type="http://schemas.openxmlformats.org/officeDocument/2006/relationships/hyperlink" Target="http://www.wikidata.org/entity/Q1867263" TargetMode="External"/><Relationship Id="rId90" Type="http://schemas.openxmlformats.org/officeDocument/2006/relationships/hyperlink" Target="http://www.wikidata.org/entity/Q115979418" TargetMode="External"/><Relationship Id="rId93" Type="http://schemas.openxmlformats.org/officeDocument/2006/relationships/hyperlink" Target="http://www.wikidata.org/entity/Q115838569" TargetMode="External"/><Relationship Id="rId92" Type="http://schemas.openxmlformats.org/officeDocument/2006/relationships/hyperlink" Target="http://www.wikidata.org/prop/direct/P69" TargetMode="External"/><Relationship Id="rId359" Type="http://schemas.openxmlformats.org/officeDocument/2006/relationships/hyperlink" Target="http://www.wikidata.org/prop/direct/P69" TargetMode="External"/><Relationship Id="rId358" Type="http://schemas.openxmlformats.org/officeDocument/2006/relationships/hyperlink" Target="http://www.wikidata.org/entity/Q981752" TargetMode="External"/><Relationship Id="rId357" Type="http://schemas.openxmlformats.org/officeDocument/2006/relationships/hyperlink" Target="http://www.wikidata.org/entity/Q125535061" TargetMode="External"/><Relationship Id="rId2270" Type="http://schemas.openxmlformats.org/officeDocument/2006/relationships/hyperlink" Target="http://www.wikidata.org/prop/direct/P463" TargetMode="External"/><Relationship Id="rId2271" Type="http://schemas.openxmlformats.org/officeDocument/2006/relationships/hyperlink" Target="http://www.wikidata.org/entity/Q120897770" TargetMode="External"/><Relationship Id="rId352" Type="http://schemas.openxmlformats.org/officeDocument/2006/relationships/hyperlink" Target="http://www.wikidata.org/entity/Q654185" TargetMode="External"/><Relationship Id="rId2272" Type="http://schemas.openxmlformats.org/officeDocument/2006/relationships/hyperlink" Target="http://www.wikidata.org/entity/Q2690997" TargetMode="External"/><Relationship Id="rId351" Type="http://schemas.openxmlformats.org/officeDocument/2006/relationships/hyperlink" Target="http://www.wikidata.org/entity/Q56036064" TargetMode="External"/><Relationship Id="rId2273" Type="http://schemas.openxmlformats.org/officeDocument/2006/relationships/hyperlink" Target="http://www.wikidata.org/prop/direct/P463" TargetMode="External"/><Relationship Id="rId350" Type="http://schemas.openxmlformats.org/officeDocument/2006/relationships/hyperlink" Target="http://www.wikidata.org/prop/direct/P108" TargetMode="External"/><Relationship Id="rId2274" Type="http://schemas.openxmlformats.org/officeDocument/2006/relationships/hyperlink" Target="http://www.wikidata.org/entity/Q4722117" TargetMode="External"/><Relationship Id="rId2275" Type="http://schemas.openxmlformats.org/officeDocument/2006/relationships/hyperlink" Target="http://www.wikidata.org/entity/Q2663876" TargetMode="External"/><Relationship Id="rId356" Type="http://schemas.openxmlformats.org/officeDocument/2006/relationships/hyperlink" Target="http://www.wikidata.org/prop/direct/P108" TargetMode="External"/><Relationship Id="rId2276" Type="http://schemas.openxmlformats.org/officeDocument/2006/relationships/hyperlink" Target="http://www.wikidata.org/prop/direct/P69" TargetMode="External"/><Relationship Id="rId355" Type="http://schemas.openxmlformats.org/officeDocument/2006/relationships/hyperlink" Target="http://www.wikidata.org/entity/Q1867263" TargetMode="External"/><Relationship Id="rId2277" Type="http://schemas.openxmlformats.org/officeDocument/2006/relationships/hyperlink" Target="http://www.wikidata.org/entity/Q119039938" TargetMode="External"/><Relationship Id="rId354" Type="http://schemas.openxmlformats.org/officeDocument/2006/relationships/hyperlink" Target="http://www.wikidata.org/entity/Q119701807" TargetMode="External"/><Relationship Id="rId2278" Type="http://schemas.openxmlformats.org/officeDocument/2006/relationships/hyperlink" Target="http://www.wikidata.org/entity/Q2663876" TargetMode="External"/><Relationship Id="rId353" Type="http://schemas.openxmlformats.org/officeDocument/2006/relationships/hyperlink" Target="http://www.wikidata.org/prop/direct/P463" TargetMode="External"/><Relationship Id="rId2279" Type="http://schemas.openxmlformats.org/officeDocument/2006/relationships/hyperlink" Target="http://www.wikidata.org/prop/direct/P69" TargetMode="External"/><Relationship Id="rId2225" Type="http://schemas.openxmlformats.org/officeDocument/2006/relationships/hyperlink" Target="http://www.wikidata.org/prop/direct/P108" TargetMode="External"/><Relationship Id="rId2226" Type="http://schemas.openxmlformats.org/officeDocument/2006/relationships/hyperlink" Target="http://www.wikidata.org/entity/Q42596" TargetMode="External"/><Relationship Id="rId2227" Type="http://schemas.openxmlformats.org/officeDocument/2006/relationships/hyperlink" Target="http://www.wikidata.org/entity/Q2822312" TargetMode="External"/><Relationship Id="rId2228" Type="http://schemas.openxmlformats.org/officeDocument/2006/relationships/hyperlink" Target="http://www.wikidata.org/prop/direct/P463" TargetMode="External"/><Relationship Id="rId2229" Type="http://schemas.openxmlformats.org/officeDocument/2006/relationships/hyperlink" Target="http://www.wikidata.org/entity/Q2539969" TargetMode="External"/><Relationship Id="rId305" Type="http://schemas.openxmlformats.org/officeDocument/2006/relationships/hyperlink" Target="http://www.wikidata.org/prop/direct/P463" TargetMode="External"/><Relationship Id="rId304" Type="http://schemas.openxmlformats.org/officeDocument/2006/relationships/hyperlink" Target="http://www.wikidata.org/entity/Q1268453" TargetMode="External"/><Relationship Id="rId303" Type="http://schemas.openxmlformats.org/officeDocument/2006/relationships/hyperlink" Target="http://www.wikidata.org/entity/Q56036064" TargetMode="External"/><Relationship Id="rId302" Type="http://schemas.openxmlformats.org/officeDocument/2006/relationships/hyperlink" Target="http://www.wikidata.org/prop/direct/P108" TargetMode="External"/><Relationship Id="rId309" Type="http://schemas.openxmlformats.org/officeDocument/2006/relationships/hyperlink" Target="http://www.wikidata.org/entity/Q571426" TargetMode="External"/><Relationship Id="rId308" Type="http://schemas.openxmlformats.org/officeDocument/2006/relationships/hyperlink" Target="http://www.wikidata.org/prop/direct/P69" TargetMode="External"/><Relationship Id="rId307" Type="http://schemas.openxmlformats.org/officeDocument/2006/relationships/hyperlink" Target="http://www.wikidata.org/entity/Q156598" TargetMode="External"/><Relationship Id="rId306" Type="http://schemas.openxmlformats.org/officeDocument/2006/relationships/hyperlink" Target="http://www.wikidata.org/entity/Q571426" TargetMode="External"/><Relationship Id="rId2220" Type="http://schemas.openxmlformats.org/officeDocument/2006/relationships/hyperlink" Target="http://www.wikidata.org/entity/Q2266893" TargetMode="External"/><Relationship Id="rId301" Type="http://schemas.openxmlformats.org/officeDocument/2006/relationships/hyperlink" Target="http://www.wikidata.org/entity/Q118369334" TargetMode="External"/><Relationship Id="rId2221" Type="http://schemas.openxmlformats.org/officeDocument/2006/relationships/hyperlink" Target="http://www.wikidata.org/entity/Q118547498" TargetMode="External"/><Relationship Id="rId300" Type="http://schemas.openxmlformats.org/officeDocument/2006/relationships/hyperlink" Target="http://www.wikidata.org/entity/Q120721942" TargetMode="External"/><Relationship Id="rId2222" Type="http://schemas.openxmlformats.org/officeDocument/2006/relationships/hyperlink" Target="http://www.wikidata.org/prop/direct/P463" TargetMode="External"/><Relationship Id="rId2223" Type="http://schemas.openxmlformats.org/officeDocument/2006/relationships/hyperlink" Target="http://www.wikidata.org/entity/Q115811334" TargetMode="External"/><Relationship Id="rId2224" Type="http://schemas.openxmlformats.org/officeDocument/2006/relationships/hyperlink" Target="http://www.wikidata.org/entity/Q113988659" TargetMode="External"/><Relationship Id="rId2214" Type="http://schemas.openxmlformats.org/officeDocument/2006/relationships/hyperlink" Target="http://www.wikidata.org/entity/Q2779054" TargetMode="External"/><Relationship Id="rId2215" Type="http://schemas.openxmlformats.org/officeDocument/2006/relationships/hyperlink" Target="http://www.wikidata.org/entity/Q118369334" TargetMode="External"/><Relationship Id="rId2216" Type="http://schemas.openxmlformats.org/officeDocument/2006/relationships/hyperlink" Target="http://www.wikidata.org/prop/direct/P69" TargetMode="External"/><Relationship Id="rId2217" Type="http://schemas.openxmlformats.org/officeDocument/2006/relationships/hyperlink" Target="http://www.wikidata.org/entity/Q115979048" TargetMode="External"/><Relationship Id="rId2218" Type="http://schemas.openxmlformats.org/officeDocument/2006/relationships/hyperlink" Target="http://www.wikidata.org/entity/Q114232670" TargetMode="External"/><Relationship Id="rId2219" Type="http://schemas.openxmlformats.org/officeDocument/2006/relationships/hyperlink" Target="http://www.wikidata.org/prop/direct/P108" TargetMode="External"/><Relationship Id="rId2210" Type="http://schemas.openxmlformats.org/officeDocument/2006/relationships/hyperlink" Target="http://www.wikidata.org/prop/direct/P69" TargetMode="External"/><Relationship Id="rId2211" Type="http://schemas.openxmlformats.org/officeDocument/2006/relationships/hyperlink" Target="http://www.wikidata.org/entity/Q2627945" TargetMode="External"/><Relationship Id="rId2212" Type="http://schemas.openxmlformats.org/officeDocument/2006/relationships/hyperlink" Target="http://www.wikidata.org/entity/Q1268453" TargetMode="External"/><Relationship Id="rId2213" Type="http://schemas.openxmlformats.org/officeDocument/2006/relationships/hyperlink" Target="http://www.wikidata.org/prop/direct/P463" TargetMode="External"/><Relationship Id="rId2247" Type="http://schemas.openxmlformats.org/officeDocument/2006/relationships/hyperlink" Target="http://www.wikidata.org/entity/Q115979996" TargetMode="External"/><Relationship Id="rId2248" Type="http://schemas.openxmlformats.org/officeDocument/2006/relationships/hyperlink" Target="http://www.wikidata.org/entity/Q113988734" TargetMode="External"/><Relationship Id="rId2249" Type="http://schemas.openxmlformats.org/officeDocument/2006/relationships/hyperlink" Target="http://www.wikidata.org/prop/direct/P108" TargetMode="External"/><Relationship Id="rId327" Type="http://schemas.openxmlformats.org/officeDocument/2006/relationships/hyperlink" Target="http://www.wikidata.org/entity/Q571426" TargetMode="External"/><Relationship Id="rId326" Type="http://schemas.openxmlformats.org/officeDocument/2006/relationships/hyperlink" Target="http://www.wikidata.org/prop/direct/P108" TargetMode="External"/><Relationship Id="rId325" Type="http://schemas.openxmlformats.org/officeDocument/2006/relationships/hyperlink" Target="http://www.wikidata.org/entity/Q2499618" TargetMode="External"/><Relationship Id="rId324" Type="http://schemas.openxmlformats.org/officeDocument/2006/relationships/hyperlink" Target="http://www.wikidata.org/entity/Q42196616" TargetMode="External"/><Relationship Id="rId329" Type="http://schemas.openxmlformats.org/officeDocument/2006/relationships/hyperlink" Target="http://www.wikidata.org/prop/direct/P463" TargetMode="External"/><Relationship Id="rId328" Type="http://schemas.openxmlformats.org/officeDocument/2006/relationships/hyperlink" Target="http://www.wikidata.org/entity/Q1268453" TargetMode="External"/><Relationship Id="rId2240" Type="http://schemas.openxmlformats.org/officeDocument/2006/relationships/hyperlink" Target="http://www.wikidata.org/prop/direct/P69" TargetMode="External"/><Relationship Id="rId2241" Type="http://schemas.openxmlformats.org/officeDocument/2006/relationships/hyperlink" Target="http://www.wikidata.org/entity/Q120199426" TargetMode="External"/><Relationship Id="rId2242" Type="http://schemas.openxmlformats.org/officeDocument/2006/relationships/hyperlink" Target="http://www.wikidata.org/entity/Q644789" TargetMode="External"/><Relationship Id="rId323" Type="http://schemas.openxmlformats.org/officeDocument/2006/relationships/hyperlink" Target="http://www.wikidata.org/prop/direct/P69" TargetMode="External"/><Relationship Id="rId2243" Type="http://schemas.openxmlformats.org/officeDocument/2006/relationships/hyperlink" Target="http://www.wikidata.org/prop/direct/P69" TargetMode="External"/><Relationship Id="rId322" Type="http://schemas.openxmlformats.org/officeDocument/2006/relationships/hyperlink" Target="http://www.wikidata.org/entity/Q1867263" TargetMode="External"/><Relationship Id="rId2244" Type="http://schemas.openxmlformats.org/officeDocument/2006/relationships/hyperlink" Target="http://www.wikidata.org/entity/Q126113249" TargetMode="External"/><Relationship Id="rId321" Type="http://schemas.openxmlformats.org/officeDocument/2006/relationships/hyperlink" Target="http://www.wikidata.org/entity/Q110039180" TargetMode="External"/><Relationship Id="rId2245" Type="http://schemas.openxmlformats.org/officeDocument/2006/relationships/hyperlink" Target="http://www.wikidata.org/entity/Q1867263" TargetMode="External"/><Relationship Id="rId320" Type="http://schemas.openxmlformats.org/officeDocument/2006/relationships/hyperlink" Target="http://www.wikidata.org/prop/direct/P108" TargetMode="External"/><Relationship Id="rId2246" Type="http://schemas.openxmlformats.org/officeDocument/2006/relationships/hyperlink" Target="http://www.wikidata.org/prop/direct/P69" TargetMode="External"/><Relationship Id="rId2236" Type="http://schemas.openxmlformats.org/officeDocument/2006/relationships/hyperlink" Target="http://www.wikidata.org/entity/Q41992214" TargetMode="External"/><Relationship Id="rId2237" Type="http://schemas.openxmlformats.org/officeDocument/2006/relationships/hyperlink" Target="http://www.wikidata.org/prop/direct/P108" TargetMode="External"/><Relationship Id="rId2238" Type="http://schemas.openxmlformats.org/officeDocument/2006/relationships/hyperlink" Target="http://www.wikidata.org/entity/Q28973666" TargetMode="External"/><Relationship Id="rId2239" Type="http://schemas.openxmlformats.org/officeDocument/2006/relationships/hyperlink" Target="http://www.wikidata.org/entity/Q644789" TargetMode="External"/><Relationship Id="rId316" Type="http://schemas.openxmlformats.org/officeDocument/2006/relationships/hyperlink" Target="http://www.wikidata.org/entity/Q2642320" TargetMode="External"/><Relationship Id="rId315" Type="http://schemas.openxmlformats.org/officeDocument/2006/relationships/hyperlink" Target="http://www.wikidata.org/entity/Q115813025" TargetMode="External"/><Relationship Id="rId314" Type="http://schemas.openxmlformats.org/officeDocument/2006/relationships/hyperlink" Target="http://www.wikidata.org/prop/direct/P69" TargetMode="External"/><Relationship Id="rId313" Type="http://schemas.openxmlformats.org/officeDocument/2006/relationships/hyperlink" Target="http://www.wikidata.org/entity/Q2499618" TargetMode="External"/><Relationship Id="rId319" Type="http://schemas.openxmlformats.org/officeDocument/2006/relationships/hyperlink" Target="http://www.wikidata.org/entity/Q2663876" TargetMode="External"/><Relationship Id="rId318" Type="http://schemas.openxmlformats.org/officeDocument/2006/relationships/hyperlink" Target="http://www.wikidata.org/entity/Q115809938" TargetMode="External"/><Relationship Id="rId317" Type="http://schemas.openxmlformats.org/officeDocument/2006/relationships/hyperlink" Target="http://www.wikidata.org/prop/direct/P463" TargetMode="External"/><Relationship Id="rId2230" Type="http://schemas.openxmlformats.org/officeDocument/2006/relationships/hyperlink" Target="http://www.wikidata.org/entity/Q792293" TargetMode="External"/><Relationship Id="rId2231" Type="http://schemas.openxmlformats.org/officeDocument/2006/relationships/hyperlink" Target="http://www.wikidata.org/prop/direct/P463" TargetMode="External"/><Relationship Id="rId312" Type="http://schemas.openxmlformats.org/officeDocument/2006/relationships/hyperlink" Target="http://www.wikidata.org/entity/Q56036059" TargetMode="External"/><Relationship Id="rId2232" Type="http://schemas.openxmlformats.org/officeDocument/2006/relationships/hyperlink" Target="http://www.wikidata.org/entity/Q354052" TargetMode="External"/><Relationship Id="rId311" Type="http://schemas.openxmlformats.org/officeDocument/2006/relationships/hyperlink" Target="http://www.wikidata.org/prop/direct/P108" TargetMode="External"/><Relationship Id="rId2233" Type="http://schemas.openxmlformats.org/officeDocument/2006/relationships/hyperlink" Target="http://www.wikidata.org/entity/Q644789" TargetMode="External"/><Relationship Id="rId310" Type="http://schemas.openxmlformats.org/officeDocument/2006/relationships/hyperlink" Target="http://www.wikidata.org/entity/Q156598" TargetMode="External"/><Relationship Id="rId2234" Type="http://schemas.openxmlformats.org/officeDocument/2006/relationships/hyperlink" Target="http://www.wikidata.org/prop/direct/P69" TargetMode="External"/><Relationship Id="rId2235" Type="http://schemas.openxmlformats.org/officeDocument/2006/relationships/hyperlink" Target="http://www.wikidata.org/entity/Q121002664" TargetMode="External"/><Relationship Id="rId297" Type="http://schemas.openxmlformats.org/officeDocument/2006/relationships/hyperlink" Target="http://www.wikidata.org/entity/Q2450554" TargetMode="External"/><Relationship Id="rId296" Type="http://schemas.openxmlformats.org/officeDocument/2006/relationships/hyperlink" Target="http://www.wikidata.org/prop/direct/P463" TargetMode="External"/><Relationship Id="rId295" Type="http://schemas.openxmlformats.org/officeDocument/2006/relationships/hyperlink" Target="http://www.wikidata.org/entity/Q1268453" TargetMode="External"/><Relationship Id="rId294" Type="http://schemas.openxmlformats.org/officeDocument/2006/relationships/hyperlink" Target="http://www.wikidata.org/entity/Q56036059" TargetMode="External"/><Relationship Id="rId299" Type="http://schemas.openxmlformats.org/officeDocument/2006/relationships/hyperlink" Target="http://www.wikidata.org/prop/direct/P108" TargetMode="External"/><Relationship Id="rId298" Type="http://schemas.openxmlformats.org/officeDocument/2006/relationships/hyperlink" Target="http://www.wikidata.org/entity/Q2663876" TargetMode="External"/><Relationship Id="rId271" Type="http://schemas.openxmlformats.org/officeDocument/2006/relationships/hyperlink" Target="http://www.wikidata.org/entity/Q168426" TargetMode="External"/><Relationship Id="rId270" Type="http://schemas.openxmlformats.org/officeDocument/2006/relationships/hyperlink" Target="http://www.wikidata.org/entity/Q21549953" TargetMode="External"/><Relationship Id="rId269" Type="http://schemas.openxmlformats.org/officeDocument/2006/relationships/hyperlink" Target="http://www.wikidata.org/prop/direct/P463" TargetMode="External"/><Relationship Id="rId264" Type="http://schemas.openxmlformats.org/officeDocument/2006/relationships/hyperlink" Target="http://www.wikidata.org/entity/Q2450554" TargetMode="External"/><Relationship Id="rId263" Type="http://schemas.openxmlformats.org/officeDocument/2006/relationships/hyperlink" Target="http://www.wikidata.org/prop/direct/P463" TargetMode="External"/><Relationship Id="rId262" Type="http://schemas.openxmlformats.org/officeDocument/2006/relationships/hyperlink" Target="http://www.wikidata.org/entity/Q56022443" TargetMode="External"/><Relationship Id="rId261" Type="http://schemas.openxmlformats.org/officeDocument/2006/relationships/hyperlink" Target="http://www.wikidata.org/entity/Q56036064" TargetMode="External"/><Relationship Id="rId268" Type="http://schemas.openxmlformats.org/officeDocument/2006/relationships/hyperlink" Target="http://www.wikidata.org/entity/Q49424872" TargetMode="External"/><Relationship Id="rId267" Type="http://schemas.openxmlformats.org/officeDocument/2006/relationships/hyperlink" Target="http://www.wikidata.org/entity/Q56036064" TargetMode="External"/><Relationship Id="rId266" Type="http://schemas.openxmlformats.org/officeDocument/2006/relationships/hyperlink" Target="http://www.wikidata.org/prop/direct/P108" TargetMode="External"/><Relationship Id="rId265" Type="http://schemas.openxmlformats.org/officeDocument/2006/relationships/hyperlink" Target="http://www.wikidata.org/entity/Q1867263" TargetMode="External"/><Relationship Id="rId260" Type="http://schemas.openxmlformats.org/officeDocument/2006/relationships/hyperlink" Target="http://www.wikidata.org/prop/direct/P463" TargetMode="External"/><Relationship Id="rId259" Type="http://schemas.openxmlformats.org/officeDocument/2006/relationships/hyperlink" Target="http://www.wikidata.org/entity/Q118369084" TargetMode="External"/><Relationship Id="rId258" Type="http://schemas.openxmlformats.org/officeDocument/2006/relationships/hyperlink" Target="http://www.wikidata.org/entity/Q110039180" TargetMode="External"/><Relationship Id="rId2290" Type="http://schemas.openxmlformats.org/officeDocument/2006/relationships/hyperlink" Target="http://www.wikidata.org/entity/Q2109623" TargetMode="External"/><Relationship Id="rId2291" Type="http://schemas.openxmlformats.org/officeDocument/2006/relationships/hyperlink" Target="http://www.wikidata.org/prop/direct/P69" TargetMode="External"/><Relationship Id="rId2292" Type="http://schemas.openxmlformats.org/officeDocument/2006/relationships/hyperlink" Target="http://www.wikidata.org/entity/Q20604626" TargetMode="External"/><Relationship Id="rId2293" Type="http://schemas.openxmlformats.org/officeDocument/2006/relationships/hyperlink" Target="http://www.wikidata.org/entity/Q850730" TargetMode="External"/><Relationship Id="rId253" Type="http://schemas.openxmlformats.org/officeDocument/2006/relationships/hyperlink" Target="http://www.wikidata.org/entity/Q118369084" TargetMode="External"/><Relationship Id="rId2294" Type="http://schemas.openxmlformats.org/officeDocument/2006/relationships/hyperlink" Target="http://www.wikidata.org/prop/direct/P69" TargetMode="External"/><Relationship Id="rId252" Type="http://schemas.openxmlformats.org/officeDocument/2006/relationships/hyperlink" Target="http://www.wikidata.org/entity/Q110039178" TargetMode="External"/><Relationship Id="rId2295" Type="http://schemas.openxmlformats.org/officeDocument/2006/relationships/hyperlink" Target="http://www.wikidata.org/entity/Q28973666" TargetMode="External"/><Relationship Id="rId251" Type="http://schemas.openxmlformats.org/officeDocument/2006/relationships/hyperlink" Target="http://www.wikidata.org/prop/direct/P463" TargetMode="External"/><Relationship Id="rId2296" Type="http://schemas.openxmlformats.org/officeDocument/2006/relationships/hyperlink" Target="http://www.wikidata.org/entity/Q118547498" TargetMode="External"/><Relationship Id="rId250" Type="http://schemas.openxmlformats.org/officeDocument/2006/relationships/hyperlink" Target="http://www.wikidata.org/entity/Q3488101" TargetMode="External"/><Relationship Id="rId2297" Type="http://schemas.openxmlformats.org/officeDocument/2006/relationships/hyperlink" Target="http://www.wikidata.org/prop/direct/P463" TargetMode="External"/><Relationship Id="rId257" Type="http://schemas.openxmlformats.org/officeDocument/2006/relationships/hyperlink" Target="http://www.wikidata.org/prop/direct/P108" TargetMode="External"/><Relationship Id="rId2298" Type="http://schemas.openxmlformats.org/officeDocument/2006/relationships/hyperlink" Target="http://www.wikidata.org/entity/Q110039252" TargetMode="External"/><Relationship Id="rId256" Type="http://schemas.openxmlformats.org/officeDocument/2006/relationships/hyperlink" Target="http://www.wikidata.org/entity/Q118370108" TargetMode="External"/><Relationship Id="rId2299" Type="http://schemas.openxmlformats.org/officeDocument/2006/relationships/hyperlink" Target="http://www.wikidata.org/entity/Q1867263" TargetMode="External"/><Relationship Id="rId255" Type="http://schemas.openxmlformats.org/officeDocument/2006/relationships/hyperlink" Target="http://www.wikidata.org/entity/Q110039178" TargetMode="External"/><Relationship Id="rId254" Type="http://schemas.openxmlformats.org/officeDocument/2006/relationships/hyperlink" Target="http://www.wikidata.org/prop/direct/P463" TargetMode="External"/><Relationship Id="rId293" Type="http://schemas.openxmlformats.org/officeDocument/2006/relationships/hyperlink" Target="http://www.wikidata.org/prop/direct/P69" TargetMode="External"/><Relationship Id="rId292" Type="http://schemas.openxmlformats.org/officeDocument/2006/relationships/hyperlink" Target="http://www.wikidata.org/entity/Q1867263" TargetMode="External"/><Relationship Id="rId291" Type="http://schemas.openxmlformats.org/officeDocument/2006/relationships/hyperlink" Target="http://www.wikidata.org/entity/Q118612085" TargetMode="External"/><Relationship Id="rId290" Type="http://schemas.openxmlformats.org/officeDocument/2006/relationships/hyperlink" Target="http://www.wikidata.org/prop/direct/P69" TargetMode="External"/><Relationship Id="rId286" Type="http://schemas.openxmlformats.org/officeDocument/2006/relationships/hyperlink" Target="http://www.wikidata.org/entity/Q52380328" TargetMode="External"/><Relationship Id="rId285" Type="http://schemas.openxmlformats.org/officeDocument/2006/relationships/hyperlink" Target="http://www.wikidata.org/entity/Q115809938" TargetMode="External"/><Relationship Id="rId284" Type="http://schemas.openxmlformats.org/officeDocument/2006/relationships/hyperlink" Target="http://www.wikidata.org/prop/direct/P69" TargetMode="External"/><Relationship Id="rId283" Type="http://schemas.openxmlformats.org/officeDocument/2006/relationships/hyperlink" Target="http://www.wikidata.org/entity/Q113988659" TargetMode="External"/><Relationship Id="rId289" Type="http://schemas.openxmlformats.org/officeDocument/2006/relationships/hyperlink" Target="http://www.wikidata.org/entity/Q1867263" TargetMode="External"/><Relationship Id="rId288" Type="http://schemas.openxmlformats.org/officeDocument/2006/relationships/hyperlink" Target="http://www.wikidata.org/entity/Q115982548" TargetMode="External"/><Relationship Id="rId287" Type="http://schemas.openxmlformats.org/officeDocument/2006/relationships/hyperlink" Target="http://www.wikidata.org/prop/direct/P108" TargetMode="External"/><Relationship Id="rId282" Type="http://schemas.openxmlformats.org/officeDocument/2006/relationships/hyperlink" Target="http://www.wikidata.org/entity/Q11071766" TargetMode="External"/><Relationship Id="rId281" Type="http://schemas.openxmlformats.org/officeDocument/2006/relationships/hyperlink" Target="http://www.wikidata.org/prop/direct/P108" TargetMode="External"/><Relationship Id="rId280" Type="http://schemas.openxmlformats.org/officeDocument/2006/relationships/hyperlink" Target="http://www.wikidata.org/entity/Q1864590" TargetMode="External"/><Relationship Id="rId275" Type="http://schemas.openxmlformats.org/officeDocument/2006/relationships/hyperlink" Target="http://www.wikidata.org/prop/direct/P69" TargetMode="External"/><Relationship Id="rId274" Type="http://schemas.openxmlformats.org/officeDocument/2006/relationships/hyperlink" Target="http://www.wikidata.org/entity/Q2479554" TargetMode="External"/><Relationship Id="rId273" Type="http://schemas.openxmlformats.org/officeDocument/2006/relationships/hyperlink" Target="http://www.wikidata.org/entity/Q118644563" TargetMode="External"/><Relationship Id="rId272" Type="http://schemas.openxmlformats.org/officeDocument/2006/relationships/hyperlink" Target="http://www.wikidata.org/prop/direct/P69" TargetMode="External"/><Relationship Id="rId279" Type="http://schemas.openxmlformats.org/officeDocument/2006/relationships/hyperlink" Target="http://www.wikidata.org/entity/Q42196616" TargetMode="External"/><Relationship Id="rId278" Type="http://schemas.openxmlformats.org/officeDocument/2006/relationships/hyperlink" Target="http://www.wikidata.org/prop/direct/P69" TargetMode="External"/><Relationship Id="rId277" Type="http://schemas.openxmlformats.org/officeDocument/2006/relationships/hyperlink" Target="http://www.wikidata.org/entity/Q1137665" TargetMode="External"/><Relationship Id="rId276" Type="http://schemas.openxmlformats.org/officeDocument/2006/relationships/hyperlink" Target="http://www.wikidata.org/entity/Q56036059" TargetMode="External"/><Relationship Id="rId1851" Type="http://schemas.openxmlformats.org/officeDocument/2006/relationships/hyperlink" Target="http://www.wikidata.org/entity/Q62080181" TargetMode="External"/><Relationship Id="rId1852" Type="http://schemas.openxmlformats.org/officeDocument/2006/relationships/hyperlink" Target="http://www.wikidata.org/entity/Q644789" TargetMode="External"/><Relationship Id="rId1853" Type="http://schemas.openxmlformats.org/officeDocument/2006/relationships/hyperlink" Target="http://www.wikidata.org/prop/direct/P69" TargetMode="External"/><Relationship Id="rId1854" Type="http://schemas.openxmlformats.org/officeDocument/2006/relationships/hyperlink" Target="http://www.wikidata.org/entity/Q98322098" TargetMode="External"/><Relationship Id="rId1855" Type="http://schemas.openxmlformats.org/officeDocument/2006/relationships/hyperlink" Target="http://www.wikidata.org/entity/Q118744262" TargetMode="External"/><Relationship Id="rId1856" Type="http://schemas.openxmlformats.org/officeDocument/2006/relationships/hyperlink" Target="http://www.wikidata.org/prop/direct/P463" TargetMode="External"/><Relationship Id="rId1857" Type="http://schemas.openxmlformats.org/officeDocument/2006/relationships/hyperlink" Target="http://www.wikidata.org/entity/Q3163681" TargetMode="External"/><Relationship Id="rId1858" Type="http://schemas.openxmlformats.org/officeDocument/2006/relationships/hyperlink" Target="http://www.wikidata.org/entity/Q2479554" TargetMode="External"/><Relationship Id="rId1859" Type="http://schemas.openxmlformats.org/officeDocument/2006/relationships/hyperlink" Target="http://www.wikidata.org/prop/direct/P108" TargetMode="External"/><Relationship Id="rId1850" Type="http://schemas.openxmlformats.org/officeDocument/2006/relationships/hyperlink" Target="http://www.wikidata.org/prop/direct/P463" TargetMode="External"/><Relationship Id="rId1840" Type="http://schemas.openxmlformats.org/officeDocument/2006/relationships/hyperlink" Target="http://www.wikidata.org/entity/Q57706" TargetMode="External"/><Relationship Id="rId1841" Type="http://schemas.openxmlformats.org/officeDocument/2006/relationships/hyperlink" Target="http://www.wikidata.org/prop/direct/P108" TargetMode="External"/><Relationship Id="rId1842" Type="http://schemas.openxmlformats.org/officeDocument/2006/relationships/hyperlink" Target="http://www.wikidata.org/entity/Q121078001" TargetMode="External"/><Relationship Id="rId1843" Type="http://schemas.openxmlformats.org/officeDocument/2006/relationships/hyperlink" Target="http://www.wikidata.org/entity/Q2005895" TargetMode="External"/><Relationship Id="rId1844" Type="http://schemas.openxmlformats.org/officeDocument/2006/relationships/hyperlink" Target="http://www.wikidata.org/prop/direct/P69" TargetMode="External"/><Relationship Id="rId1845" Type="http://schemas.openxmlformats.org/officeDocument/2006/relationships/hyperlink" Target="http://www.wikidata.org/entity/Q18655152" TargetMode="External"/><Relationship Id="rId1846" Type="http://schemas.openxmlformats.org/officeDocument/2006/relationships/hyperlink" Target="http://www.wikidata.org/entity/Q118574791" TargetMode="External"/><Relationship Id="rId1847" Type="http://schemas.openxmlformats.org/officeDocument/2006/relationships/hyperlink" Target="http://www.wikidata.org/prop/direct/P463" TargetMode="External"/><Relationship Id="rId1848" Type="http://schemas.openxmlformats.org/officeDocument/2006/relationships/hyperlink" Target="http://www.wikidata.org/entity/Q37766220" TargetMode="External"/><Relationship Id="rId1849" Type="http://schemas.openxmlformats.org/officeDocument/2006/relationships/hyperlink" Target="http://www.wikidata.org/entity/Q2237463" TargetMode="External"/><Relationship Id="rId1873" Type="http://schemas.openxmlformats.org/officeDocument/2006/relationships/hyperlink" Target="http://www.wikidata.org/entity/Q15284" TargetMode="External"/><Relationship Id="rId1874" Type="http://schemas.openxmlformats.org/officeDocument/2006/relationships/hyperlink" Target="http://www.wikidata.org/prop/direct/P108" TargetMode="External"/><Relationship Id="rId1875" Type="http://schemas.openxmlformats.org/officeDocument/2006/relationships/hyperlink" Target="http://www.wikidata.org/entity/Q18533827" TargetMode="External"/><Relationship Id="rId1876" Type="http://schemas.openxmlformats.org/officeDocument/2006/relationships/hyperlink" Target="http://www.wikidata.org/entity/Q1137665" TargetMode="External"/><Relationship Id="rId1877" Type="http://schemas.openxmlformats.org/officeDocument/2006/relationships/hyperlink" Target="http://www.wikidata.org/prop/direct/P69" TargetMode="External"/><Relationship Id="rId1878" Type="http://schemas.openxmlformats.org/officeDocument/2006/relationships/hyperlink" Target="http://www.wikidata.org/entity/Q117244395" TargetMode="External"/><Relationship Id="rId1879" Type="http://schemas.openxmlformats.org/officeDocument/2006/relationships/hyperlink" Target="http://www.wikidata.org/entity/Q2663876" TargetMode="External"/><Relationship Id="rId1870" Type="http://schemas.openxmlformats.org/officeDocument/2006/relationships/hyperlink" Target="http://www.wikidata.org/entity/Q1867263" TargetMode="External"/><Relationship Id="rId1871" Type="http://schemas.openxmlformats.org/officeDocument/2006/relationships/hyperlink" Target="http://www.wikidata.org/prop/direct/P69" TargetMode="External"/><Relationship Id="rId1872" Type="http://schemas.openxmlformats.org/officeDocument/2006/relationships/hyperlink" Target="http://www.wikidata.org/entity/Q37766220" TargetMode="External"/><Relationship Id="rId1862" Type="http://schemas.openxmlformats.org/officeDocument/2006/relationships/hyperlink" Target="http://www.wikidata.org/prop/direct/P69" TargetMode="External"/><Relationship Id="rId1863" Type="http://schemas.openxmlformats.org/officeDocument/2006/relationships/hyperlink" Target="http://www.wikidata.org/entity/Q3431564" TargetMode="External"/><Relationship Id="rId1864" Type="http://schemas.openxmlformats.org/officeDocument/2006/relationships/hyperlink" Target="http://www.wikidata.org/entity/Q1268453" TargetMode="External"/><Relationship Id="rId1865" Type="http://schemas.openxmlformats.org/officeDocument/2006/relationships/hyperlink" Target="http://www.wikidata.org/prop/direct/P463" TargetMode="External"/><Relationship Id="rId1866" Type="http://schemas.openxmlformats.org/officeDocument/2006/relationships/hyperlink" Target="http://www.wikidata.org/entity/Q55233295" TargetMode="External"/><Relationship Id="rId1867" Type="http://schemas.openxmlformats.org/officeDocument/2006/relationships/hyperlink" Target="http://www.wikidata.org/entity/Q165980" TargetMode="External"/><Relationship Id="rId1868" Type="http://schemas.openxmlformats.org/officeDocument/2006/relationships/hyperlink" Target="http://www.wikidata.org/prop/direct/P69" TargetMode="External"/><Relationship Id="rId1869" Type="http://schemas.openxmlformats.org/officeDocument/2006/relationships/hyperlink" Target="http://www.wikidata.org/entity/Q4902927" TargetMode="External"/><Relationship Id="rId1860" Type="http://schemas.openxmlformats.org/officeDocument/2006/relationships/hyperlink" Target="http://www.wikidata.org/entity/Q62080181" TargetMode="External"/><Relationship Id="rId1861" Type="http://schemas.openxmlformats.org/officeDocument/2006/relationships/hyperlink" Target="http://www.wikidata.org/entity/Q113988659" TargetMode="External"/><Relationship Id="rId1810" Type="http://schemas.openxmlformats.org/officeDocument/2006/relationships/hyperlink" Target="http://www.wikidata.org/entity/Q1867263" TargetMode="External"/><Relationship Id="rId1811" Type="http://schemas.openxmlformats.org/officeDocument/2006/relationships/hyperlink" Target="http://www.wikidata.org/prop/direct/P69" TargetMode="External"/><Relationship Id="rId1812" Type="http://schemas.openxmlformats.org/officeDocument/2006/relationships/hyperlink" Target="http://www.wikidata.org/entity/Q2580620" TargetMode="External"/><Relationship Id="rId1813" Type="http://schemas.openxmlformats.org/officeDocument/2006/relationships/hyperlink" Target="http://www.wikidata.org/entity/Q118541114" TargetMode="External"/><Relationship Id="rId1814" Type="http://schemas.openxmlformats.org/officeDocument/2006/relationships/hyperlink" Target="http://www.wikidata.org/prop/direct/P108" TargetMode="External"/><Relationship Id="rId1815" Type="http://schemas.openxmlformats.org/officeDocument/2006/relationships/hyperlink" Target="http://www.wikidata.org/entity/Q55233295" TargetMode="External"/><Relationship Id="rId1816" Type="http://schemas.openxmlformats.org/officeDocument/2006/relationships/hyperlink" Target="http://www.wikidata.org/entity/Q209842" TargetMode="External"/><Relationship Id="rId1817" Type="http://schemas.openxmlformats.org/officeDocument/2006/relationships/hyperlink" Target="http://www.wikidata.org/prop/direct/P69" TargetMode="External"/><Relationship Id="rId1818" Type="http://schemas.openxmlformats.org/officeDocument/2006/relationships/hyperlink" Target="http://www.wikidata.org/entity/Q2619202" TargetMode="External"/><Relationship Id="rId1819" Type="http://schemas.openxmlformats.org/officeDocument/2006/relationships/hyperlink" Target="http://www.wikidata.org/entity/Q120854550" TargetMode="External"/><Relationship Id="rId1800" Type="http://schemas.openxmlformats.org/officeDocument/2006/relationships/hyperlink" Target="http://www.wikidata.org/entity/Q94896539" TargetMode="External"/><Relationship Id="rId1801" Type="http://schemas.openxmlformats.org/officeDocument/2006/relationships/hyperlink" Target="http://www.wikidata.org/entity/Q2237463" TargetMode="External"/><Relationship Id="rId1802" Type="http://schemas.openxmlformats.org/officeDocument/2006/relationships/hyperlink" Target="http://www.wikidata.org/prop/direct/P463" TargetMode="External"/><Relationship Id="rId1803" Type="http://schemas.openxmlformats.org/officeDocument/2006/relationships/hyperlink" Target="http://www.wikidata.org/entity/Q3067739" TargetMode="External"/><Relationship Id="rId1804" Type="http://schemas.openxmlformats.org/officeDocument/2006/relationships/hyperlink" Target="http://www.wikidata.org/entity/Q768224" TargetMode="External"/><Relationship Id="rId1805" Type="http://schemas.openxmlformats.org/officeDocument/2006/relationships/hyperlink" Target="http://www.wikidata.org/prop/direct/P108" TargetMode="External"/><Relationship Id="rId1806" Type="http://schemas.openxmlformats.org/officeDocument/2006/relationships/hyperlink" Target="http://www.wikidata.org/entity/Q2580620" TargetMode="External"/><Relationship Id="rId1807" Type="http://schemas.openxmlformats.org/officeDocument/2006/relationships/hyperlink" Target="http://www.wikidata.org/entity/Q118522719" TargetMode="External"/><Relationship Id="rId1808" Type="http://schemas.openxmlformats.org/officeDocument/2006/relationships/hyperlink" Target="http://www.wikidata.org/prop/direct/P108" TargetMode="External"/><Relationship Id="rId1809" Type="http://schemas.openxmlformats.org/officeDocument/2006/relationships/hyperlink" Target="http://www.wikidata.org/entity/Q55233295" TargetMode="External"/><Relationship Id="rId1830" Type="http://schemas.openxmlformats.org/officeDocument/2006/relationships/hyperlink" Target="http://www.wikidata.org/entity/Q2580620" TargetMode="External"/><Relationship Id="rId1831" Type="http://schemas.openxmlformats.org/officeDocument/2006/relationships/hyperlink" Target="http://www.wikidata.org/entity/Q2267896" TargetMode="External"/><Relationship Id="rId1832" Type="http://schemas.openxmlformats.org/officeDocument/2006/relationships/hyperlink" Target="http://www.wikidata.org/prop/direct/P463" TargetMode="External"/><Relationship Id="rId1833" Type="http://schemas.openxmlformats.org/officeDocument/2006/relationships/hyperlink" Target="http://www.wikidata.org/entity/Q55233295" TargetMode="External"/><Relationship Id="rId1834" Type="http://schemas.openxmlformats.org/officeDocument/2006/relationships/hyperlink" Target="http://www.wikidata.org/entity/Q1137665" TargetMode="External"/><Relationship Id="rId1835" Type="http://schemas.openxmlformats.org/officeDocument/2006/relationships/hyperlink" Target="http://www.wikidata.org/prop/direct/P69" TargetMode="External"/><Relationship Id="rId1836" Type="http://schemas.openxmlformats.org/officeDocument/2006/relationships/hyperlink" Target="http://www.wikidata.org/entity/Q55233295" TargetMode="External"/><Relationship Id="rId1837" Type="http://schemas.openxmlformats.org/officeDocument/2006/relationships/hyperlink" Target="http://www.wikidata.org/entity/Q1137665" TargetMode="External"/><Relationship Id="rId1838" Type="http://schemas.openxmlformats.org/officeDocument/2006/relationships/hyperlink" Target="http://www.wikidata.org/prop/direct/P108" TargetMode="External"/><Relationship Id="rId1839" Type="http://schemas.openxmlformats.org/officeDocument/2006/relationships/hyperlink" Target="http://www.wikidata.org/entity/Q3163681" TargetMode="External"/><Relationship Id="rId1820" Type="http://schemas.openxmlformats.org/officeDocument/2006/relationships/hyperlink" Target="http://www.wikidata.org/prop/direct/P108" TargetMode="External"/><Relationship Id="rId1821" Type="http://schemas.openxmlformats.org/officeDocument/2006/relationships/hyperlink" Target="http://www.wikidata.org/entity/Q61506427" TargetMode="External"/><Relationship Id="rId1822" Type="http://schemas.openxmlformats.org/officeDocument/2006/relationships/hyperlink" Target="http://www.wikidata.org/entity/Q644789" TargetMode="External"/><Relationship Id="rId1823" Type="http://schemas.openxmlformats.org/officeDocument/2006/relationships/hyperlink" Target="http://www.wikidata.org/prop/direct/P69" TargetMode="External"/><Relationship Id="rId1824" Type="http://schemas.openxmlformats.org/officeDocument/2006/relationships/hyperlink" Target="http://www.wikidata.org/entity/Q115836535" TargetMode="External"/><Relationship Id="rId1825" Type="http://schemas.openxmlformats.org/officeDocument/2006/relationships/hyperlink" Target="http://www.wikidata.org/entity/Q2018402" TargetMode="External"/><Relationship Id="rId1826" Type="http://schemas.openxmlformats.org/officeDocument/2006/relationships/hyperlink" Target="http://www.wikidata.org/prop/direct/P69" TargetMode="External"/><Relationship Id="rId1827" Type="http://schemas.openxmlformats.org/officeDocument/2006/relationships/hyperlink" Target="http://www.wikidata.org/entity/Q115836535" TargetMode="External"/><Relationship Id="rId1828" Type="http://schemas.openxmlformats.org/officeDocument/2006/relationships/hyperlink" Target="http://www.wikidata.org/entity/Q2018402" TargetMode="External"/><Relationship Id="rId1829" Type="http://schemas.openxmlformats.org/officeDocument/2006/relationships/hyperlink" Target="http://www.wikidata.org/prop/direct/P108" TargetMode="External"/><Relationship Id="rId2302" Type="http://schemas.openxmlformats.org/officeDocument/2006/relationships/hyperlink" Target="http://www.wikidata.org/entity/Q1867263" TargetMode="External"/><Relationship Id="rId2303" Type="http://schemas.openxmlformats.org/officeDocument/2006/relationships/hyperlink" Target="http://www.wikidata.org/prop/direct/P108" TargetMode="External"/><Relationship Id="rId2304" Type="http://schemas.openxmlformats.org/officeDocument/2006/relationships/hyperlink" Target="http://www.wikidata.org/entity/Q120199426" TargetMode="External"/><Relationship Id="rId2305" Type="http://schemas.openxmlformats.org/officeDocument/2006/relationships/hyperlink" Target="http://www.wikidata.org/entity/Q1391755" TargetMode="External"/><Relationship Id="rId2306" Type="http://schemas.openxmlformats.org/officeDocument/2006/relationships/hyperlink" Target="http://www.wikidata.org/prop/direct/P69" TargetMode="External"/><Relationship Id="rId2307" Type="http://schemas.openxmlformats.org/officeDocument/2006/relationships/hyperlink" Target="http://www.wikidata.org/entity/Q120191174" TargetMode="External"/><Relationship Id="rId2308" Type="http://schemas.openxmlformats.org/officeDocument/2006/relationships/hyperlink" Target="http://www.wikidata.org/entity/Q1867263" TargetMode="External"/><Relationship Id="rId2309" Type="http://schemas.openxmlformats.org/officeDocument/2006/relationships/hyperlink" Target="http://www.wikidata.org/prop/direct/P69" TargetMode="External"/><Relationship Id="rId2300" Type="http://schemas.openxmlformats.org/officeDocument/2006/relationships/hyperlink" Target="http://www.wikidata.org/prop/direct/P69" TargetMode="External"/><Relationship Id="rId2301" Type="http://schemas.openxmlformats.org/officeDocument/2006/relationships/hyperlink" Target="http://www.wikidata.org/entity/Q110039252" TargetMode="External"/><Relationship Id="rId2324" Type="http://schemas.openxmlformats.org/officeDocument/2006/relationships/hyperlink" Target="http://www.wikidata.org/prop/direct/P69" TargetMode="External"/><Relationship Id="rId2325" Type="http://schemas.openxmlformats.org/officeDocument/2006/relationships/hyperlink" Target="http://www.wikidata.org/entity/Q115841074" TargetMode="External"/><Relationship Id="rId2326" Type="http://schemas.openxmlformats.org/officeDocument/2006/relationships/hyperlink" Target="http://www.wikidata.org/entity/Q13924486" TargetMode="External"/><Relationship Id="rId2327" Type="http://schemas.openxmlformats.org/officeDocument/2006/relationships/hyperlink" Target="http://www.wikidata.org/prop/direct/P69" TargetMode="External"/><Relationship Id="rId2328" Type="http://schemas.openxmlformats.org/officeDocument/2006/relationships/hyperlink" Target="http://www.wikidata.org/entity/Q122884757" TargetMode="External"/><Relationship Id="rId2329" Type="http://schemas.openxmlformats.org/officeDocument/2006/relationships/hyperlink" Target="http://www.wikidata.org/entity/Q2663876" TargetMode="External"/><Relationship Id="rId2320" Type="http://schemas.openxmlformats.org/officeDocument/2006/relationships/hyperlink" Target="http://www.wikidata.org/entity/Q1867263" TargetMode="External"/><Relationship Id="rId2321" Type="http://schemas.openxmlformats.org/officeDocument/2006/relationships/hyperlink" Target="http://www.wikidata.org/prop/direct/P69" TargetMode="External"/><Relationship Id="rId2322" Type="http://schemas.openxmlformats.org/officeDocument/2006/relationships/hyperlink" Target="http://www.wikidata.org/entity/Q116679969" TargetMode="External"/><Relationship Id="rId2323" Type="http://schemas.openxmlformats.org/officeDocument/2006/relationships/hyperlink" Target="http://www.wikidata.org/entity/Q644789" TargetMode="External"/><Relationship Id="rId2313" Type="http://schemas.openxmlformats.org/officeDocument/2006/relationships/hyperlink" Target="http://www.wikidata.org/entity/Q122884757" TargetMode="External"/><Relationship Id="rId2314" Type="http://schemas.openxmlformats.org/officeDocument/2006/relationships/hyperlink" Target="http://www.wikidata.org/entity/Q2983632" TargetMode="External"/><Relationship Id="rId2315" Type="http://schemas.openxmlformats.org/officeDocument/2006/relationships/hyperlink" Target="http://www.wikidata.org/prop/direct/P69" TargetMode="External"/><Relationship Id="rId2316" Type="http://schemas.openxmlformats.org/officeDocument/2006/relationships/hyperlink" Target="http://www.wikidata.org/entity/Q2360914" TargetMode="External"/><Relationship Id="rId2317" Type="http://schemas.openxmlformats.org/officeDocument/2006/relationships/hyperlink" Target="http://www.wikidata.org/entity/Q2740329" TargetMode="External"/><Relationship Id="rId2318" Type="http://schemas.openxmlformats.org/officeDocument/2006/relationships/hyperlink" Target="http://www.wikidata.org/prop/direct/P108" TargetMode="External"/><Relationship Id="rId2319" Type="http://schemas.openxmlformats.org/officeDocument/2006/relationships/hyperlink" Target="http://www.wikidata.org/entity/Q120176244" TargetMode="External"/><Relationship Id="rId2310" Type="http://schemas.openxmlformats.org/officeDocument/2006/relationships/hyperlink" Target="http://www.wikidata.org/entity/Q110039252" TargetMode="External"/><Relationship Id="rId2311" Type="http://schemas.openxmlformats.org/officeDocument/2006/relationships/hyperlink" Target="http://www.wikidata.org/entity/Q2479554" TargetMode="External"/><Relationship Id="rId2312" Type="http://schemas.openxmlformats.org/officeDocument/2006/relationships/hyperlink" Target="http://www.wikidata.org/prop/direct/P108" TargetMode="External"/><Relationship Id="rId1895" Type="http://schemas.openxmlformats.org/officeDocument/2006/relationships/hyperlink" Target="http://www.wikidata.org/prop/direct/P69" TargetMode="External"/><Relationship Id="rId1896" Type="http://schemas.openxmlformats.org/officeDocument/2006/relationships/hyperlink" Target="http://www.wikidata.org/entity/Q116460145" TargetMode="External"/><Relationship Id="rId1897" Type="http://schemas.openxmlformats.org/officeDocument/2006/relationships/hyperlink" Target="http://www.wikidata.org/entity/Q2329939" TargetMode="External"/><Relationship Id="rId1898" Type="http://schemas.openxmlformats.org/officeDocument/2006/relationships/hyperlink" Target="http://www.wikidata.org/prop/direct/P108" TargetMode="External"/><Relationship Id="rId1899" Type="http://schemas.openxmlformats.org/officeDocument/2006/relationships/hyperlink" Target="http://www.wikidata.org/entity/Q2580620" TargetMode="External"/><Relationship Id="rId1890" Type="http://schemas.openxmlformats.org/officeDocument/2006/relationships/hyperlink" Target="http://www.wikidata.org/entity/Q3163681" TargetMode="External"/><Relationship Id="rId1891" Type="http://schemas.openxmlformats.org/officeDocument/2006/relationships/hyperlink" Target="http://www.wikidata.org/entity/Q644789" TargetMode="External"/><Relationship Id="rId1892" Type="http://schemas.openxmlformats.org/officeDocument/2006/relationships/hyperlink" Target="http://www.wikidata.org/prop/direct/P69" TargetMode="External"/><Relationship Id="rId1893" Type="http://schemas.openxmlformats.org/officeDocument/2006/relationships/hyperlink" Target="http://www.wikidata.org/entity/Q120729903" TargetMode="External"/><Relationship Id="rId1894" Type="http://schemas.openxmlformats.org/officeDocument/2006/relationships/hyperlink" Target="http://www.wikidata.org/entity/Q118464788" TargetMode="External"/><Relationship Id="rId1884" Type="http://schemas.openxmlformats.org/officeDocument/2006/relationships/hyperlink" Target="http://www.wikidata.org/entity/Q94896539" TargetMode="External"/><Relationship Id="rId1885" Type="http://schemas.openxmlformats.org/officeDocument/2006/relationships/hyperlink" Target="http://www.wikidata.org/entity/Q1137665" TargetMode="External"/><Relationship Id="rId1886" Type="http://schemas.openxmlformats.org/officeDocument/2006/relationships/hyperlink" Target="http://www.wikidata.org/prop/direct/P69" TargetMode="External"/><Relationship Id="rId1887" Type="http://schemas.openxmlformats.org/officeDocument/2006/relationships/hyperlink" Target="http://www.wikidata.org/entity/Q2457997" TargetMode="External"/><Relationship Id="rId1888" Type="http://schemas.openxmlformats.org/officeDocument/2006/relationships/hyperlink" Target="http://www.wikidata.org/entity/Q29016912" TargetMode="External"/><Relationship Id="rId1889" Type="http://schemas.openxmlformats.org/officeDocument/2006/relationships/hyperlink" Target="http://www.wikidata.org/prop/direct/P108" TargetMode="External"/><Relationship Id="rId1880" Type="http://schemas.openxmlformats.org/officeDocument/2006/relationships/hyperlink" Target="http://www.wikidata.org/prop/direct/P69" TargetMode="External"/><Relationship Id="rId1881" Type="http://schemas.openxmlformats.org/officeDocument/2006/relationships/hyperlink" Target="http://www.wikidata.org/entity/Q2345694" TargetMode="External"/><Relationship Id="rId1882" Type="http://schemas.openxmlformats.org/officeDocument/2006/relationships/hyperlink" Target="http://www.wikidata.org/entity/Q467025" TargetMode="External"/><Relationship Id="rId1883" Type="http://schemas.openxmlformats.org/officeDocument/2006/relationships/hyperlink" Target="http://www.wikidata.org/prop/direct/P69" TargetMode="External"/><Relationship Id="rId1059" Type="http://schemas.openxmlformats.org/officeDocument/2006/relationships/hyperlink" Target="http://www.wikidata.org/entity/Q115835156" TargetMode="External"/><Relationship Id="rId228" Type="http://schemas.openxmlformats.org/officeDocument/2006/relationships/hyperlink" Target="http://www.wikidata.org/entity/Q113627806" TargetMode="External"/><Relationship Id="rId227" Type="http://schemas.openxmlformats.org/officeDocument/2006/relationships/hyperlink" Target="http://www.wikidata.org/prop/direct/P69" TargetMode="External"/><Relationship Id="rId226" Type="http://schemas.openxmlformats.org/officeDocument/2006/relationships/hyperlink" Target="http://www.wikidata.org/entity/Q15882061" TargetMode="External"/><Relationship Id="rId225" Type="http://schemas.openxmlformats.org/officeDocument/2006/relationships/hyperlink" Target="http://www.wikidata.org/entity/Q110039180" TargetMode="External"/><Relationship Id="rId2380" Type="http://schemas.openxmlformats.org/officeDocument/2006/relationships/hyperlink" Target="http://www.wikidata.org/entity/Q113988659" TargetMode="External"/><Relationship Id="rId229" Type="http://schemas.openxmlformats.org/officeDocument/2006/relationships/hyperlink" Target="http://www.wikidata.org/entity/Q1867263" TargetMode="External"/><Relationship Id="rId1050" Type="http://schemas.openxmlformats.org/officeDocument/2006/relationships/hyperlink" Target="http://www.wikidata.org/entity/Q115834868" TargetMode="External"/><Relationship Id="rId2381" Type="http://schemas.openxmlformats.org/officeDocument/2006/relationships/hyperlink" Target="http://www.wikidata.org/prop/direct/P69" TargetMode="External"/><Relationship Id="rId220" Type="http://schemas.openxmlformats.org/officeDocument/2006/relationships/hyperlink" Target="http://www.wikidata.org/entity/Q81162" TargetMode="External"/><Relationship Id="rId1051" Type="http://schemas.openxmlformats.org/officeDocument/2006/relationships/hyperlink" Target="http://www.wikidata.org/entity/Q2480833" TargetMode="External"/><Relationship Id="rId2382" Type="http://schemas.openxmlformats.org/officeDocument/2006/relationships/hyperlink" Target="http://www.wikidata.org/entity/Q2191260" TargetMode="External"/><Relationship Id="rId1052" Type="http://schemas.openxmlformats.org/officeDocument/2006/relationships/hyperlink" Target="http://www.wikidata.org/prop/direct/P108" TargetMode="External"/><Relationship Id="rId2383" Type="http://schemas.openxmlformats.org/officeDocument/2006/relationships/hyperlink" Target="http://www.wikidata.org/entity/Q15882061" TargetMode="External"/><Relationship Id="rId1053" Type="http://schemas.openxmlformats.org/officeDocument/2006/relationships/hyperlink" Target="http://www.wikidata.org/entity/Q115840920" TargetMode="External"/><Relationship Id="rId2384" Type="http://schemas.openxmlformats.org/officeDocument/2006/relationships/hyperlink" Target="http://www.wikidata.org/prop/direct/P69" TargetMode="External"/><Relationship Id="rId1054" Type="http://schemas.openxmlformats.org/officeDocument/2006/relationships/hyperlink" Target="http://www.wikidata.org/entity/Q875554" TargetMode="External"/><Relationship Id="rId2385" Type="http://schemas.openxmlformats.org/officeDocument/2006/relationships/hyperlink" Target="http://www.wikidata.org/entity/Q2182589" TargetMode="External"/><Relationship Id="rId224" Type="http://schemas.openxmlformats.org/officeDocument/2006/relationships/hyperlink" Target="http://www.wikidata.org/prop/direct/P69" TargetMode="External"/><Relationship Id="rId1055" Type="http://schemas.openxmlformats.org/officeDocument/2006/relationships/hyperlink" Target="http://www.wikidata.org/prop/direct/P108" TargetMode="External"/><Relationship Id="rId2386" Type="http://schemas.openxmlformats.org/officeDocument/2006/relationships/hyperlink" Target="http://www.wikidata.org/entity/Q2479554" TargetMode="External"/><Relationship Id="rId223" Type="http://schemas.openxmlformats.org/officeDocument/2006/relationships/hyperlink" Target="http://www.wikidata.org/entity/Q15882061" TargetMode="External"/><Relationship Id="rId1056" Type="http://schemas.openxmlformats.org/officeDocument/2006/relationships/hyperlink" Target="http://www.wikidata.org/entity/Q2426280" TargetMode="External"/><Relationship Id="rId2387" Type="http://schemas.openxmlformats.org/officeDocument/2006/relationships/hyperlink" Target="http://www.wikidata.org/prop/direct/P69" TargetMode="External"/><Relationship Id="rId222" Type="http://schemas.openxmlformats.org/officeDocument/2006/relationships/hyperlink" Target="http://www.wikidata.org/entity/Q110039178" TargetMode="External"/><Relationship Id="rId1057" Type="http://schemas.openxmlformats.org/officeDocument/2006/relationships/hyperlink" Target="http://www.wikidata.org/entity/Q2479554" TargetMode="External"/><Relationship Id="rId2388" Type="http://schemas.openxmlformats.org/officeDocument/2006/relationships/hyperlink" Target="http://www.wikidata.org/entity/Q3166510" TargetMode="External"/><Relationship Id="rId221" Type="http://schemas.openxmlformats.org/officeDocument/2006/relationships/hyperlink" Target="http://www.wikidata.org/prop/direct/P69" TargetMode="External"/><Relationship Id="rId1058" Type="http://schemas.openxmlformats.org/officeDocument/2006/relationships/hyperlink" Target="http://www.wikidata.org/prop/direct/P69" TargetMode="External"/><Relationship Id="rId2389" Type="http://schemas.openxmlformats.org/officeDocument/2006/relationships/hyperlink" Target="http://www.wikidata.org/entity/Q120650189" TargetMode="External"/><Relationship Id="rId1048" Type="http://schemas.openxmlformats.org/officeDocument/2006/relationships/hyperlink" Target="http://www.wikidata.org/entity/Q745967" TargetMode="External"/><Relationship Id="rId2379" Type="http://schemas.openxmlformats.org/officeDocument/2006/relationships/hyperlink" Target="http://www.wikidata.org/entity/Q3421496" TargetMode="External"/><Relationship Id="rId1049" Type="http://schemas.openxmlformats.org/officeDocument/2006/relationships/hyperlink" Target="http://www.wikidata.org/prop/direct/P69" TargetMode="External"/><Relationship Id="rId217" Type="http://schemas.openxmlformats.org/officeDocument/2006/relationships/hyperlink" Target="http://www.wikidata.org/entity/Q1867263" TargetMode="External"/><Relationship Id="rId216" Type="http://schemas.openxmlformats.org/officeDocument/2006/relationships/hyperlink" Target="http://www.wikidata.org/entity/Q118644563" TargetMode="External"/><Relationship Id="rId215" Type="http://schemas.openxmlformats.org/officeDocument/2006/relationships/hyperlink" Target="http://www.wikidata.org/prop/direct/P463" TargetMode="External"/><Relationship Id="rId214" Type="http://schemas.openxmlformats.org/officeDocument/2006/relationships/hyperlink" Target="http://www.wikidata.org/entity/Q119702334" TargetMode="External"/><Relationship Id="rId219" Type="http://schemas.openxmlformats.org/officeDocument/2006/relationships/hyperlink" Target="http://www.wikidata.org/entity/Q119701807" TargetMode="External"/><Relationship Id="rId218" Type="http://schemas.openxmlformats.org/officeDocument/2006/relationships/hyperlink" Target="http://www.wikidata.org/prop/direct/P69" TargetMode="External"/><Relationship Id="rId2370" Type="http://schemas.openxmlformats.org/officeDocument/2006/relationships/hyperlink" Target="http://www.wikidata.org/entity/Q119039938" TargetMode="External"/><Relationship Id="rId1040" Type="http://schemas.openxmlformats.org/officeDocument/2006/relationships/hyperlink" Target="http://www.wikidata.org/prop/direct/P69" TargetMode="External"/><Relationship Id="rId2371" Type="http://schemas.openxmlformats.org/officeDocument/2006/relationships/hyperlink" Target="http://www.wikidata.org/entity/Q118369334" TargetMode="External"/><Relationship Id="rId1041" Type="http://schemas.openxmlformats.org/officeDocument/2006/relationships/hyperlink" Target="http://www.wikidata.org/entity/Q2426280" TargetMode="External"/><Relationship Id="rId2372" Type="http://schemas.openxmlformats.org/officeDocument/2006/relationships/hyperlink" Target="http://www.wikidata.org/prop/direct/P69" TargetMode="External"/><Relationship Id="rId1042" Type="http://schemas.openxmlformats.org/officeDocument/2006/relationships/hyperlink" Target="http://www.wikidata.org/entity/Q2663876" TargetMode="External"/><Relationship Id="rId2373" Type="http://schemas.openxmlformats.org/officeDocument/2006/relationships/hyperlink" Target="http://www.wikidata.org/entity/Q2424814" TargetMode="External"/><Relationship Id="rId1043" Type="http://schemas.openxmlformats.org/officeDocument/2006/relationships/hyperlink" Target="http://www.wikidata.org/prop/direct/P108" TargetMode="External"/><Relationship Id="rId2374" Type="http://schemas.openxmlformats.org/officeDocument/2006/relationships/hyperlink" Target="http://www.wikidata.org/entity/Q49425918" TargetMode="External"/><Relationship Id="rId213" Type="http://schemas.openxmlformats.org/officeDocument/2006/relationships/hyperlink" Target="http://www.wikidata.org/entity/Q11071766" TargetMode="External"/><Relationship Id="rId1044" Type="http://schemas.openxmlformats.org/officeDocument/2006/relationships/hyperlink" Target="http://www.wikidata.org/entity/Q115834868" TargetMode="External"/><Relationship Id="rId2375" Type="http://schemas.openxmlformats.org/officeDocument/2006/relationships/hyperlink" Target="http://www.wikidata.org/prop/direct/P69" TargetMode="External"/><Relationship Id="rId212" Type="http://schemas.openxmlformats.org/officeDocument/2006/relationships/hyperlink" Target="http://www.wikidata.org/prop/direct/P463" TargetMode="External"/><Relationship Id="rId1045" Type="http://schemas.openxmlformats.org/officeDocument/2006/relationships/hyperlink" Target="http://www.wikidata.org/entity/Q1867263" TargetMode="External"/><Relationship Id="rId2376" Type="http://schemas.openxmlformats.org/officeDocument/2006/relationships/hyperlink" Target="http://www.wikidata.org/entity/Q2361397" TargetMode="External"/><Relationship Id="rId211" Type="http://schemas.openxmlformats.org/officeDocument/2006/relationships/hyperlink" Target="http://www.wikidata.org/entity/Q2267896" TargetMode="External"/><Relationship Id="rId1046" Type="http://schemas.openxmlformats.org/officeDocument/2006/relationships/hyperlink" Target="http://www.wikidata.org/prop/direct/P69" TargetMode="External"/><Relationship Id="rId2377" Type="http://schemas.openxmlformats.org/officeDocument/2006/relationships/hyperlink" Target="http://www.wikidata.org/entity/Q120483446" TargetMode="External"/><Relationship Id="rId210" Type="http://schemas.openxmlformats.org/officeDocument/2006/relationships/hyperlink" Target="http://www.wikidata.org/entity/Q2450554" TargetMode="External"/><Relationship Id="rId1047" Type="http://schemas.openxmlformats.org/officeDocument/2006/relationships/hyperlink" Target="http://www.wikidata.org/entity/Q7343011" TargetMode="External"/><Relationship Id="rId2378" Type="http://schemas.openxmlformats.org/officeDocument/2006/relationships/hyperlink" Target="http://www.wikidata.org/prop/direct/P108" TargetMode="External"/><Relationship Id="rId249" Type="http://schemas.openxmlformats.org/officeDocument/2006/relationships/hyperlink" Target="http://www.wikidata.org/entity/Q18415039" TargetMode="External"/><Relationship Id="rId248" Type="http://schemas.openxmlformats.org/officeDocument/2006/relationships/hyperlink" Target="http://www.wikidata.org/prop/direct/P463" TargetMode="External"/><Relationship Id="rId247" Type="http://schemas.openxmlformats.org/officeDocument/2006/relationships/hyperlink" Target="http://www.wikidata.org/entity/Q3488098" TargetMode="External"/><Relationship Id="rId1070" Type="http://schemas.openxmlformats.org/officeDocument/2006/relationships/hyperlink" Target="http://www.wikidata.org/prop/direct/P69" TargetMode="External"/><Relationship Id="rId1071" Type="http://schemas.openxmlformats.org/officeDocument/2006/relationships/hyperlink" Target="http://www.wikidata.org/entity/Q110039260" TargetMode="External"/><Relationship Id="rId1072" Type="http://schemas.openxmlformats.org/officeDocument/2006/relationships/hyperlink" Target="http://www.wikidata.org/entity/Q120721543" TargetMode="External"/><Relationship Id="rId242" Type="http://schemas.openxmlformats.org/officeDocument/2006/relationships/hyperlink" Target="http://www.wikidata.org/prop/direct/P463" TargetMode="External"/><Relationship Id="rId1073" Type="http://schemas.openxmlformats.org/officeDocument/2006/relationships/hyperlink" Target="http://www.wikidata.org/prop/direct/P69" TargetMode="External"/><Relationship Id="rId241" Type="http://schemas.openxmlformats.org/officeDocument/2006/relationships/hyperlink" Target="http://www.wikidata.org/entity/Q119702334" TargetMode="External"/><Relationship Id="rId1074" Type="http://schemas.openxmlformats.org/officeDocument/2006/relationships/hyperlink" Target="http://www.wikidata.org/entity/Q115834868" TargetMode="External"/><Relationship Id="rId240" Type="http://schemas.openxmlformats.org/officeDocument/2006/relationships/hyperlink" Target="http://www.wikidata.org/entity/Q113627806" TargetMode="External"/><Relationship Id="rId1075" Type="http://schemas.openxmlformats.org/officeDocument/2006/relationships/hyperlink" Target="http://www.wikidata.org/entity/Q119702334" TargetMode="External"/><Relationship Id="rId1076" Type="http://schemas.openxmlformats.org/officeDocument/2006/relationships/hyperlink" Target="http://www.wikidata.org/prop/direct/P463" TargetMode="External"/><Relationship Id="rId246" Type="http://schemas.openxmlformats.org/officeDocument/2006/relationships/hyperlink" Target="http://www.wikidata.org/entity/Q18415039" TargetMode="External"/><Relationship Id="rId1077" Type="http://schemas.openxmlformats.org/officeDocument/2006/relationships/hyperlink" Target="http://www.wikidata.org/entity/Q101627274" TargetMode="External"/><Relationship Id="rId245" Type="http://schemas.openxmlformats.org/officeDocument/2006/relationships/hyperlink" Target="http://www.wikidata.org/prop/direct/P463" TargetMode="External"/><Relationship Id="rId1078" Type="http://schemas.openxmlformats.org/officeDocument/2006/relationships/hyperlink" Target="http://www.wikidata.org/entity/Q118369334" TargetMode="External"/><Relationship Id="rId244" Type="http://schemas.openxmlformats.org/officeDocument/2006/relationships/hyperlink" Target="http://www.wikidata.org/entity/Q337526" TargetMode="External"/><Relationship Id="rId1079" Type="http://schemas.openxmlformats.org/officeDocument/2006/relationships/hyperlink" Target="http://www.wikidata.org/prop/direct/P108" TargetMode="External"/><Relationship Id="rId243" Type="http://schemas.openxmlformats.org/officeDocument/2006/relationships/hyperlink" Target="http://www.wikidata.org/entity/Q571426" TargetMode="External"/><Relationship Id="rId239" Type="http://schemas.openxmlformats.org/officeDocument/2006/relationships/hyperlink" Target="http://www.wikidata.org/prop/direct/P463" TargetMode="External"/><Relationship Id="rId238" Type="http://schemas.openxmlformats.org/officeDocument/2006/relationships/hyperlink" Target="http://www.wikidata.org/entity/Q1268453" TargetMode="External"/><Relationship Id="rId237" Type="http://schemas.openxmlformats.org/officeDocument/2006/relationships/hyperlink" Target="http://www.wikidata.org/entity/Q21549953" TargetMode="External"/><Relationship Id="rId236" Type="http://schemas.openxmlformats.org/officeDocument/2006/relationships/hyperlink" Target="http://www.wikidata.org/prop/direct/P463" TargetMode="External"/><Relationship Id="rId2390" Type="http://schemas.openxmlformats.org/officeDocument/2006/relationships/hyperlink" Target="http://www.wikidata.org/prop/direct/P108" TargetMode="External"/><Relationship Id="rId1060" Type="http://schemas.openxmlformats.org/officeDocument/2006/relationships/hyperlink" Target="http://www.wikidata.org/entity/Q1867263" TargetMode="External"/><Relationship Id="rId2391" Type="http://schemas.openxmlformats.org/officeDocument/2006/relationships/hyperlink" Target="http://www.wikidata.org/entity/Q28584401" TargetMode="External"/><Relationship Id="rId1061" Type="http://schemas.openxmlformats.org/officeDocument/2006/relationships/hyperlink" Target="http://www.wikidata.org/prop/direct/P108" TargetMode="External"/><Relationship Id="rId2392" Type="http://schemas.openxmlformats.org/officeDocument/2006/relationships/hyperlink" Target="http://www.wikidata.org/entity/Q28549650" TargetMode="External"/><Relationship Id="rId231" Type="http://schemas.openxmlformats.org/officeDocument/2006/relationships/hyperlink" Target="http://www.wikidata.org/entity/Q3185717" TargetMode="External"/><Relationship Id="rId1062" Type="http://schemas.openxmlformats.org/officeDocument/2006/relationships/hyperlink" Target="http://www.wikidata.org/entity/Q114081509" TargetMode="External"/><Relationship Id="rId2393" Type="http://schemas.openxmlformats.org/officeDocument/2006/relationships/hyperlink" Target="http://www.wikidata.org/prop/direct/P69" TargetMode="External"/><Relationship Id="rId230" Type="http://schemas.openxmlformats.org/officeDocument/2006/relationships/hyperlink" Target="http://www.wikidata.org/prop/direct/P69" TargetMode="External"/><Relationship Id="rId1063" Type="http://schemas.openxmlformats.org/officeDocument/2006/relationships/hyperlink" Target="http://www.wikidata.org/entity/Q118744262" TargetMode="External"/><Relationship Id="rId2394" Type="http://schemas.openxmlformats.org/officeDocument/2006/relationships/hyperlink" Target="http://www.wikidata.org/entity/Q28584401" TargetMode="External"/><Relationship Id="rId1064" Type="http://schemas.openxmlformats.org/officeDocument/2006/relationships/hyperlink" Target="http://www.wikidata.org/prop/direct/P463" TargetMode="External"/><Relationship Id="rId2395" Type="http://schemas.openxmlformats.org/officeDocument/2006/relationships/hyperlink" Target="http://www.wikidata.org/entity/Q3487850" TargetMode="External"/><Relationship Id="rId1065" Type="http://schemas.openxmlformats.org/officeDocument/2006/relationships/hyperlink" Target="http://www.wikidata.org/entity/Q110039260" TargetMode="External"/><Relationship Id="rId2396" Type="http://schemas.openxmlformats.org/officeDocument/2006/relationships/hyperlink" Target="http://www.wikidata.org/prop/direct/P463" TargetMode="External"/><Relationship Id="rId235" Type="http://schemas.openxmlformats.org/officeDocument/2006/relationships/hyperlink" Target="http://www.wikidata.org/entity/Q253439" TargetMode="External"/><Relationship Id="rId1066" Type="http://schemas.openxmlformats.org/officeDocument/2006/relationships/hyperlink" Target="http://www.wikidata.org/entity/Q120721459" TargetMode="External"/><Relationship Id="rId2397" Type="http://schemas.openxmlformats.org/officeDocument/2006/relationships/hyperlink" Target="http://www.wikidata.org/entity/Q2361397" TargetMode="External"/><Relationship Id="rId234" Type="http://schemas.openxmlformats.org/officeDocument/2006/relationships/hyperlink" Target="http://www.wikidata.org/entity/Q571426" TargetMode="External"/><Relationship Id="rId1067" Type="http://schemas.openxmlformats.org/officeDocument/2006/relationships/hyperlink" Target="http://www.wikidata.org/prop/direct/P69" TargetMode="External"/><Relationship Id="rId2398" Type="http://schemas.openxmlformats.org/officeDocument/2006/relationships/hyperlink" Target="http://www.wikidata.org/entity/Q3240440" TargetMode="External"/><Relationship Id="rId233" Type="http://schemas.openxmlformats.org/officeDocument/2006/relationships/hyperlink" Target="http://www.wikidata.org/prop/direct/P463" TargetMode="External"/><Relationship Id="rId1068" Type="http://schemas.openxmlformats.org/officeDocument/2006/relationships/hyperlink" Target="http://www.wikidata.org/entity/Q110039260" TargetMode="External"/><Relationship Id="rId2399" Type="http://schemas.openxmlformats.org/officeDocument/2006/relationships/hyperlink" Target="http://www.wikidata.org/prop/direct/P108" TargetMode="External"/><Relationship Id="rId232" Type="http://schemas.openxmlformats.org/officeDocument/2006/relationships/hyperlink" Target="http://www.wikidata.org/entity/Q670974" TargetMode="External"/><Relationship Id="rId1069" Type="http://schemas.openxmlformats.org/officeDocument/2006/relationships/hyperlink" Target="http://www.wikidata.org/entity/Q120721497" TargetMode="External"/><Relationship Id="rId1015" Type="http://schemas.openxmlformats.org/officeDocument/2006/relationships/hyperlink" Target="http://www.wikidata.org/entity/Q2480833" TargetMode="External"/><Relationship Id="rId2346" Type="http://schemas.openxmlformats.org/officeDocument/2006/relationships/hyperlink" Target="http://www.wikidata.org/entity/Q115982485" TargetMode="External"/><Relationship Id="rId1016" Type="http://schemas.openxmlformats.org/officeDocument/2006/relationships/hyperlink" Target="http://www.wikidata.org/prop/direct/P108" TargetMode="External"/><Relationship Id="rId2347" Type="http://schemas.openxmlformats.org/officeDocument/2006/relationships/hyperlink" Target="http://www.wikidata.org/entity/Q15882061" TargetMode="External"/><Relationship Id="rId1017" Type="http://schemas.openxmlformats.org/officeDocument/2006/relationships/hyperlink" Target="http://www.wikidata.org/entity/Q7790140" TargetMode="External"/><Relationship Id="rId2348" Type="http://schemas.openxmlformats.org/officeDocument/2006/relationships/hyperlink" Target="http://www.wikidata.org/prop/direct/P108" TargetMode="External"/><Relationship Id="rId1018" Type="http://schemas.openxmlformats.org/officeDocument/2006/relationships/hyperlink" Target="http://www.wikidata.org/entity/Q3552548" TargetMode="External"/><Relationship Id="rId2349" Type="http://schemas.openxmlformats.org/officeDocument/2006/relationships/hyperlink" Target="http://www.wikidata.org/entity/Q115979996" TargetMode="External"/><Relationship Id="rId1019" Type="http://schemas.openxmlformats.org/officeDocument/2006/relationships/hyperlink" Target="http://www.wikidata.org/prop/direct/P69" TargetMode="External"/><Relationship Id="rId2340" Type="http://schemas.openxmlformats.org/officeDocument/2006/relationships/hyperlink" Target="http://www.wikidata.org/entity/Q115840173" TargetMode="External"/><Relationship Id="rId1010" Type="http://schemas.openxmlformats.org/officeDocument/2006/relationships/hyperlink" Target="http://www.wikidata.org/prop/direct/P108" TargetMode="External"/><Relationship Id="rId2341" Type="http://schemas.openxmlformats.org/officeDocument/2006/relationships/hyperlink" Target="http://www.wikidata.org/entity/Q4728794" TargetMode="External"/><Relationship Id="rId1011" Type="http://schemas.openxmlformats.org/officeDocument/2006/relationships/hyperlink" Target="http://www.wikidata.org/entity/Q2638823" TargetMode="External"/><Relationship Id="rId2342" Type="http://schemas.openxmlformats.org/officeDocument/2006/relationships/hyperlink" Target="http://www.wikidata.org/prop/direct/P69" TargetMode="External"/><Relationship Id="rId1012" Type="http://schemas.openxmlformats.org/officeDocument/2006/relationships/hyperlink" Target="http://www.wikidata.org/entity/Q2690997" TargetMode="External"/><Relationship Id="rId2343" Type="http://schemas.openxmlformats.org/officeDocument/2006/relationships/hyperlink" Target="http://www.wikidata.org/entity/Q115839353" TargetMode="External"/><Relationship Id="rId1013" Type="http://schemas.openxmlformats.org/officeDocument/2006/relationships/hyperlink" Target="http://www.wikidata.org/prop/direct/P463" TargetMode="External"/><Relationship Id="rId2344" Type="http://schemas.openxmlformats.org/officeDocument/2006/relationships/hyperlink" Target="http://www.wikidata.org/entity/Q2663876" TargetMode="External"/><Relationship Id="rId1014" Type="http://schemas.openxmlformats.org/officeDocument/2006/relationships/hyperlink" Target="http://www.wikidata.org/entity/Q2426280" TargetMode="External"/><Relationship Id="rId2345" Type="http://schemas.openxmlformats.org/officeDocument/2006/relationships/hyperlink" Target="http://www.wikidata.org/prop/direct/P108" TargetMode="External"/><Relationship Id="rId1004" Type="http://schemas.openxmlformats.org/officeDocument/2006/relationships/hyperlink" Target="http://www.wikidata.org/prop/direct/P69" TargetMode="External"/><Relationship Id="rId2335" Type="http://schemas.openxmlformats.org/officeDocument/2006/relationships/hyperlink" Target="http://www.wikidata.org/entity/Q2469560" TargetMode="External"/><Relationship Id="rId1005" Type="http://schemas.openxmlformats.org/officeDocument/2006/relationships/hyperlink" Target="http://www.wikidata.org/entity/Q115835156" TargetMode="External"/><Relationship Id="rId2336" Type="http://schemas.openxmlformats.org/officeDocument/2006/relationships/hyperlink" Target="http://www.wikidata.org/prop/direct/P108" TargetMode="External"/><Relationship Id="rId1006" Type="http://schemas.openxmlformats.org/officeDocument/2006/relationships/hyperlink" Target="http://www.wikidata.org/entity/Q2304374" TargetMode="External"/><Relationship Id="rId2337" Type="http://schemas.openxmlformats.org/officeDocument/2006/relationships/hyperlink" Target="http://www.wikidata.org/entity/Q120176244" TargetMode="External"/><Relationship Id="rId1007" Type="http://schemas.openxmlformats.org/officeDocument/2006/relationships/hyperlink" Target="http://www.wikidata.org/prop/direct/P108" TargetMode="External"/><Relationship Id="rId2338" Type="http://schemas.openxmlformats.org/officeDocument/2006/relationships/hyperlink" Target="http://www.wikidata.org/entity/Q119702334" TargetMode="External"/><Relationship Id="rId1008" Type="http://schemas.openxmlformats.org/officeDocument/2006/relationships/hyperlink" Target="http://www.wikidata.org/entity/Q115837633" TargetMode="External"/><Relationship Id="rId2339" Type="http://schemas.openxmlformats.org/officeDocument/2006/relationships/hyperlink" Target="http://www.wikidata.org/prop/direct/P463" TargetMode="External"/><Relationship Id="rId1009" Type="http://schemas.openxmlformats.org/officeDocument/2006/relationships/hyperlink" Target="http://www.wikidata.org/entity/Q2018402" TargetMode="External"/><Relationship Id="rId2330" Type="http://schemas.openxmlformats.org/officeDocument/2006/relationships/hyperlink" Target="http://www.wikidata.org/prop/direct/P69" TargetMode="External"/><Relationship Id="rId1000" Type="http://schemas.openxmlformats.org/officeDocument/2006/relationships/hyperlink" Target="http://www.wikidata.org/entity/Q792369" TargetMode="External"/><Relationship Id="rId2331" Type="http://schemas.openxmlformats.org/officeDocument/2006/relationships/hyperlink" Target="http://www.wikidata.org/entity/Q115839353" TargetMode="External"/><Relationship Id="rId1001" Type="http://schemas.openxmlformats.org/officeDocument/2006/relationships/hyperlink" Target="http://www.wikidata.org/prop/direct/P108" TargetMode="External"/><Relationship Id="rId2332" Type="http://schemas.openxmlformats.org/officeDocument/2006/relationships/hyperlink" Target="http://www.wikidata.org/entity/Q1867263" TargetMode="External"/><Relationship Id="rId1002" Type="http://schemas.openxmlformats.org/officeDocument/2006/relationships/hyperlink" Target="http://www.wikidata.org/entity/Q118792556" TargetMode="External"/><Relationship Id="rId2333" Type="http://schemas.openxmlformats.org/officeDocument/2006/relationships/hyperlink" Target="http://www.wikidata.org/prop/direct/P108" TargetMode="External"/><Relationship Id="rId1003" Type="http://schemas.openxmlformats.org/officeDocument/2006/relationships/hyperlink" Target="http://www.wikidata.org/entity/Q981752" TargetMode="External"/><Relationship Id="rId2334" Type="http://schemas.openxmlformats.org/officeDocument/2006/relationships/hyperlink" Target="http://www.wikidata.org/entity/Q115827506" TargetMode="External"/><Relationship Id="rId1037" Type="http://schemas.openxmlformats.org/officeDocument/2006/relationships/hyperlink" Target="http://www.wikidata.org/prop/direct/P69" TargetMode="External"/><Relationship Id="rId2368" Type="http://schemas.openxmlformats.org/officeDocument/2006/relationships/hyperlink" Target="http://www.wikidata.org/entity/Q2018402" TargetMode="External"/><Relationship Id="rId1038" Type="http://schemas.openxmlformats.org/officeDocument/2006/relationships/hyperlink" Target="http://www.wikidata.org/entity/Q2426280" TargetMode="External"/><Relationship Id="rId2369" Type="http://schemas.openxmlformats.org/officeDocument/2006/relationships/hyperlink" Target="http://www.wikidata.org/prop/direct/P108" TargetMode="External"/><Relationship Id="rId1039" Type="http://schemas.openxmlformats.org/officeDocument/2006/relationships/hyperlink" Target="http://www.wikidata.org/entity/Q2663876" TargetMode="External"/><Relationship Id="rId206" Type="http://schemas.openxmlformats.org/officeDocument/2006/relationships/hyperlink" Target="http://www.wikidata.org/prop/direct/P108" TargetMode="External"/><Relationship Id="rId205" Type="http://schemas.openxmlformats.org/officeDocument/2006/relationships/hyperlink" Target="http://www.wikidata.org/entity/Q118369334" TargetMode="External"/><Relationship Id="rId204" Type="http://schemas.openxmlformats.org/officeDocument/2006/relationships/hyperlink" Target="http://www.wikidata.org/entity/Q115837342" TargetMode="External"/><Relationship Id="rId203" Type="http://schemas.openxmlformats.org/officeDocument/2006/relationships/hyperlink" Target="http://www.wikidata.org/prop/direct/P69" TargetMode="External"/><Relationship Id="rId209" Type="http://schemas.openxmlformats.org/officeDocument/2006/relationships/hyperlink" Target="http://www.wikidata.org/prop/direct/P108" TargetMode="External"/><Relationship Id="rId208" Type="http://schemas.openxmlformats.org/officeDocument/2006/relationships/hyperlink" Target="http://www.wikidata.org/entity/Q120721984" TargetMode="External"/><Relationship Id="rId207" Type="http://schemas.openxmlformats.org/officeDocument/2006/relationships/hyperlink" Target="http://www.wikidata.org/entity/Q120721942" TargetMode="External"/><Relationship Id="rId2360" Type="http://schemas.openxmlformats.org/officeDocument/2006/relationships/hyperlink" Target="http://www.wikidata.org/prop/direct/P69" TargetMode="External"/><Relationship Id="rId1030" Type="http://schemas.openxmlformats.org/officeDocument/2006/relationships/hyperlink" Target="http://www.wikidata.org/entity/Q1867263" TargetMode="External"/><Relationship Id="rId2361" Type="http://schemas.openxmlformats.org/officeDocument/2006/relationships/hyperlink" Target="http://www.wikidata.org/entity/Q115840173" TargetMode="External"/><Relationship Id="rId1031" Type="http://schemas.openxmlformats.org/officeDocument/2006/relationships/hyperlink" Target="http://www.wikidata.org/prop/direct/P108" TargetMode="External"/><Relationship Id="rId2362" Type="http://schemas.openxmlformats.org/officeDocument/2006/relationships/hyperlink" Target="http://www.wikidata.org/entity/Q1867263" TargetMode="External"/><Relationship Id="rId1032" Type="http://schemas.openxmlformats.org/officeDocument/2006/relationships/hyperlink" Target="http://www.wikidata.org/entity/Q115818151" TargetMode="External"/><Relationship Id="rId2363" Type="http://schemas.openxmlformats.org/officeDocument/2006/relationships/hyperlink" Target="http://www.wikidata.org/prop/direct/P69" TargetMode="External"/><Relationship Id="rId202" Type="http://schemas.openxmlformats.org/officeDocument/2006/relationships/hyperlink" Target="http://www.wikidata.org/entity/Q644789" TargetMode="External"/><Relationship Id="rId1033" Type="http://schemas.openxmlformats.org/officeDocument/2006/relationships/hyperlink" Target="http://www.wikidata.org/entity/Q2663876" TargetMode="External"/><Relationship Id="rId2364" Type="http://schemas.openxmlformats.org/officeDocument/2006/relationships/hyperlink" Target="http://www.wikidata.org/entity/Q123689972" TargetMode="External"/><Relationship Id="rId201" Type="http://schemas.openxmlformats.org/officeDocument/2006/relationships/hyperlink" Target="http://www.wikidata.org/entity/Q115839088" TargetMode="External"/><Relationship Id="rId1034" Type="http://schemas.openxmlformats.org/officeDocument/2006/relationships/hyperlink" Target="http://www.wikidata.org/prop/direct/P108" TargetMode="External"/><Relationship Id="rId2365" Type="http://schemas.openxmlformats.org/officeDocument/2006/relationships/hyperlink" Target="http://www.wikidata.org/entity/Q123690066" TargetMode="External"/><Relationship Id="rId200" Type="http://schemas.openxmlformats.org/officeDocument/2006/relationships/hyperlink" Target="http://www.wikidata.org/prop/direct/P463" TargetMode="External"/><Relationship Id="rId1035" Type="http://schemas.openxmlformats.org/officeDocument/2006/relationships/hyperlink" Target="http://www.wikidata.org/entity/Q114081509" TargetMode="External"/><Relationship Id="rId2366" Type="http://schemas.openxmlformats.org/officeDocument/2006/relationships/hyperlink" Target="http://www.wikidata.org/prop/direct/P108" TargetMode="External"/><Relationship Id="rId1036" Type="http://schemas.openxmlformats.org/officeDocument/2006/relationships/hyperlink" Target="http://www.wikidata.org/entity/Q118369334" TargetMode="External"/><Relationship Id="rId2367" Type="http://schemas.openxmlformats.org/officeDocument/2006/relationships/hyperlink" Target="http://www.wikidata.org/entity/Q123689972" TargetMode="External"/><Relationship Id="rId1026" Type="http://schemas.openxmlformats.org/officeDocument/2006/relationships/hyperlink" Target="http://www.wikidata.org/entity/Q115834833" TargetMode="External"/><Relationship Id="rId2357" Type="http://schemas.openxmlformats.org/officeDocument/2006/relationships/hyperlink" Target="http://www.wikidata.org/prop/direct/P108" TargetMode="External"/><Relationship Id="rId1027" Type="http://schemas.openxmlformats.org/officeDocument/2006/relationships/hyperlink" Target="http://www.wikidata.org/entity/Q1867263" TargetMode="External"/><Relationship Id="rId2358" Type="http://schemas.openxmlformats.org/officeDocument/2006/relationships/hyperlink" Target="http://www.wikidata.org/entity/Q115841074" TargetMode="External"/><Relationship Id="rId1028" Type="http://schemas.openxmlformats.org/officeDocument/2006/relationships/hyperlink" Target="http://www.wikidata.org/prop/direct/P69" TargetMode="External"/><Relationship Id="rId2359" Type="http://schemas.openxmlformats.org/officeDocument/2006/relationships/hyperlink" Target="http://www.wikidata.org/entity/Q2237527" TargetMode="External"/><Relationship Id="rId1029" Type="http://schemas.openxmlformats.org/officeDocument/2006/relationships/hyperlink" Target="http://www.wikidata.org/entity/Q115839443" TargetMode="External"/><Relationship Id="rId2350" Type="http://schemas.openxmlformats.org/officeDocument/2006/relationships/hyperlink" Target="http://www.wikidata.org/entity/Q119702334" TargetMode="External"/><Relationship Id="rId1020" Type="http://schemas.openxmlformats.org/officeDocument/2006/relationships/hyperlink" Target="http://www.wikidata.org/entity/Q2617184" TargetMode="External"/><Relationship Id="rId2351" Type="http://schemas.openxmlformats.org/officeDocument/2006/relationships/hyperlink" Target="http://www.wikidata.org/prop/direct/P463" TargetMode="External"/><Relationship Id="rId1021" Type="http://schemas.openxmlformats.org/officeDocument/2006/relationships/hyperlink" Target="http://www.wikidata.org/entity/Q2267896" TargetMode="External"/><Relationship Id="rId2352" Type="http://schemas.openxmlformats.org/officeDocument/2006/relationships/hyperlink" Target="http://www.wikidata.org/entity/Q28973666" TargetMode="External"/><Relationship Id="rId1022" Type="http://schemas.openxmlformats.org/officeDocument/2006/relationships/hyperlink" Target="http://www.wikidata.org/prop/direct/P463" TargetMode="External"/><Relationship Id="rId2353" Type="http://schemas.openxmlformats.org/officeDocument/2006/relationships/hyperlink" Target="http://www.wikidata.org/entity/Q1268453" TargetMode="External"/><Relationship Id="rId1023" Type="http://schemas.openxmlformats.org/officeDocument/2006/relationships/hyperlink" Target="http://www.wikidata.org/entity/Q118792556" TargetMode="External"/><Relationship Id="rId2354" Type="http://schemas.openxmlformats.org/officeDocument/2006/relationships/hyperlink" Target="http://www.wikidata.org/prop/direct/P463" TargetMode="External"/><Relationship Id="rId1024" Type="http://schemas.openxmlformats.org/officeDocument/2006/relationships/hyperlink" Target="http://www.wikidata.org/entity/Q118464788" TargetMode="External"/><Relationship Id="rId2355" Type="http://schemas.openxmlformats.org/officeDocument/2006/relationships/hyperlink" Target="http://www.wikidata.org/entity/Q110039252" TargetMode="External"/><Relationship Id="rId1025" Type="http://schemas.openxmlformats.org/officeDocument/2006/relationships/hyperlink" Target="http://www.wikidata.org/prop/direct/P69" TargetMode="External"/><Relationship Id="rId2356" Type="http://schemas.openxmlformats.org/officeDocument/2006/relationships/hyperlink" Target="http://www.wikidata.org/entity/Q120650189" TargetMode="External"/><Relationship Id="rId1910" Type="http://schemas.openxmlformats.org/officeDocument/2006/relationships/hyperlink" Target="http://www.wikidata.org/prop/direct/P69" TargetMode="External"/><Relationship Id="rId1911" Type="http://schemas.openxmlformats.org/officeDocument/2006/relationships/hyperlink" Target="http://www.wikidata.org/entity/Q13769746" TargetMode="External"/><Relationship Id="rId1912" Type="http://schemas.openxmlformats.org/officeDocument/2006/relationships/hyperlink" Target="http://www.wikidata.org/entity/Q118541225" TargetMode="External"/><Relationship Id="rId1913" Type="http://schemas.openxmlformats.org/officeDocument/2006/relationships/hyperlink" Target="http://www.wikidata.org/prop/direct/P108" TargetMode="External"/><Relationship Id="rId1914" Type="http://schemas.openxmlformats.org/officeDocument/2006/relationships/hyperlink" Target="http://www.wikidata.org/entity/Q115835605" TargetMode="External"/><Relationship Id="rId1915" Type="http://schemas.openxmlformats.org/officeDocument/2006/relationships/hyperlink" Target="http://www.wikidata.org/entity/Q118369334" TargetMode="External"/><Relationship Id="rId1916" Type="http://schemas.openxmlformats.org/officeDocument/2006/relationships/hyperlink" Target="http://www.wikidata.org/prop/direct/P108" TargetMode="External"/><Relationship Id="rId1917" Type="http://schemas.openxmlformats.org/officeDocument/2006/relationships/hyperlink" Target="http://www.wikidata.org/entity/Q2345694" TargetMode="External"/><Relationship Id="rId1918" Type="http://schemas.openxmlformats.org/officeDocument/2006/relationships/hyperlink" Target="http://www.wikidata.org/entity/Q106556417" TargetMode="External"/><Relationship Id="rId1919" Type="http://schemas.openxmlformats.org/officeDocument/2006/relationships/hyperlink" Target="http://www.wikidata.org/prop/direct/P463" TargetMode="External"/><Relationship Id="rId1900" Type="http://schemas.openxmlformats.org/officeDocument/2006/relationships/hyperlink" Target="http://www.wikidata.org/entity/Q33100553" TargetMode="External"/><Relationship Id="rId1901" Type="http://schemas.openxmlformats.org/officeDocument/2006/relationships/hyperlink" Target="http://www.wikidata.org/prop/direct/P108" TargetMode="External"/><Relationship Id="rId1902" Type="http://schemas.openxmlformats.org/officeDocument/2006/relationships/hyperlink" Target="http://www.wikidata.org/entity/Q14101076" TargetMode="External"/><Relationship Id="rId1903" Type="http://schemas.openxmlformats.org/officeDocument/2006/relationships/hyperlink" Target="http://www.wikidata.org/entity/Q29016912" TargetMode="External"/><Relationship Id="rId1904" Type="http://schemas.openxmlformats.org/officeDocument/2006/relationships/hyperlink" Target="http://www.wikidata.org/prop/direct/P108" TargetMode="External"/><Relationship Id="rId1905" Type="http://schemas.openxmlformats.org/officeDocument/2006/relationships/hyperlink" Target="http://www.wikidata.org/entity/Q17428533" TargetMode="External"/><Relationship Id="rId1906" Type="http://schemas.openxmlformats.org/officeDocument/2006/relationships/hyperlink" Target="http://www.wikidata.org/entity/Q2267896" TargetMode="External"/><Relationship Id="rId1907" Type="http://schemas.openxmlformats.org/officeDocument/2006/relationships/hyperlink" Target="http://www.wikidata.org/prop/direct/P463" TargetMode="External"/><Relationship Id="rId1908" Type="http://schemas.openxmlformats.org/officeDocument/2006/relationships/hyperlink" Target="http://www.wikidata.org/entity/Q13769746" TargetMode="External"/><Relationship Id="rId1909" Type="http://schemas.openxmlformats.org/officeDocument/2006/relationships/hyperlink" Target="http://www.wikidata.org/entity/Q118541114" TargetMode="External"/><Relationship Id="rId1090" Type="http://schemas.openxmlformats.org/officeDocument/2006/relationships/hyperlink" Target="http://www.wikidata.org/entity/Q2480833" TargetMode="External"/><Relationship Id="rId1091" Type="http://schemas.openxmlformats.org/officeDocument/2006/relationships/hyperlink" Target="http://www.wikidata.org/prop/direct/P108" TargetMode="External"/><Relationship Id="rId1092" Type="http://schemas.openxmlformats.org/officeDocument/2006/relationships/hyperlink" Target="http://www.wikidata.org/entity/Q115835763" TargetMode="External"/><Relationship Id="rId1093" Type="http://schemas.openxmlformats.org/officeDocument/2006/relationships/hyperlink" Target="http://www.wikidata.org/entity/Q1867263" TargetMode="External"/><Relationship Id="rId1094" Type="http://schemas.openxmlformats.org/officeDocument/2006/relationships/hyperlink" Target="http://www.wikidata.org/prop/direct/P69" TargetMode="External"/><Relationship Id="rId1095" Type="http://schemas.openxmlformats.org/officeDocument/2006/relationships/hyperlink" Target="http://www.wikidata.org/entity/Q18093100" TargetMode="External"/><Relationship Id="rId1096" Type="http://schemas.openxmlformats.org/officeDocument/2006/relationships/hyperlink" Target="http://www.wikidata.org/entity/Q850730" TargetMode="External"/><Relationship Id="rId1097" Type="http://schemas.openxmlformats.org/officeDocument/2006/relationships/hyperlink" Target="http://www.wikidata.org/prop/direct/P108" TargetMode="External"/><Relationship Id="rId1098" Type="http://schemas.openxmlformats.org/officeDocument/2006/relationships/hyperlink" Target="http://www.wikidata.org/entity/Q2306925" TargetMode="External"/><Relationship Id="rId1099" Type="http://schemas.openxmlformats.org/officeDocument/2006/relationships/hyperlink" Target="http://www.wikidata.org/entity/Q2327757" TargetMode="External"/><Relationship Id="rId1080" Type="http://schemas.openxmlformats.org/officeDocument/2006/relationships/hyperlink" Target="http://www.wikidata.org/entity/Q115834833" TargetMode="External"/><Relationship Id="rId1081" Type="http://schemas.openxmlformats.org/officeDocument/2006/relationships/hyperlink" Target="http://www.wikidata.org/entity/Q2479554" TargetMode="External"/><Relationship Id="rId1082" Type="http://schemas.openxmlformats.org/officeDocument/2006/relationships/hyperlink" Target="http://www.wikidata.org/prop/direct/P69" TargetMode="External"/><Relationship Id="rId1083" Type="http://schemas.openxmlformats.org/officeDocument/2006/relationships/hyperlink" Target="http://www.wikidata.org/entity/Q329468" TargetMode="External"/><Relationship Id="rId1084" Type="http://schemas.openxmlformats.org/officeDocument/2006/relationships/hyperlink" Target="http://www.wikidata.org/entity/Q1137665" TargetMode="External"/><Relationship Id="rId1085" Type="http://schemas.openxmlformats.org/officeDocument/2006/relationships/hyperlink" Target="http://www.wikidata.org/prop/direct/P69" TargetMode="External"/><Relationship Id="rId1086" Type="http://schemas.openxmlformats.org/officeDocument/2006/relationships/hyperlink" Target="http://www.wikidata.org/entity/Q2617184" TargetMode="External"/><Relationship Id="rId1087" Type="http://schemas.openxmlformats.org/officeDocument/2006/relationships/hyperlink" Target="http://www.wikidata.org/entity/Q2986729" TargetMode="External"/><Relationship Id="rId1088" Type="http://schemas.openxmlformats.org/officeDocument/2006/relationships/hyperlink" Target="http://www.wikidata.org/prop/direct/P463" TargetMode="External"/><Relationship Id="rId1089" Type="http://schemas.openxmlformats.org/officeDocument/2006/relationships/hyperlink" Target="http://www.wikidata.org/entity/Q115815004" TargetMode="External"/><Relationship Id="rId1972" Type="http://schemas.openxmlformats.org/officeDocument/2006/relationships/hyperlink" Target="http://www.wikidata.org/entity/Q156598" TargetMode="External"/><Relationship Id="rId1973" Type="http://schemas.openxmlformats.org/officeDocument/2006/relationships/hyperlink" Target="http://www.wikidata.org/prop/direct/P69" TargetMode="External"/><Relationship Id="rId1974" Type="http://schemas.openxmlformats.org/officeDocument/2006/relationships/hyperlink" Target="http://www.wikidata.org/entity/Q18655152" TargetMode="External"/><Relationship Id="rId1975" Type="http://schemas.openxmlformats.org/officeDocument/2006/relationships/hyperlink" Target="http://www.wikidata.org/entity/Q2499618" TargetMode="External"/><Relationship Id="rId1976" Type="http://schemas.openxmlformats.org/officeDocument/2006/relationships/hyperlink" Target="http://www.wikidata.org/prop/direct/P69" TargetMode="External"/><Relationship Id="rId1977" Type="http://schemas.openxmlformats.org/officeDocument/2006/relationships/hyperlink" Target="http://www.wikidata.org/entity/Q4902927" TargetMode="External"/><Relationship Id="rId1978" Type="http://schemas.openxmlformats.org/officeDocument/2006/relationships/hyperlink" Target="http://www.wikidata.org/entity/Q113988734" TargetMode="External"/><Relationship Id="rId1979" Type="http://schemas.openxmlformats.org/officeDocument/2006/relationships/hyperlink" Target="http://www.wikidata.org/prop/direct/P69" TargetMode="External"/><Relationship Id="rId1970" Type="http://schemas.openxmlformats.org/officeDocument/2006/relationships/hyperlink" Target="http://www.wikidata.org/prop/direct/P108" TargetMode="External"/><Relationship Id="rId1971" Type="http://schemas.openxmlformats.org/officeDocument/2006/relationships/hyperlink" Target="http://www.wikidata.org/entity/Q2319173" TargetMode="External"/><Relationship Id="rId1961" Type="http://schemas.openxmlformats.org/officeDocument/2006/relationships/hyperlink" Target="http://www.wikidata.org/prop/direct/P463" TargetMode="External"/><Relationship Id="rId1962" Type="http://schemas.openxmlformats.org/officeDocument/2006/relationships/hyperlink" Target="http://www.wikidata.org/entity/Q37766220" TargetMode="External"/><Relationship Id="rId1963" Type="http://schemas.openxmlformats.org/officeDocument/2006/relationships/hyperlink" Target="http://www.wikidata.org/entity/Q1268453" TargetMode="External"/><Relationship Id="rId1964" Type="http://schemas.openxmlformats.org/officeDocument/2006/relationships/hyperlink" Target="http://www.wikidata.org/prop/direct/P463" TargetMode="External"/><Relationship Id="rId1965" Type="http://schemas.openxmlformats.org/officeDocument/2006/relationships/hyperlink" Target="http://www.wikidata.org/entity/Q4902927" TargetMode="External"/><Relationship Id="rId1966" Type="http://schemas.openxmlformats.org/officeDocument/2006/relationships/hyperlink" Target="http://www.wikidata.org/entity/Q644789" TargetMode="External"/><Relationship Id="rId1967" Type="http://schemas.openxmlformats.org/officeDocument/2006/relationships/hyperlink" Target="http://www.wikidata.org/prop/direct/P69" TargetMode="External"/><Relationship Id="rId1968" Type="http://schemas.openxmlformats.org/officeDocument/2006/relationships/hyperlink" Target="http://www.wikidata.org/entity/Q37766220" TargetMode="External"/><Relationship Id="rId1969" Type="http://schemas.openxmlformats.org/officeDocument/2006/relationships/hyperlink" Target="http://www.wikidata.org/entity/Q11213091" TargetMode="External"/><Relationship Id="rId1960" Type="http://schemas.openxmlformats.org/officeDocument/2006/relationships/hyperlink" Target="http://www.wikidata.org/entity/Q2124852" TargetMode="External"/><Relationship Id="rId1994" Type="http://schemas.openxmlformats.org/officeDocument/2006/relationships/hyperlink" Target="http://www.wikidata.org/prop/direct/P69" TargetMode="External"/><Relationship Id="rId1995" Type="http://schemas.openxmlformats.org/officeDocument/2006/relationships/hyperlink" Target="http://www.wikidata.org/entity/Q13769746" TargetMode="External"/><Relationship Id="rId1996" Type="http://schemas.openxmlformats.org/officeDocument/2006/relationships/hyperlink" Target="http://www.wikidata.org/entity/Q209842" TargetMode="External"/><Relationship Id="rId1997" Type="http://schemas.openxmlformats.org/officeDocument/2006/relationships/hyperlink" Target="http://www.wikidata.org/prop/direct/P69" TargetMode="External"/><Relationship Id="rId1998" Type="http://schemas.openxmlformats.org/officeDocument/2006/relationships/hyperlink" Target="http://www.wikidata.org/entity/Q120913841" TargetMode="External"/><Relationship Id="rId1999" Type="http://schemas.openxmlformats.org/officeDocument/2006/relationships/hyperlink" Target="http://www.wikidata.org/entity/Q2985460" TargetMode="External"/><Relationship Id="rId1990" Type="http://schemas.openxmlformats.org/officeDocument/2006/relationships/hyperlink" Target="http://www.wikidata.org/entity/Q336977" TargetMode="External"/><Relationship Id="rId1991" Type="http://schemas.openxmlformats.org/officeDocument/2006/relationships/hyperlink" Target="http://www.wikidata.org/prop/direct/P108" TargetMode="External"/><Relationship Id="rId1992" Type="http://schemas.openxmlformats.org/officeDocument/2006/relationships/hyperlink" Target="http://www.wikidata.org/entity/Q120472271" TargetMode="External"/><Relationship Id="rId1993" Type="http://schemas.openxmlformats.org/officeDocument/2006/relationships/hyperlink" Target="http://www.wikidata.org/entity/Q120472465" TargetMode="External"/><Relationship Id="rId1983" Type="http://schemas.openxmlformats.org/officeDocument/2006/relationships/hyperlink" Target="http://www.wikidata.org/entity/Q2345694" TargetMode="External"/><Relationship Id="rId1984" Type="http://schemas.openxmlformats.org/officeDocument/2006/relationships/hyperlink" Target="http://www.wikidata.org/entity/Q2479554" TargetMode="External"/><Relationship Id="rId1985" Type="http://schemas.openxmlformats.org/officeDocument/2006/relationships/hyperlink" Target="http://www.wikidata.org/prop/direct/P69" TargetMode="External"/><Relationship Id="rId1986" Type="http://schemas.openxmlformats.org/officeDocument/2006/relationships/hyperlink" Target="http://www.wikidata.org/entity/Q13769746" TargetMode="External"/><Relationship Id="rId1987" Type="http://schemas.openxmlformats.org/officeDocument/2006/relationships/hyperlink" Target="http://www.wikidata.org/entity/Q156598" TargetMode="External"/><Relationship Id="rId1988" Type="http://schemas.openxmlformats.org/officeDocument/2006/relationships/hyperlink" Target="http://www.wikidata.org/prop/direct/P69" TargetMode="External"/><Relationship Id="rId1989" Type="http://schemas.openxmlformats.org/officeDocument/2006/relationships/hyperlink" Target="http://www.wikidata.org/entity/Q116621828" TargetMode="External"/><Relationship Id="rId1980" Type="http://schemas.openxmlformats.org/officeDocument/2006/relationships/hyperlink" Target="http://www.wikidata.org/entity/Q120729903" TargetMode="External"/><Relationship Id="rId1981" Type="http://schemas.openxmlformats.org/officeDocument/2006/relationships/hyperlink" Target="http://www.wikidata.org/entity/Q1867263" TargetMode="External"/><Relationship Id="rId1982" Type="http://schemas.openxmlformats.org/officeDocument/2006/relationships/hyperlink" Target="http://www.wikidata.org/prop/direct/P69" TargetMode="External"/><Relationship Id="rId1930" Type="http://schemas.openxmlformats.org/officeDocument/2006/relationships/hyperlink" Target="http://www.wikidata.org/entity/Q2663876" TargetMode="External"/><Relationship Id="rId1931" Type="http://schemas.openxmlformats.org/officeDocument/2006/relationships/hyperlink" Target="http://www.wikidata.org/prop/direct/P69" TargetMode="External"/><Relationship Id="rId1932" Type="http://schemas.openxmlformats.org/officeDocument/2006/relationships/hyperlink" Target="http://www.wikidata.org/entity/Q18655152" TargetMode="External"/><Relationship Id="rId1933" Type="http://schemas.openxmlformats.org/officeDocument/2006/relationships/hyperlink" Target="http://www.wikidata.org/entity/Q1137665" TargetMode="External"/><Relationship Id="rId1934" Type="http://schemas.openxmlformats.org/officeDocument/2006/relationships/hyperlink" Target="http://www.wikidata.org/prop/direct/P69" TargetMode="External"/><Relationship Id="rId1935" Type="http://schemas.openxmlformats.org/officeDocument/2006/relationships/hyperlink" Target="http://www.wikidata.org/entity/Q98322098" TargetMode="External"/><Relationship Id="rId1936" Type="http://schemas.openxmlformats.org/officeDocument/2006/relationships/hyperlink" Target="http://www.wikidata.org/entity/Q2663876" TargetMode="External"/><Relationship Id="rId1937" Type="http://schemas.openxmlformats.org/officeDocument/2006/relationships/hyperlink" Target="http://www.wikidata.org/prop/direct/P108" TargetMode="External"/><Relationship Id="rId1938" Type="http://schemas.openxmlformats.org/officeDocument/2006/relationships/hyperlink" Target="http://www.wikidata.org/entity/Q113754119" TargetMode="External"/><Relationship Id="rId1939" Type="http://schemas.openxmlformats.org/officeDocument/2006/relationships/hyperlink" Target="http://www.wikidata.org/entity/Q3039683" TargetMode="External"/><Relationship Id="rId1920" Type="http://schemas.openxmlformats.org/officeDocument/2006/relationships/hyperlink" Target="http://www.wikidata.org/entity/Q115809464" TargetMode="External"/><Relationship Id="rId1921" Type="http://schemas.openxmlformats.org/officeDocument/2006/relationships/hyperlink" Target="http://www.wikidata.org/entity/Q120729028" TargetMode="External"/><Relationship Id="rId1922" Type="http://schemas.openxmlformats.org/officeDocument/2006/relationships/hyperlink" Target="http://www.wikidata.org/prop/direct/P108" TargetMode="External"/><Relationship Id="rId1923" Type="http://schemas.openxmlformats.org/officeDocument/2006/relationships/hyperlink" Target="http://www.wikidata.org/entity/Q115809464" TargetMode="External"/><Relationship Id="rId1924" Type="http://schemas.openxmlformats.org/officeDocument/2006/relationships/hyperlink" Target="http://www.wikidata.org/entity/Q114232670" TargetMode="External"/><Relationship Id="rId1925" Type="http://schemas.openxmlformats.org/officeDocument/2006/relationships/hyperlink" Target="http://www.wikidata.org/prop/direct/P108" TargetMode="External"/><Relationship Id="rId1926" Type="http://schemas.openxmlformats.org/officeDocument/2006/relationships/hyperlink" Target="http://www.wikidata.org/entity/Q2345694" TargetMode="External"/><Relationship Id="rId1927" Type="http://schemas.openxmlformats.org/officeDocument/2006/relationships/hyperlink" Target="http://www.wikidata.org/entity/Q1867263" TargetMode="External"/><Relationship Id="rId1928" Type="http://schemas.openxmlformats.org/officeDocument/2006/relationships/hyperlink" Target="http://www.wikidata.org/prop/direct/P69" TargetMode="External"/><Relationship Id="rId1929" Type="http://schemas.openxmlformats.org/officeDocument/2006/relationships/hyperlink" Target="http://www.wikidata.org/entity/Q113754119" TargetMode="External"/><Relationship Id="rId1950" Type="http://schemas.openxmlformats.org/officeDocument/2006/relationships/hyperlink" Target="http://www.wikidata.org/entity/Q94896539" TargetMode="External"/><Relationship Id="rId1951" Type="http://schemas.openxmlformats.org/officeDocument/2006/relationships/hyperlink" Target="http://www.wikidata.org/entity/Q221653" TargetMode="External"/><Relationship Id="rId1952" Type="http://schemas.openxmlformats.org/officeDocument/2006/relationships/hyperlink" Target="http://www.wikidata.org/prop/direct/P69" TargetMode="External"/><Relationship Id="rId1953" Type="http://schemas.openxmlformats.org/officeDocument/2006/relationships/hyperlink" Target="http://www.wikidata.org/entity/Q18655152" TargetMode="External"/><Relationship Id="rId1954" Type="http://schemas.openxmlformats.org/officeDocument/2006/relationships/hyperlink" Target="http://www.wikidata.org/entity/Q1268453" TargetMode="External"/><Relationship Id="rId1955" Type="http://schemas.openxmlformats.org/officeDocument/2006/relationships/hyperlink" Target="http://www.wikidata.org/prop/direct/P463" TargetMode="External"/><Relationship Id="rId1956" Type="http://schemas.openxmlformats.org/officeDocument/2006/relationships/hyperlink" Target="http://www.wikidata.org/entity/Q18655152" TargetMode="External"/><Relationship Id="rId1957" Type="http://schemas.openxmlformats.org/officeDocument/2006/relationships/hyperlink" Target="http://www.wikidata.org/entity/Q96391437" TargetMode="External"/><Relationship Id="rId1958" Type="http://schemas.openxmlformats.org/officeDocument/2006/relationships/hyperlink" Target="http://www.wikidata.org/prop/direct/P463" TargetMode="External"/><Relationship Id="rId1959" Type="http://schemas.openxmlformats.org/officeDocument/2006/relationships/hyperlink" Target="http://www.wikidata.org/entity/Q55233295" TargetMode="External"/><Relationship Id="rId1940" Type="http://schemas.openxmlformats.org/officeDocument/2006/relationships/hyperlink" Target="http://www.wikidata.org/prop/direct/P463" TargetMode="External"/><Relationship Id="rId1941" Type="http://schemas.openxmlformats.org/officeDocument/2006/relationships/hyperlink" Target="http://www.wikidata.org/entity/Q3067739" TargetMode="External"/><Relationship Id="rId1942" Type="http://schemas.openxmlformats.org/officeDocument/2006/relationships/hyperlink" Target="http://www.wikidata.org/entity/Q337421" TargetMode="External"/><Relationship Id="rId1943" Type="http://schemas.openxmlformats.org/officeDocument/2006/relationships/hyperlink" Target="http://www.wikidata.org/prop/direct/P463" TargetMode="External"/><Relationship Id="rId1944" Type="http://schemas.openxmlformats.org/officeDocument/2006/relationships/hyperlink" Target="http://www.wikidata.org/entity/Q3431564" TargetMode="External"/><Relationship Id="rId1945" Type="http://schemas.openxmlformats.org/officeDocument/2006/relationships/hyperlink" Target="http://www.wikidata.org/entity/Q120831037" TargetMode="External"/><Relationship Id="rId1946" Type="http://schemas.openxmlformats.org/officeDocument/2006/relationships/hyperlink" Target="http://www.wikidata.org/prop/direct/P108" TargetMode="External"/><Relationship Id="rId1947" Type="http://schemas.openxmlformats.org/officeDocument/2006/relationships/hyperlink" Target="http://www.wikidata.org/entity/Q3431564" TargetMode="External"/><Relationship Id="rId1948" Type="http://schemas.openxmlformats.org/officeDocument/2006/relationships/hyperlink" Target="http://www.wikidata.org/entity/Q120837774" TargetMode="External"/><Relationship Id="rId1949" Type="http://schemas.openxmlformats.org/officeDocument/2006/relationships/hyperlink" Target="http://www.wikidata.org/prop/direct/P69" TargetMode="External"/><Relationship Id="rId2423" Type="http://schemas.openxmlformats.org/officeDocument/2006/relationships/hyperlink" Target="http://www.wikidata.org/prop/direct/P463" TargetMode="External"/><Relationship Id="rId2424" Type="http://schemas.openxmlformats.org/officeDocument/2006/relationships/hyperlink" Target="http://www.wikidata.org/entity/Q2191260" TargetMode="External"/><Relationship Id="rId2425" Type="http://schemas.openxmlformats.org/officeDocument/2006/relationships/hyperlink" Target="http://www.wikidata.org/entity/Q1867263" TargetMode="External"/><Relationship Id="rId2426" Type="http://schemas.openxmlformats.org/officeDocument/2006/relationships/hyperlink" Target="http://www.wikidata.org/prop/direct/P69" TargetMode="External"/><Relationship Id="rId2427" Type="http://schemas.openxmlformats.org/officeDocument/2006/relationships/hyperlink" Target="http://www.wikidata.org/entity/Q3421496" TargetMode="External"/><Relationship Id="rId2428" Type="http://schemas.openxmlformats.org/officeDocument/2006/relationships/hyperlink" Target="http://www.wikidata.org/entity/Q118744262" TargetMode="External"/><Relationship Id="rId2429" Type="http://schemas.openxmlformats.org/officeDocument/2006/relationships/hyperlink" Target="http://www.wikidata.org/prop/direct/P463" TargetMode="External"/><Relationship Id="rId509" Type="http://schemas.openxmlformats.org/officeDocument/2006/relationships/hyperlink" Target="http://www.wikidata.org/prop/direct/P69" TargetMode="External"/><Relationship Id="rId508" Type="http://schemas.openxmlformats.org/officeDocument/2006/relationships/hyperlink" Target="http://www.wikidata.org/entity/Q156598" TargetMode="External"/><Relationship Id="rId503" Type="http://schemas.openxmlformats.org/officeDocument/2006/relationships/hyperlink" Target="http://www.wikidata.org/prop/direct/P108" TargetMode="External"/><Relationship Id="rId502" Type="http://schemas.openxmlformats.org/officeDocument/2006/relationships/hyperlink" Target="http://www.wikidata.org/entity/Q2619680" TargetMode="External"/><Relationship Id="rId501" Type="http://schemas.openxmlformats.org/officeDocument/2006/relationships/hyperlink" Target="http://www.wikidata.org/entity/Q122915335" TargetMode="External"/><Relationship Id="rId500" Type="http://schemas.openxmlformats.org/officeDocument/2006/relationships/hyperlink" Target="http://www.wikidata.org/prop/direct/P463" TargetMode="External"/><Relationship Id="rId507" Type="http://schemas.openxmlformats.org/officeDocument/2006/relationships/hyperlink" Target="http://www.wikidata.org/entity/Q586323" TargetMode="External"/><Relationship Id="rId506" Type="http://schemas.openxmlformats.org/officeDocument/2006/relationships/hyperlink" Target="http://www.wikidata.org/prop/direct/P463" TargetMode="External"/><Relationship Id="rId505" Type="http://schemas.openxmlformats.org/officeDocument/2006/relationships/hyperlink" Target="http://www.wikidata.org/entity/Q2985460" TargetMode="External"/><Relationship Id="rId504" Type="http://schemas.openxmlformats.org/officeDocument/2006/relationships/hyperlink" Target="http://www.wikidata.org/entity/Q55672664" TargetMode="External"/><Relationship Id="rId2420" Type="http://schemas.openxmlformats.org/officeDocument/2006/relationships/hyperlink" Target="http://www.wikidata.org/prop/direct/P108" TargetMode="External"/><Relationship Id="rId2421" Type="http://schemas.openxmlformats.org/officeDocument/2006/relationships/hyperlink" Target="http://www.wikidata.org/entity/Q28973684" TargetMode="External"/><Relationship Id="rId2422" Type="http://schemas.openxmlformats.org/officeDocument/2006/relationships/hyperlink" Target="http://www.wikidata.org/entity/Q118559307" TargetMode="External"/><Relationship Id="rId2412" Type="http://schemas.openxmlformats.org/officeDocument/2006/relationships/hyperlink" Target="http://www.wikidata.org/entity/Q2361397" TargetMode="External"/><Relationship Id="rId2413" Type="http://schemas.openxmlformats.org/officeDocument/2006/relationships/hyperlink" Target="http://www.wikidata.org/entity/Q64040765" TargetMode="External"/><Relationship Id="rId2414" Type="http://schemas.openxmlformats.org/officeDocument/2006/relationships/hyperlink" Target="http://www.wikidata.org/prop/direct/P108" TargetMode="External"/><Relationship Id="rId2415" Type="http://schemas.openxmlformats.org/officeDocument/2006/relationships/hyperlink" Target="http://www.wikidata.org/entity/Q2413334" TargetMode="External"/><Relationship Id="rId2416" Type="http://schemas.openxmlformats.org/officeDocument/2006/relationships/hyperlink" Target="http://www.wikidata.org/entity/Q595802" TargetMode="External"/><Relationship Id="rId2417" Type="http://schemas.openxmlformats.org/officeDocument/2006/relationships/hyperlink" Target="http://www.wikidata.org/prop/direct/P108" TargetMode="External"/><Relationship Id="rId2418" Type="http://schemas.openxmlformats.org/officeDocument/2006/relationships/hyperlink" Target="http://www.wikidata.org/entity/Q28973684" TargetMode="External"/><Relationship Id="rId2419" Type="http://schemas.openxmlformats.org/officeDocument/2006/relationships/hyperlink" Target="http://www.wikidata.org/entity/Q118559268" TargetMode="External"/><Relationship Id="rId2410" Type="http://schemas.openxmlformats.org/officeDocument/2006/relationships/hyperlink" Target="http://www.wikidata.org/entity/Q644789" TargetMode="External"/><Relationship Id="rId2411" Type="http://schemas.openxmlformats.org/officeDocument/2006/relationships/hyperlink" Target="http://www.wikidata.org/prop/direct/P108" TargetMode="External"/><Relationship Id="rId1114" Type="http://schemas.openxmlformats.org/officeDocument/2006/relationships/hyperlink" Target="http://www.wikidata.org/entity/Q2237527" TargetMode="External"/><Relationship Id="rId2445" Type="http://schemas.openxmlformats.org/officeDocument/2006/relationships/hyperlink" Target="http://www.wikidata.org/entity/Q2191260" TargetMode="External"/><Relationship Id="rId1115" Type="http://schemas.openxmlformats.org/officeDocument/2006/relationships/hyperlink" Target="http://www.wikidata.org/prop/direct/P69" TargetMode="External"/><Relationship Id="rId2446" Type="http://schemas.openxmlformats.org/officeDocument/2006/relationships/hyperlink" Target="http://www.wikidata.org/entity/Q2479554" TargetMode="External"/><Relationship Id="rId1116" Type="http://schemas.openxmlformats.org/officeDocument/2006/relationships/hyperlink" Target="http://www.wikidata.org/entity/Q6242432" TargetMode="External"/><Relationship Id="rId2447" Type="http://schemas.openxmlformats.org/officeDocument/2006/relationships/hyperlink" Target="http://www.wikidata.org/prop/direct/P69" TargetMode="External"/><Relationship Id="rId1117" Type="http://schemas.openxmlformats.org/officeDocument/2006/relationships/hyperlink" Target="http://www.wikidata.org/entity/Q2822396" TargetMode="External"/><Relationship Id="rId2448" Type="http://schemas.openxmlformats.org/officeDocument/2006/relationships/hyperlink" Target="http://www.wikidata.org/entity/Q2191260" TargetMode="External"/><Relationship Id="rId1118" Type="http://schemas.openxmlformats.org/officeDocument/2006/relationships/hyperlink" Target="http://www.wikidata.org/prop/direct/P463" TargetMode="External"/><Relationship Id="rId2449" Type="http://schemas.openxmlformats.org/officeDocument/2006/relationships/hyperlink" Target="http://www.wikidata.org/entity/Q2479554" TargetMode="External"/><Relationship Id="rId1119" Type="http://schemas.openxmlformats.org/officeDocument/2006/relationships/hyperlink" Target="http://www.wikidata.org/entity/Q56036023" TargetMode="External"/><Relationship Id="rId525" Type="http://schemas.openxmlformats.org/officeDocument/2006/relationships/hyperlink" Target="http://www.wikidata.org/entity/Q115979952" TargetMode="External"/><Relationship Id="rId524" Type="http://schemas.openxmlformats.org/officeDocument/2006/relationships/hyperlink" Target="http://www.wikidata.org/prop/direct/P108" TargetMode="External"/><Relationship Id="rId523" Type="http://schemas.openxmlformats.org/officeDocument/2006/relationships/hyperlink" Target="http://www.wikidata.org/entity/Q2619680" TargetMode="External"/><Relationship Id="rId522" Type="http://schemas.openxmlformats.org/officeDocument/2006/relationships/hyperlink" Target="http://www.wikidata.org/entity/Q22002048" TargetMode="External"/><Relationship Id="rId529" Type="http://schemas.openxmlformats.org/officeDocument/2006/relationships/hyperlink" Target="http://www.wikidata.org/entity/Q1268453" TargetMode="External"/><Relationship Id="rId528" Type="http://schemas.openxmlformats.org/officeDocument/2006/relationships/hyperlink" Target="http://www.wikidata.org/entity/Q586323" TargetMode="External"/><Relationship Id="rId527" Type="http://schemas.openxmlformats.org/officeDocument/2006/relationships/hyperlink" Target="http://www.wikidata.org/prop/direct/P108" TargetMode="External"/><Relationship Id="rId526" Type="http://schemas.openxmlformats.org/officeDocument/2006/relationships/hyperlink" Target="http://www.wikidata.org/entity/Q122901389" TargetMode="External"/><Relationship Id="rId2440" Type="http://schemas.openxmlformats.org/officeDocument/2006/relationships/hyperlink" Target="http://www.wikidata.org/entity/Q1268453" TargetMode="External"/><Relationship Id="rId521" Type="http://schemas.openxmlformats.org/officeDocument/2006/relationships/hyperlink" Target="http://www.wikidata.org/prop/direct/P69" TargetMode="External"/><Relationship Id="rId1110" Type="http://schemas.openxmlformats.org/officeDocument/2006/relationships/hyperlink" Target="http://www.wikidata.org/entity/Q45029767" TargetMode="External"/><Relationship Id="rId2441" Type="http://schemas.openxmlformats.org/officeDocument/2006/relationships/hyperlink" Target="http://www.wikidata.org/prop/direct/P463" TargetMode="External"/><Relationship Id="rId520" Type="http://schemas.openxmlformats.org/officeDocument/2006/relationships/hyperlink" Target="http://www.wikidata.org/entity/Q644789" TargetMode="External"/><Relationship Id="rId1111" Type="http://schemas.openxmlformats.org/officeDocument/2006/relationships/hyperlink" Target="http://www.wikidata.org/entity/Q118495392" TargetMode="External"/><Relationship Id="rId2442" Type="http://schemas.openxmlformats.org/officeDocument/2006/relationships/hyperlink" Target="http://www.wikidata.org/entity/Q2191260" TargetMode="External"/><Relationship Id="rId1112" Type="http://schemas.openxmlformats.org/officeDocument/2006/relationships/hyperlink" Target="http://www.wikidata.org/prop/direct/P108" TargetMode="External"/><Relationship Id="rId2443" Type="http://schemas.openxmlformats.org/officeDocument/2006/relationships/hyperlink" Target="http://www.wikidata.org/entity/Q33117" TargetMode="External"/><Relationship Id="rId1113" Type="http://schemas.openxmlformats.org/officeDocument/2006/relationships/hyperlink" Target="http://www.wikidata.org/entity/Q45029767" TargetMode="External"/><Relationship Id="rId2444" Type="http://schemas.openxmlformats.org/officeDocument/2006/relationships/hyperlink" Target="http://www.wikidata.org/prop/direct/P108" TargetMode="External"/><Relationship Id="rId1103" Type="http://schemas.openxmlformats.org/officeDocument/2006/relationships/hyperlink" Target="http://www.wikidata.org/prop/direct/P69" TargetMode="External"/><Relationship Id="rId2434" Type="http://schemas.openxmlformats.org/officeDocument/2006/relationships/hyperlink" Target="http://www.wikidata.org/entity/Q33100553" TargetMode="External"/><Relationship Id="rId1104" Type="http://schemas.openxmlformats.org/officeDocument/2006/relationships/hyperlink" Target="http://www.wikidata.org/entity/Q981444" TargetMode="External"/><Relationship Id="rId2435" Type="http://schemas.openxmlformats.org/officeDocument/2006/relationships/hyperlink" Target="http://www.wikidata.org/prop/direct/P108" TargetMode="External"/><Relationship Id="rId1105" Type="http://schemas.openxmlformats.org/officeDocument/2006/relationships/hyperlink" Target="http://www.wikidata.org/entity/Q118744262" TargetMode="External"/><Relationship Id="rId2436" Type="http://schemas.openxmlformats.org/officeDocument/2006/relationships/hyperlink" Target="http://www.wikidata.org/entity/Q2413334" TargetMode="External"/><Relationship Id="rId1106" Type="http://schemas.openxmlformats.org/officeDocument/2006/relationships/hyperlink" Target="http://www.wikidata.org/prop/direct/P463" TargetMode="External"/><Relationship Id="rId2437" Type="http://schemas.openxmlformats.org/officeDocument/2006/relationships/hyperlink" Target="http://www.wikidata.org/entity/Q41726" TargetMode="External"/><Relationship Id="rId1107" Type="http://schemas.openxmlformats.org/officeDocument/2006/relationships/hyperlink" Target="http://www.wikidata.org/entity/Q64302" TargetMode="External"/><Relationship Id="rId2438" Type="http://schemas.openxmlformats.org/officeDocument/2006/relationships/hyperlink" Target="http://www.wikidata.org/prop/direct/P463" TargetMode="External"/><Relationship Id="rId1108" Type="http://schemas.openxmlformats.org/officeDocument/2006/relationships/hyperlink" Target="http://www.wikidata.org/entity/Q543804" TargetMode="External"/><Relationship Id="rId2439" Type="http://schemas.openxmlformats.org/officeDocument/2006/relationships/hyperlink" Target="http://www.wikidata.org/entity/Q2413334" TargetMode="External"/><Relationship Id="rId1109" Type="http://schemas.openxmlformats.org/officeDocument/2006/relationships/hyperlink" Target="http://www.wikidata.org/prop/direct/P463" TargetMode="External"/><Relationship Id="rId519" Type="http://schemas.openxmlformats.org/officeDocument/2006/relationships/hyperlink" Target="http://www.wikidata.org/entity/Q2298746" TargetMode="External"/><Relationship Id="rId514" Type="http://schemas.openxmlformats.org/officeDocument/2006/relationships/hyperlink" Target="http://www.wikidata.org/entity/Q2479554" TargetMode="External"/><Relationship Id="rId513" Type="http://schemas.openxmlformats.org/officeDocument/2006/relationships/hyperlink" Target="http://www.wikidata.org/entity/Q110039159" TargetMode="External"/><Relationship Id="rId512" Type="http://schemas.openxmlformats.org/officeDocument/2006/relationships/hyperlink" Target="http://www.wikidata.org/prop/direct/P108" TargetMode="External"/><Relationship Id="rId511" Type="http://schemas.openxmlformats.org/officeDocument/2006/relationships/hyperlink" Target="http://www.wikidata.org/entity/Q156598" TargetMode="External"/><Relationship Id="rId518" Type="http://schemas.openxmlformats.org/officeDocument/2006/relationships/hyperlink" Target="http://www.wikidata.org/prop/direct/P463" TargetMode="External"/><Relationship Id="rId517" Type="http://schemas.openxmlformats.org/officeDocument/2006/relationships/hyperlink" Target="http://www.wikidata.org/entity/Q1268453" TargetMode="External"/><Relationship Id="rId516" Type="http://schemas.openxmlformats.org/officeDocument/2006/relationships/hyperlink" Target="http://www.wikidata.org/entity/Q55672664" TargetMode="External"/><Relationship Id="rId515" Type="http://schemas.openxmlformats.org/officeDocument/2006/relationships/hyperlink" Target="http://www.wikidata.org/prop/direct/P69" TargetMode="External"/><Relationship Id="rId510" Type="http://schemas.openxmlformats.org/officeDocument/2006/relationships/hyperlink" Target="http://www.wikidata.org/entity/Q586323" TargetMode="External"/><Relationship Id="rId2430" Type="http://schemas.openxmlformats.org/officeDocument/2006/relationships/hyperlink" Target="http://www.wikidata.org/entity/Q2413334" TargetMode="External"/><Relationship Id="rId1100" Type="http://schemas.openxmlformats.org/officeDocument/2006/relationships/hyperlink" Target="http://www.wikidata.org/prop/direct/P108" TargetMode="External"/><Relationship Id="rId2431" Type="http://schemas.openxmlformats.org/officeDocument/2006/relationships/hyperlink" Target="http://www.wikidata.org/entity/Q33100553" TargetMode="External"/><Relationship Id="rId1101" Type="http://schemas.openxmlformats.org/officeDocument/2006/relationships/hyperlink" Target="http://www.wikidata.org/entity/Q118792556" TargetMode="External"/><Relationship Id="rId2432" Type="http://schemas.openxmlformats.org/officeDocument/2006/relationships/hyperlink" Target="http://www.wikidata.org/prop/direct/P69" TargetMode="External"/><Relationship Id="rId1102" Type="http://schemas.openxmlformats.org/officeDocument/2006/relationships/hyperlink" Target="http://www.wikidata.org/entity/Q1867263" TargetMode="External"/><Relationship Id="rId2433" Type="http://schemas.openxmlformats.org/officeDocument/2006/relationships/hyperlink" Target="http://www.wikidata.org/entity/Q2413334" TargetMode="External"/><Relationship Id="rId2401" Type="http://schemas.openxmlformats.org/officeDocument/2006/relationships/hyperlink" Target="http://www.wikidata.org/entity/Q337580" TargetMode="External"/><Relationship Id="rId2402" Type="http://schemas.openxmlformats.org/officeDocument/2006/relationships/hyperlink" Target="http://www.wikidata.org/prop/direct/P463" TargetMode="External"/><Relationship Id="rId2403" Type="http://schemas.openxmlformats.org/officeDocument/2006/relationships/hyperlink" Target="http://www.wikidata.org/entity/Q28584401" TargetMode="External"/><Relationship Id="rId2404" Type="http://schemas.openxmlformats.org/officeDocument/2006/relationships/hyperlink" Target="http://www.wikidata.org/entity/Q5546853" TargetMode="External"/><Relationship Id="rId2405" Type="http://schemas.openxmlformats.org/officeDocument/2006/relationships/hyperlink" Target="http://www.wikidata.org/prop/direct/P69" TargetMode="External"/><Relationship Id="rId2406" Type="http://schemas.openxmlformats.org/officeDocument/2006/relationships/hyperlink" Target="http://www.wikidata.org/entity/Q2424814" TargetMode="External"/><Relationship Id="rId2407" Type="http://schemas.openxmlformats.org/officeDocument/2006/relationships/hyperlink" Target="http://www.wikidata.org/entity/Q644789" TargetMode="External"/><Relationship Id="rId2408" Type="http://schemas.openxmlformats.org/officeDocument/2006/relationships/hyperlink" Target="http://www.wikidata.org/prop/direct/P69" TargetMode="External"/><Relationship Id="rId2409" Type="http://schemas.openxmlformats.org/officeDocument/2006/relationships/hyperlink" Target="http://www.wikidata.org/entity/Q2424814" TargetMode="External"/><Relationship Id="rId2400" Type="http://schemas.openxmlformats.org/officeDocument/2006/relationships/hyperlink" Target="http://www.wikidata.org/entity/Q2413334" TargetMode="External"/><Relationship Id="rId590" Type="http://schemas.openxmlformats.org/officeDocument/2006/relationships/hyperlink" Target="http://www.wikidata.org/prop/direct/P463" TargetMode="External"/><Relationship Id="rId589" Type="http://schemas.openxmlformats.org/officeDocument/2006/relationships/hyperlink" Target="http://www.wikidata.org/entity/Q14906150" TargetMode="External"/><Relationship Id="rId588" Type="http://schemas.openxmlformats.org/officeDocument/2006/relationships/hyperlink" Target="http://www.wikidata.org/entity/Q2062803" TargetMode="External"/><Relationship Id="rId1170" Type="http://schemas.openxmlformats.org/officeDocument/2006/relationships/hyperlink" Target="http://www.wikidata.org/entity/Q6242432" TargetMode="External"/><Relationship Id="rId1171" Type="http://schemas.openxmlformats.org/officeDocument/2006/relationships/hyperlink" Target="http://www.wikidata.org/entity/Q42197335" TargetMode="External"/><Relationship Id="rId583" Type="http://schemas.openxmlformats.org/officeDocument/2006/relationships/hyperlink" Target="http://www.wikidata.org/entity/Q1268453" TargetMode="External"/><Relationship Id="rId1172" Type="http://schemas.openxmlformats.org/officeDocument/2006/relationships/hyperlink" Target="http://www.wikidata.org/prop/direct/P463" TargetMode="External"/><Relationship Id="rId582" Type="http://schemas.openxmlformats.org/officeDocument/2006/relationships/hyperlink" Target="http://www.wikidata.org/entity/Q175669" TargetMode="External"/><Relationship Id="rId1173" Type="http://schemas.openxmlformats.org/officeDocument/2006/relationships/hyperlink" Target="http://www.wikidata.org/entity/Q55232762" TargetMode="External"/><Relationship Id="rId581" Type="http://schemas.openxmlformats.org/officeDocument/2006/relationships/hyperlink" Target="http://www.wikidata.org/prop/direct/P69" TargetMode="External"/><Relationship Id="rId1174" Type="http://schemas.openxmlformats.org/officeDocument/2006/relationships/hyperlink" Target="http://www.wikidata.org/entity/Q1268453" TargetMode="External"/><Relationship Id="rId580" Type="http://schemas.openxmlformats.org/officeDocument/2006/relationships/hyperlink" Target="http://www.wikidata.org/entity/Q1867263" TargetMode="External"/><Relationship Id="rId1175" Type="http://schemas.openxmlformats.org/officeDocument/2006/relationships/hyperlink" Target="http://www.wikidata.org/prop/direct/P463" TargetMode="External"/><Relationship Id="rId587" Type="http://schemas.openxmlformats.org/officeDocument/2006/relationships/hyperlink" Target="http://www.wikidata.org/prop/direct/P69" TargetMode="External"/><Relationship Id="rId1176" Type="http://schemas.openxmlformats.org/officeDocument/2006/relationships/hyperlink" Target="http://www.wikidata.org/entity/Q981444" TargetMode="External"/><Relationship Id="rId586" Type="http://schemas.openxmlformats.org/officeDocument/2006/relationships/hyperlink" Target="http://www.wikidata.org/entity/Q2822455" TargetMode="External"/><Relationship Id="rId1177" Type="http://schemas.openxmlformats.org/officeDocument/2006/relationships/hyperlink" Target="http://www.wikidata.org/entity/Q2663876" TargetMode="External"/><Relationship Id="rId585" Type="http://schemas.openxmlformats.org/officeDocument/2006/relationships/hyperlink" Target="http://www.wikidata.org/entity/Q2677198" TargetMode="External"/><Relationship Id="rId1178" Type="http://schemas.openxmlformats.org/officeDocument/2006/relationships/hyperlink" Target="http://www.wikidata.org/prop/direct/P108" TargetMode="External"/><Relationship Id="rId584" Type="http://schemas.openxmlformats.org/officeDocument/2006/relationships/hyperlink" Target="http://www.wikidata.org/prop/direct/P463" TargetMode="External"/><Relationship Id="rId1179" Type="http://schemas.openxmlformats.org/officeDocument/2006/relationships/hyperlink" Target="http://www.wikidata.org/entity/Q55232762" TargetMode="External"/><Relationship Id="rId1169" Type="http://schemas.openxmlformats.org/officeDocument/2006/relationships/hyperlink" Target="http://www.wikidata.org/prop/direct/P463" TargetMode="External"/><Relationship Id="rId579" Type="http://schemas.openxmlformats.org/officeDocument/2006/relationships/hyperlink" Target="http://www.wikidata.org/entity/Q113681935" TargetMode="External"/><Relationship Id="rId578" Type="http://schemas.openxmlformats.org/officeDocument/2006/relationships/hyperlink" Target="http://www.wikidata.org/prop/direct/P108" TargetMode="External"/><Relationship Id="rId577" Type="http://schemas.openxmlformats.org/officeDocument/2006/relationships/hyperlink" Target="http://www.wikidata.org/entity/Q4325830" TargetMode="External"/><Relationship Id="rId2490" Type="http://schemas.openxmlformats.org/officeDocument/2006/relationships/hyperlink" Target="http://www.wikidata.org/entity/Q2182589" TargetMode="External"/><Relationship Id="rId1160" Type="http://schemas.openxmlformats.org/officeDocument/2006/relationships/hyperlink" Target="http://www.wikidata.org/prop/direct/P463" TargetMode="External"/><Relationship Id="rId2491" Type="http://schemas.openxmlformats.org/officeDocument/2006/relationships/hyperlink" Target="http://www.wikidata.org/entity/Q2663876" TargetMode="External"/><Relationship Id="rId572" Type="http://schemas.openxmlformats.org/officeDocument/2006/relationships/hyperlink" Target="http://www.wikidata.org/prop/direct/P69" TargetMode="External"/><Relationship Id="rId1161" Type="http://schemas.openxmlformats.org/officeDocument/2006/relationships/hyperlink" Target="http://www.wikidata.org/entity/Q56036025" TargetMode="External"/><Relationship Id="rId2492" Type="http://schemas.openxmlformats.org/officeDocument/2006/relationships/hyperlink" Target="http://www.wikidata.org/prop/direct/P69" TargetMode="External"/><Relationship Id="rId571" Type="http://schemas.openxmlformats.org/officeDocument/2006/relationships/hyperlink" Target="http://www.wikidata.org/entity/Q2479554" TargetMode="External"/><Relationship Id="rId1162" Type="http://schemas.openxmlformats.org/officeDocument/2006/relationships/hyperlink" Target="http://www.wikidata.org/entity/Q1268453" TargetMode="External"/><Relationship Id="rId2493" Type="http://schemas.openxmlformats.org/officeDocument/2006/relationships/hyperlink" Target="http://www.wikidata.org/entity/Q2182589" TargetMode="External"/><Relationship Id="rId570" Type="http://schemas.openxmlformats.org/officeDocument/2006/relationships/hyperlink" Target="http://www.wikidata.org/entity/Q115979952" TargetMode="External"/><Relationship Id="rId1163" Type="http://schemas.openxmlformats.org/officeDocument/2006/relationships/hyperlink" Target="http://www.wikidata.org/prop/direct/P463" TargetMode="External"/><Relationship Id="rId2494" Type="http://schemas.openxmlformats.org/officeDocument/2006/relationships/hyperlink" Target="http://www.wikidata.org/entity/Q2663876" TargetMode="External"/><Relationship Id="rId1164" Type="http://schemas.openxmlformats.org/officeDocument/2006/relationships/hyperlink" Target="http://www.wikidata.org/entity/Q56036026" TargetMode="External"/><Relationship Id="rId2495" Type="http://schemas.openxmlformats.org/officeDocument/2006/relationships/hyperlink" Target="http://www.wikidata.org/prop/direct/P108" TargetMode="External"/><Relationship Id="rId576" Type="http://schemas.openxmlformats.org/officeDocument/2006/relationships/hyperlink" Target="http://www.wikidata.org/entity/Q2298746" TargetMode="External"/><Relationship Id="rId1165" Type="http://schemas.openxmlformats.org/officeDocument/2006/relationships/hyperlink" Target="http://www.wikidata.org/entity/Q1268453" TargetMode="External"/><Relationship Id="rId2496" Type="http://schemas.openxmlformats.org/officeDocument/2006/relationships/hyperlink" Target="http://www.wikidata.org/entity/Q2413334" TargetMode="External"/><Relationship Id="rId575" Type="http://schemas.openxmlformats.org/officeDocument/2006/relationships/hyperlink" Target="http://www.wikidata.org/prop/direct/P463" TargetMode="External"/><Relationship Id="rId1166" Type="http://schemas.openxmlformats.org/officeDocument/2006/relationships/hyperlink" Target="http://www.wikidata.org/prop/direct/P463" TargetMode="External"/><Relationship Id="rId2497" Type="http://schemas.openxmlformats.org/officeDocument/2006/relationships/hyperlink" Target="http://www.wikidata.org/entity/Q1334582" TargetMode="External"/><Relationship Id="rId574" Type="http://schemas.openxmlformats.org/officeDocument/2006/relationships/hyperlink" Target="http://www.wikidata.org/entity/Q726678" TargetMode="External"/><Relationship Id="rId1167" Type="http://schemas.openxmlformats.org/officeDocument/2006/relationships/hyperlink" Target="http://www.wikidata.org/entity/Q56036067" TargetMode="External"/><Relationship Id="rId2498" Type="http://schemas.openxmlformats.org/officeDocument/2006/relationships/hyperlink" Target="http://www.wikidata.org/prop/direct/P69" TargetMode="External"/><Relationship Id="rId573" Type="http://schemas.openxmlformats.org/officeDocument/2006/relationships/hyperlink" Target="http://www.wikidata.org/entity/Q1334711" TargetMode="External"/><Relationship Id="rId1168" Type="http://schemas.openxmlformats.org/officeDocument/2006/relationships/hyperlink" Target="http://www.wikidata.org/entity/Q1268453" TargetMode="External"/><Relationship Id="rId2499" Type="http://schemas.openxmlformats.org/officeDocument/2006/relationships/hyperlink" Target="http://www.wikidata.org/entity/Q2424814" TargetMode="External"/><Relationship Id="rId1190" Type="http://schemas.openxmlformats.org/officeDocument/2006/relationships/hyperlink" Target="http://www.wikidata.org/prop/direct/P463" TargetMode="External"/><Relationship Id="rId1191" Type="http://schemas.openxmlformats.org/officeDocument/2006/relationships/hyperlink" Target="http://www.wikidata.org/entity/Q45029767" TargetMode="External"/><Relationship Id="rId1192" Type="http://schemas.openxmlformats.org/officeDocument/2006/relationships/hyperlink" Target="http://www.wikidata.org/entity/Q49425918" TargetMode="External"/><Relationship Id="rId1193" Type="http://schemas.openxmlformats.org/officeDocument/2006/relationships/hyperlink" Target="http://www.wikidata.org/prop/direct/P69" TargetMode="External"/><Relationship Id="rId1194" Type="http://schemas.openxmlformats.org/officeDocument/2006/relationships/hyperlink" Target="http://www.wikidata.org/entity/Q55232762" TargetMode="External"/><Relationship Id="rId1195" Type="http://schemas.openxmlformats.org/officeDocument/2006/relationships/hyperlink" Target="http://www.wikidata.org/entity/Q2499618" TargetMode="External"/><Relationship Id="rId1196" Type="http://schemas.openxmlformats.org/officeDocument/2006/relationships/hyperlink" Target="http://www.wikidata.org/prop/direct/P69" TargetMode="External"/><Relationship Id="rId1197" Type="http://schemas.openxmlformats.org/officeDocument/2006/relationships/hyperlink" Target="http://www.wikidata.org/entity/Q981444" TargetMode="External"/><Relationship Id="rId1198" Type="http://schemas.openxmlformats.org/officeDocument/2006/relationships/hyperlink" Target="http://www.wikidata.org/entity/Q1268453" TargetMode="External"/><Relationship Id="rId1199" Type="http://schemas.openxmlformats.org/officeDocument/2006/relationships/hyperlink" Target="http://www.wikidata.org/prop/direct/P463" TargetMode="External"/><Relationship Id="rId599" Type="http://schemas.openxmlformats.org/officeDocument/2006/relationships/hyperlink" Target="http://www.wikidata.org/prop/direct/P108" TargetMode="External"/><Relationship Id="rId1180" Type="http://schemas.openxmlformats.org/officeDocument/2006/relationships/hyperlink" Target="http://www.wikidata.org/entity/Q2470103" TargetMode="External"/><Relationship Id="rId1181" Type="http://schemas.openxmlformats.org/officeDocument/2006/relationships/hyperlink" Target="http://www.wikidata.org/prop/direct/P69" TargetMode="External"/><Relationship Id="rId1182" Type="http://schemas.openxmlformats.org/officeDocument/2006/relationships/hyperlink" Target="http://www.wikidata.org/entity/Q970833" TargetMode="External"/><Relationship Id="rId594" Type="http://schemas.openxmlformats.org/officeDocument/2006/relationships/hyperlink" Target="http://www.wikidata.org/entity/Q2203619" TargetMode="External"/><Relationship Id="rId1183" Type="http://schemas.openxmlformats.org/officeDocument/2006/relationships/hyperlink" Target="http://www.wikidata.org/entity/Q2237527" TargetMode="External"/><Relationship Id="rId593" Type="http://schemas.openxmlformats.org/officeDocument/2006/relationships/hyperlink" Target="http://www.wikidata.org/prop/direct/P108" TargetMode="External"/><Relationship Id="rId1184" Type="http://schemas.openxmlformats.org/officeDocument/2006/relationships/hyperlink" Target="http://www.wikidata.org/prop/direct/P69" TargetMode="External"/><Relationship Id="rId592" Type="http://schemas.openxmlformats.org/officeDocument/2006/relationships/hyperlink" Target="http://www.wikidata.org/entity/Q644789" TargetMode="External"/><Relationship Id="rId1185" Type="http://schemas.openxmlformats.org/officeDocument/2006/relationships/hyperlink" Target="http://www.wikidata.org/entity/Q970833" TargetMode="External"/><Relationship Id="rId591" Type="http://schemas.openxmlformats.org/officeDocument/2006/relationships/hyperlink" Target="http://www.wikidata.org/entity/Q13575404" TargetMode="External"/><Relationship Id="rId1186" Type="http://schemas.openxmlformats.org/officeDocument/2006/relationships/hyperlink" Target="http://www.wikidata.org/entity/Q2237463" TargetMode="External"/><Relationship Id="rId598" Type="http://schemas.openxmlformats.org/officeDocument/2006/relationships/hyperlink" Target="http://www.wikidata.org/entity/Q213322" TargetMode="External"/><Relationship Id="rId1187" Type="http://schemas.openxmlformats.org/officeDocument/2006/relationships/hyperlink" Target="http://www.wikidata.org/prop/direct/P463" TargetMode="External"/><Relationship Id="rId597" Type="http://schemas.openxmlformats.org/officeDocument/2006/relationships/hyperlink" Target="http://www.wikidata.org/entity/Q2062803" TargetMode="External"/><Relationship Id="rId1188" Type="http://schemas.openxmlformats.org/officeDocument/2006/relationships/hyperlink" Target="http://www.wikidata.org/entity/Q719358" TargetMode="External"/><Relationship Id="rId596" Type="http://schemas.openxmlformats.org/officeDocument/2006/relationships/hyperlink" Target="http://www.wikidata.org/prop/direct/P463" TargetMode="External"/><Relationship Id="rId1189" Type="http://schemas.openxmlformats.org/officeDocument/2006/relationships/hyperlink" Target="http://www.wikidata.org/entity/Q1268453" TargetMode="External"/><Relationship Id="rId595" Type="http://schemas.openxmlformats.org/officeDocument/2006/relationships/hyperlink" Target="http://www.wikidata.org/entity/Q1268453" TargetMode="External"/><Relationship Id="rId1136" Type="http://schemas.openxmlformats.org/officeDocument/2006/relationships/hyperlink" Target="http://www.wikidata.org/prop/direct/P108" TargetMode="External"/><Relationship Id="rId2467" Type="http://schemas.openxmlformats.org/officeDocument/2006/relationships/hyperlink" Target="http://www.wikidata.org/entity/Q1268453" TargetMode="External"/><Relationship Id="rId1137" Type="http://schemas.openxmlformats.org/officeDocument/2006/relationships/hyperlink" Target="http://www.wikidata.org/entity/Q56036067" TargetMode="External"/><Relationship Id="rId2468" Type="http://schemas.openxmlformats.org/officeDocument/2006/relationships/hyperlink" Target="http://www.wikidata.org/prop/direct/P463" TargetMode="External"/><Relationship Id="rId1138" Type="http://schemas.openxmlformats.org/officeDocument/2006/relationships/hyperlink" Target="http://www.wikidata.org/entity/Q49425918" TargetMode="External"/><Relationship Id="rId2469" Type="http://schemas.openxmlformats.org/officeDocument/2006/relationships/hyperlink" Target="http://www.wikidata.org/entity/Q2191260" TargetMode="External"/><Relationship Id="rId1139" Type="http://schemas.openxmlformats.org/officeDocument/2006/relationships/hyperlink" Target="http://www.wikidata.org/prop/direct/P69" TargetMode="External"/><Relationship Id="rId547" Type="http://schemas.openxmlformats.org/officeDocument/2006/relationships/hyperlink" Target="http://www.wikidata.org/entity/Q1301699" TargetMode="External"/><Relationship Id="rId546" Type="http://schemas.openxmlformats.org/officeDocument/2006/relationships/hyperlink" Target="http://www.wikidata.org/entity/Q55672664" TargetMode="External"/><Relationship Id="rId545" Type="http://schemas.openxmlformats.org/officeDocument/2006/relationships/hyperlink" Target="http://www.wikidata.org/prop/direct/P69" TargetMode="External"/><Relationship Id="rId544" Type="http://schemas.openxmlformats.org/officeDocument/2006/relationships/hyperlink" Target="http://www.wikidata.org/entity/Q1867263" TargetMode="External"/><Relationship Id="rId549" Type="http://schemas.openxmlformats.org/officeDocument/2006/relationships/hyperlink" Target="http://www.wikidata.org/entity/Q15461013" TargetMode="External"/><Relationship Id="rId548" Type="http://schemas.openxmlformats.org/officeDocument/2006/relationships/hyperlink" Target="http://www.wikidata.org/prop/direct/P463" TargetMode="External"/><Relationship Id="rId2460" Type="http://schemas.openxmlformats.org/officeDocument/2006/relationships/hyperlink" Target="http://www.wikidata.org/entity/Q3166510" TargetMode="External"/><Relationship Id="rId1130" Type="http://schemas.openxmlformats.org/officeDocument/2006/relationships/hyperlink" Target="http://www.wikidata.org/prop/direct/P69" TargetMode="External"/><Relationship Id="rId2461" Type="http://schemas.openxmlformats.org/officeDocument/2006/relationships/hyperlink" Target="http://www.wikidata.org/entity/Q1867263" TargetMode="External"/><Relationship Id="rId1131" Type="http://schemas.openxmlformats.org/officeDocument/2006/relationships/hyperlink" Target="http://www.wikidata.org/entity/Q55911879" TargetMode="External"/><Relationship Id="rId2462" Type="http://schemas.openxmlformats.org/officeDocument/2006/relationships/hyperlink" Target="http://www.wikidata.org/prop/direct/P108" TargetMode="External"/><Relationship Id="rId543" Type="http://schemas.openxmlformats.org/officeDocument/2006/relationships/hyperlink" Target="http://www.wikidata.org/entity/Q118725738" TargetMode="External"/><Relationship Id="rId1132" Type="http://schemas.openxmlformats.org/officeDocument/2006/relationships/hyperlink" Target="http://www.wikidata.org/entity/Q118522719" TargetMode="External"/><Relationship Id="rId2463" Type="http://schemas.openxmlformats.org/officeDocument/2006/relationships/hyperlink" Target="http://www.wikidata.org/entity/Q2424814" TargetMode="External"/><Relationship Id="rId542" Type="http://schemas.openxmlformats.org/officeDocument/2006/relationships/hyperlink" Target="http://www.wikidata.org/prop/direct/P69" TargetMode="External"/><Relationship Id="rId1133" Type="http://schemas.openxmlformats.org/officeDocument/2006/relationships/hyperlink" Target="http://www.wikidata.org/prop/direct/P108" TargetMode="External"/><Relationship Id="rId2464" Type="http://schemas.openxmlformats.org/officeDocument/2006/relationships/hyperlink" Target="http://www.wikidata.org/entity/Q2237527" TargetMode="External"/><Relationship Id="rId541" Type="http://schemas.openxmlformats.org/officeDocument/2006/relationships/hyperlink" Target="http://www.wikidata.org/entity/Q981752" TargetMode="External"/><Relationship Id="rId1134" Type="http://schemas.openxmlformats.org/officeDocument/2006/relationships/hyperlink" Target="http://www.wikidata.org/entity/Q981444" TargetMode="External"/><Relationship Id="rId2465" Type="http://schemas.openxmlformats.org/officeDocument/2006/relationships/hyperlink" Target="http://www.wikidata.org/prop/direct/P108" TargetMode="External"/><Relationship Id="rId540" Type="http://schemas.openxmlformats.org/officeDocument/2006/relationships/hyperlink" Target="http://www.wikidata.org/entity/Q672816" TargetMode="External"/><Relationship Id="rId1135" Type="http://schemas.openxmlformats.org/officeDocument/2006/relationships/hyperlink" Target="http://www.wikidata.org/entity/Q52380328" TargetMode="External"/><Relationship Id="rId2466" Type="http://schemas.openxmlformats.org/officeDocument/2006/relationships/hyperlink" Target="http://www.wikidata.org/entity/Q28973684" TargetMode="External"/><Relationship Id="rId1125" Type="http://schemas.openxmlformats.org/officeDocument/2006/relationships/hyperlink" Target="http://www.wikidata.org/entity/Q764378" TargetMode="External"/><Relationship Id="rId2456" Type="http://schemas.openxmlformats.org/officeDocument/2006/relationships/hyperlink" Target="http://www.wikidata.org/prop/direct/P69" TargetMode="External"/><Relationship Id="rId1126" Type="http://schemas.openxmlformats.org/officeDocument/2006/relationships/hyperlink" Target="http://www.wikidata.org/entity/Q1137665" TargetMode="External"/><Relationship Id="rId2457" Type="http://schemas.openxmlformats.org/officeDocument/2006/relationships/hyperlink" Target="http://www.wikidata.org/entity/Q3421496" TargetMode="External"/><Relationship Id="rId1127" Type="http://schemas.openxmlformats.org/officeDocument/2006/relationships/hyperlink" Target="http://www.wikidata.org/prop/direct/P108" TargetMode="External"/><Relationship Id="rId2458" Type="http://schemas.openxmlformats.org/officeDocument/2006/relationships/hyperlink" Target="http://www.wikidata.org/entity/Q1477551" TargetMode="External"/><Relationship Id="rId1128" Type="http://schemas.openxmlformats.org/officeDocument/2006/relationships/hyperlink" Target="http://www.wikidata.org/entity/Q56036025" TargetMode="External"/><Relationship Id="rId2459" Type="http://schemas.openxmlformats.org/officeDocument/2006/relationships/hyperlink" Target="http://www.wikidata.org/prop/direct/P69" TargetMode="External"/><Relationship Id="rId1129" Type="http://schemas.openxmlformats.org/officeDocument/2006/relationships/hyperlink" Target="http://www.wikidata.org/entity/Q61679584" TargetMode="External"/><Relationship Id="rId536" Type="http://schemas.openxmlformats.org/officeDocument/2006/relationships/hyperlink" Target="http://www.wikidata.org/prop/direct/P463" TargetMode="External"/><Relationship Id="rId535" Type="http://schemas.openxmlformats.org/officeDocument/2006/relationships/hyperlink" Target="http://www.wikidata.org/entity/Q113951185" TargetMode="External"/><Relationship Id="rId534" Type="http://schemas.openxmlformats.org/officeDocument/2006/relationships/hyperlink" Target="http://www.wikidata.org/entity/Q110039159" TargetMode="External"/><Relationship Id="rId533" Type="http://schemas.openxmlformats.org/officeDocument/2006/relationships/hyperlink" Target="http://www.wikidata.org/prop/direct/P108" TargetMode="External"/><Relationship Id="rId539" Type="http://schemas.openxmlformats.org/officeDocument/2006/relationships/hyperlink" Target="http://www.wikidata.org/prop/direct/P69" TargetMode="External"/><Relationship Id="rId538" Type="http://schemas.openxmlformats.org/officeDocument/2006/relationships/hyperlink" Target="http://www.wikidata.org/entity/Q644789" TargetMode="External"/><Relationship Id="rId537" Type="http://schemas.openxmlformats.org/officeDocument/2006/relationships/hyperlink" Target="http://www.wikidata.org/entity/Q110039159" TargetMode="External"/><Relationship Id="rId2450" Type="http://schemas.openxmlformats.org/officeDocument/2006/relationships/hyperlink" Target="http://www.wikidata.org/prop/direct/P108" TargetMode="External"/><Relationship Id="rId1120" Type="http://schemas.openxmlformats.org/officeDocument/2006/relationships/hyperlink" Target="http://www.wikidata.org/entity/Q209842" TargetMode="External"/><Relationship Id="rId2451" Type="http://schemas.openxmlformats.org/officeDocument/2006/relationships/hyperlink" Target="http://www.wikidata.org/entity/Q2413334" TargetMode="External"/><Relationship Id="rId532" Type="http://schemas.openxmlformats.org/officeDocument/2006/relationships/hyperlink" Target="http://www.wikidata.org/entity/Q2663876" TargetMode="External"/><Relationship Id="rId1121" Type="http://schemas.openxmlformats.org/officeDocument/2006/relationships/hyperlink" Target="http://www.wikidata.org/prop/direct/P69" TargetMode="External"/><Relationship Id="rId2452" Type="http://schemas.openxmlformats.org/officeDocument/2006/relationships/hyperlink" Target="http://www.wikidata.org/entity/Q2499618" TargetMode="External"/><Relationship Id="rId531" Type="http://schemas.openxmlformats.org/officeDocument/2006/relationships/hyperlink" Target="http://www.wikidata.org/entity/Q115813641" TargetMode="External"/><Relationship Id="rId1122" Type="http://schemas.openxmlformats.org/officeDocument/2006/relationships/hyperlink" Target="http://www.wikidata.org/entity/Q56036023" TargetMode="External"/><Relationship Id="rId2453" Type="http://schemas.openxmlformats.org/officeDocument/2006/relationships/hyperlink" Target="http://www.wikidata.org/prop/direct/P108" TargetMode="External"/><Relationship Id="rId530" Type="http://schemas.openxmlformats.org/officeDocument/2006/relationships/hyperlink" Target="http://www.wikidata.org/prop/direct/P463" TargetMode="External"/><Relationship Id="rId1123" Type="http://schemas.openxmlformats.org/officeDocument/2006/relationships/hyperlink" Target="http://www.wikidata.org/entity/Q2985460" TargetMode="External"/><Relationship Id="rId2454" Type="http://schemas.openxmlformats.org/officeDocument/2006/relationships/hyperlink" Target="http://www.wikidata.org/entity/Q3421496" TargetMode="External"/><Relationship Id="rId1124" Type="http://schemas.openxmlformats.org/officeDocument/2006/relationships/hyperlink" Target="http://www.wikidata.org/prop/direct/P463" TargetMode="External"/><Relationship Id="rId2455" Type="http://schemas.openxmlformats.org/officeDocument/2006/relationships/hyperlink" Target="http://www.wikidata.org/entity/Q1867263" TargetMode="External"/><Relationship Id="rId1158" Type="http://schemas.openxmlformats.org/officeDocument/2006/relationships/hyperlink" Target="http://www.wikidata.org/entity/Q43140929" TargetMode="External"/><Relationship Id="rId2489" Type="http://schemas.openxmlformats.org/officeDocument/2006/relationships/hyperlink" Target="http://www.wikidata.org/prop/direct/P108" TargetMode="External"/><Relationship Id="rId1159" Type="http://schemas.openxmlformats.org/officeDocument/2006/relationships/hyperlink" Target="http://www.wikidata.org/entity/Q42197335" TargetMode="External"/><Relationship Id="rId569" Type="http://schemas.openxmlformats.org/officeDocument/2006/relationships/hyperlink" Target="http://www.wikidata.org/prop/direct/P463" TargetMode="External"/><Relationship Id="rId568" Type="http://schemas.openxmlformats.org/officeDocument/2006/relationships/hyperlink" Target="http://www.wikidata.org/entity/Q119702334" TargetMode="External"/><Relationship Id="rId567" Type="http://schemas.openxmlformats.org/officeDocument/2006/relationships/hyperlink" Target="http://www.wikidata.org/entity/Q118725738" TargetMode="External"/><Relationship Id="rId566" Type="http://schemas.openxmlformats.org/officeDocument/2006/relationships/hyperlink" Target="http://www.wikidata.org/prop/direct/P108" TargetMode="External"/><Relationship Id="rId2480" Type="http://schemas.openxmlformats.org/officeDocument/2006/relationships/hyperlink" Target="http://www.wikidata.org/prop/direct/P108" TargetMode="External"/><Relationship Id="rId561" Type="http://schemas.openxmlformats.org/officeDocument/2006/relationships/hyperlink" Target="http://www.wikidata.org/entity/Q115819139" TargetMode="External"/><Relationship Id="rId1150" Type="http://schemas.openxmlformats.org/officeDocument/2006/relationships/hyperlink" Target="http://www.wikidata.org/entity/Q2869314" TargetMode="External"/><Relationship Id="rId2481" Type="http://schemas.openxmlformats.org/officeDocument/2006/relationships/hyperlink" Target="http://www.wikidata.org/entity/Q2361397" TargetMode="External"/><Relationship Id="rId560" Type="http://schemas.openxmlformats.org/officeDocument/2006/relationships/hyperlink" Target="http://www.wikidata.org/prop/direct/P108" TargetMode="External"/><Relationship Id="rId1151" Type="http://schemas.openxmlformats.org/officeDocument/2006/relationships/hyperlink" Target="http://www.wikidata.org/prop/direct/P108" TargetMode="External"/><Relationship Id="rId2482" Type="http://schemas.openxmlformats.org/officeDocument/2006/relationships/hyperlink" Target="http://www.wikidata.org/entity/Q33100553" TargetMode="External"/><Relationship Id="rId1152" Type="http://schemas.openxmlformats.org/officeDocument/2006/relationships/hyperlink" Target="http://www.wikidata.org/entity/Q764378" TargetMode="External"/><Relationship Id="rId2483" Type="http://schemas.openxmlformats.org/officeDocument/2006/relationships/hyperlink" Target="http://www.wikidata.org/prop/direct/P69" TargetMode="External"/><Relationship Id="rId1153" Type="http://schemas.openxmlformats.org/officeDocument/2006/relationships/hyperlink" Target="http://www.wikidata.org/entity/Q1268453" TargetMode="External"/><Relationship Id="rId2484" Type="http://schemas.openxmlformats.org/officeDocument/2006/relationships/hyperlink" Target="http://www.wikidata.org/entity/Q2413334" TargetMode="External"/><Relationship Id="rId565" Type="http://schemas.openxmlformats.org/officeDocument/2006/relationships/hyperlink" Target="http://www.wikidata.org/entity/Q13744144" TargetMode="External"/><Relationship Id="rId1154" Type="http://schemas.openxmlformats.org/officeDocument/2006/relationships/hyperlink" Target="http://www.wikidata.org/prop/direct/P463" TargetMode="External"/><Relationship Id="rId2485" Type="http://schemas.openxmlformats.org/officeDocument/2006/relationships/hyperlink" Target="http://www.wikidata.org/entity/Q654185" TargetMode="External"/><Relationship Id="rId564" Type="http://schemas.openxmlformats.org/officeDocument/2006/relationships/hyperlink" Target="http://www.wikidata.org/entity/Q2298746" TargetMode="External"/><Relationship Id="rId1155" Type="http://schemas.openxmlformats.org/officeDocument/2006/relationships/hyperlink" Target="http://www.wikidata.org/entity/Q56036023" TargetMode="External"/><Relationship Id="rId2486" Type="http://schemas.openxmlformats.org/officeDocument/2006/relationships/hyperlink" Target="http://www.wikidata.org/prop/direct/P463" TargetMode="External"/><Relationship Id="rId563" Type="http://schemas.openxmlformats.org/officeDocument/2006/relationships/hyperlink" Target="http://www.wikidata.org/prop/direct/P69" TargetMode="External"/><Relationship Id="rId1156" Type="http://schemas.openxmlformats.org/officeDocument/2006/relationships/hyperlink" Target="http://www.wikidata.org/entity/Q1268453" TargetMode="External"/><Relationship Id="rId2487" Type="http://schemas.openxmlformats.org/officeDocument/2006/relationships/hyperlink" Target="http://www.wikidata.org/entity/Q2361397" TargetMode="External"/><Relationship Id="rId562" Type="http://schemas.openxmlformats.org/officeDocument/2006/relationships/hyperlink" Target="http://www.wikidata.org/entity/Q49425918" TargetMode="External"/><Relationship Id="rId1157" Type="http://schemas.openxmlformats.org/officeDocument/2006/relationships/hyperlink" Target="http://www.wikidata.org/prop/direct/P463" TargetMode="External"/><Relationship Id="rId2488" Type="http://schemas.openxmlformats.org/officeDocument/2006/relationships/hyperlink" Target="http://www.wikidata.org/entity/Q4431761" TargetMode="External"/><Relationship Id="rId1147" Type="http://schemas.openxmlformats.org/officeDocument/2006/relationships/hyperlink" Target="http://www.wikidata.org/entity/Q1137665" TargetMode="External"/><Relationship Id="rId2478" Type="http://schemas.openxmlformats.org/officeDocument/2006/relationships/hyperlink" Target="http://www.wikidata.org/entity/Q3166510" TargetMode="External"/><Relationship Id="rId1148" Type="http://schemas.openxmlformats.org/officeDocument/2006/relationships/hyperlink" Target="http://www.wikidata.org/prop/direct/P69" TargetMode="External"/><Relationship Id="rId2479" Type="http://schemas.openxmlformats.org/officeDocument/2006/relationships/hyperlink" Target="http://www.wikidata.org/entity/Q2479554" TargetMode="External"/><Relationship Id="rId1149" Type="http://schemas.openxmlformats.org/officeDocument/2006/relationships/hyperlink" Target="http://www.wikidata.org/entity/Q55911879" TargetMode="External"/><Relationship Id="rId558" Type="http://schemas.openxmlformats.org/officeDocument/2006/relationships/hyperlink" Target="http://www.wikidata.org/entity/Q2298746" TargetMode="External"/><Relationship Id="rId557" Type="http://schemas.openxmlformats.org/officeDocument/2006/relationships/hyperlink" Target="http://www.wikidata.org/prop/direct/P463" TargetMode="External"/><Relationship Id="rId556" Type="http://schemas.openxmlformats.org/officeDocument/2006/relationships/hyperlink" Target="http://www.wikidata.org/entity/Q2237463" TargetMode="External"/><Relationship Id="rId555" Type="http://schemas.openxmlformats.org/officeDocument/2006/relationships/hyperlink" Target="http://www.wikidata.org/entity/Q1334711" TargetMode="External"/><Relationship Id="rId559" Type="http://schemas.openxmlformats.org/officeDocument/2006/relationships/hyperlink" Target="http://www.wikidata.org/entity/Q27895221" TargetMode="External"/><Relationship Id="rId550" Type="http://schemas.openxmlformats.org/officeDocument/2006/relationships/hyperlink" Target="http://www.wikidata.org/entity/Q2690997" TargetMode="External"/><Relationship Id="rId2470" Type="http://schemas.openxmlformats.org/officeDocument/2006/relationships/hyperlink" Target="http://www.wikidata.org/entity/Q644789" TargetMode="External"/><Relationship Id="rId1140" Type="http://schemas.openxmlformats.org/officeDocument/2006/relationships/hyperlink" Target="http://www.wikidata.org/entity/Q981444" TargetMode="External"/><Relationship Id="rId2471" Type="http://schemas.openxmlformats.org/officeDocument/2006/relationships/hyperlink" Target="http://www.wikidata.org/prop/direct/P69" TargetMode="External"/><Relationship Id="rId1141" Type="http://schemas.openxmlformats.org/officeDocument/2006/relationships/hyperlink" Target="http://www.wikidata.org/entity/Q1867263" TargetMode="External"/><Relationship Id="rId2472" Type="http://schemas.openxmlformats.org/officeDocument/2006/relationships/hyperlink" Target="http://www.wikidata.org/entity/Q2182589" TargetMode="External"/><Relationship Id="rId1142" Type="http://schemas.openxmlformats.org/officeDocument/2006/relationships/hyperlink" Target="http://www.wikidata.org/prop/direct/P69" TargetMode="External"/><Relationship Id="rId2473" Type="http://schemas.openxmlformats.org/officeDocument/2006/relationships/hyperlink" Target="http://www.wikidata.org/entity/Q1867263" TargetMode="External"/><Relationship Id="rId554" Type="http://schemas.openxmlformats.org/officeDocument/2006/relationships/hyperlink" Target="http://www.wikidata.org/prop/direct/P463" TargetMode="External"/><Relationship Id="rId1143" Type="http://schemas.openxmlformats.org/officeDocument/2006/relationships/hyperlink" Target="http://www.wikidata.org/entity/Q981444" TargetMode="External"/><Relationship Id="rId2474" Type="http://schemas.openxmlformats.org/officeDocument/2006/relationships/hyperlink" Target="http://www.wikidata.org/prop/direct/P69" TargetMode="External"/><Relationship Id="rId553" Type="http://schemas.openxmlformats.org/officeDocument/2006/relationships/hyperlink" Target="http://www.wikidata.org/entity/Q50492927" TargetMode="External"/><Relationship Id="rId1144" Type="http://schemas.openxmlformats.org/officeDocument/2006/relationships/hyperlink" Target="http://www.wikidata.org/entity/Q1867263" TargetMode="External"/><Relationship Id="rId2475" Type="http://schemas.openxmlformats.org/officeDocument/2006/relationships/hyperlink" Target="http://www.wikidata.org/entity/Q3421496" TargetMode="External"/><Relationship Id="rId552" Type="http://schemas.openxmlformats.org/officeDocument/2006/relationships/hyperlink" Target="http://www.wikidata.org/entity/Q110039159" TargetMode="External"/><Relationship Id="rId1145" Type="http://schemas.openxmlformats.org/officeDocument/2006/relationships/hyperlink" Target="http://www.wikidata.org/prop/direct/P108" TargetMode="External"/><Relationship Id="rId2476" Type="http://schemas.openxmlformats.org/officeDocument/2006/relationships/hyperlink" Target="http://www.wikidata.org/entity/Q2479554" TargetMode="External"/><Relationship Id="rId551" Type="http://schemas.openxmlformats.org/officeDocument/2006/relationships/hyperlink" Target="http://www.wikidata.org/prop/direct/P463" TargetMode="External"/><Relationship Id="rId1146" Type="http://schemas.openxmlformats.org/officeDocument/2006/relationships/hyperlink" Target="http://www.wikidata.org/entity/Q55232762" TargetMode="External"/><Relationship Id="rId2477" Type="http://schemas.openxmlformats.org/officeDocument/2006/relationships/hyperlink" Target="http://www.wikidata.org/prop/direct/P69" TargetMode="External"/><Relationship Id="rId495" Type="http://schemas.openxmlformats.org/officeDocument/2006/relationships/hyperlink" Target="http://www.wikidata.org/entity/Q110039159" TargetMode="External"/><Relationship Id="rId494" Type="http://schemas.openxmlformats.org/officeDocument/2006/relationships/hyperlink" Target="http://www.wikidata.org/prop/direct/P108" TargetMode="External"/><Relationship Id="rId493" Type="http://schemas.openxmlformats.org/officeDocument/2006/relationships/hyperlink" Target="http://www.wikidata.org/entity/Q2480833" TargetMode="External"/><Relationship Id="rId492" Type="http://schemas.openxmlformats.org/officeDocument/2006/relationships/hyperlink" Target="http://www.wikidata.org/entity/Q115979029" TargetMode="External"/><Relationship Id="rId499" Type="http://schemas.openxmlformats.org/officeDocument/2006/relationships/hyperlink" Target="http://www.wikidata.org/entity/Q1268453" TargetMode="External"/><Relationship Id="rId498" Type="http://schemas.openxmlformats.org/officeDocument/2006/relationships/hyperlink" Target="http://www.wikidata.org/entity/Q15461013" TargetMode="External"/><Relationship Id="rId497" Type="http://schemas.openxmlformats.org/officeDocument/2006/relationships/hyperlink" Target="http://www.wikidata.org/prop/direct/P108" TargetMode="External"/><Relationship Id="rId496" Type="http://schemas.openxmlformats.org/officeDocument/2006/relationships/hyperlink" Target="http://www.wikidata.org/entity/Q2663876" TargetMode="External"/><Relationship Id="rId1213" Type="http://schemas.openxmlformats.org/officeDocument/2006/relationships/hyperlink" Target="http://www.wikidata.org/entity/Q644789" TargetMode="External"/><Relationship Id="rId2544" Type="http://schemas.openxmlformats.org/officeDocument/2006/relationships/hyperlink" Target="http://www.wikidata.org/entity/Q122971559" TargetMode="External"/><Relationship Id="rId1214" Type="http://schemas.openxmlformats.org/officeDocument/2006/relationships/hyperlink" Target="http://www.wikidata.org/prop/direct/P69" TargetMode="External"/><Relationship Id="rId2545" Type="http://schemas.openxmlformats.org/officeDocument/2006/relationships/hyperlink" Target="http://www.wikidata.org/entity/Q52380301" TargetMode="External"/><Relationship Id="rId1215" Type="http://schemas.openxmlformats.org/officeDocument/2006/relationships/hyperlink" Target="http://www.wikidata.org/entity/Q970833" TargetMode="External"/><Relationship Id="rId2546" Type="http://schemas.openxmlformats.org/officeDocument/2006/relationships/hyperlink" Target="http://www.wikidata.org/prop/direct/P108" TargetMode="External"/><Relationship Id="rId1216" Type="http://schemas.openxmlformats.org/officeDocument/2006/relationships/hyperlink" Target="http://www.wikidata.org/entity/Q42197335" TargetMode="External"/><Relationship Id="rId2547" Type="http://schemas.openxmlformats.org/officeDocument/2006/relationships/hyperlink" Target="http://www.wikidata.org/entity/Q119699762" TargetMode="External"/><Relationship Id="rId1217" Type="http://schemas.openxmlformats.org/officeDocument/2006/relationships/hyperlink" Target="http://www.wikidata.org/prop/direct/P463" TargetMode="External"/><Relationship Id="rId2548" Type="http://schemas.openxmlformats.org/officeDocument/2006/relationships/hyperlink" Target="http://www.wikidata.org/entity/Q644789" TargetMode="External"/><Relationship Id="rId1218" Type="http://schemas.openxmlformats.org/officeDocument/2006/relationships/hyperlink" Target="http://www.wikidata.org/entity/Q64302" TargetMode="External"/><Relationship Id="rId2549" Type="http://schemas.openxmlformats.org/officeDocument/2006/relationships/hyperlink" Target="http://www.wikidata.org/prop/direct/P69" TargetMode="External"/><Relationship Id="rId1219" Type="http://schemas.openxmlformats.org/officeDocument/2006/relationships/hyperlink" Target="http://www.wikidata.org/entity/Q154804" TargetMode="External"/><Relationship Id="rId2540" Type="http://schemas.openxmlformats.org/officeDocument/2006/relationships/hyperlink" Target="http://www.wikidata.org/prop/direct/P69" TargetMode="External"/><Relationship Id="rId1210" Type="http://schemas.openxmlformats.org/officeDocument/2006/relationships/hyperlink" Target="http://www.wikidata.org/entity/Q42197335" TargetMode="External"/><Relationship Id="rId2541" Type="http://schemas.openxmlformats.org/officeDocument/2006/relationships/hyperlink" Target="http://www.wikidata.org/entity/Q2672741" TargetMode="External"/><Relationship Id="rId1211" Type="http://schemas.openxmlformats.org/officeDocument/2006/relationships/hyperlink" Target="http://www.wikidata.org/prop/direct/P463" TargetMode="External"/><Relationship Id="rId2542" Type="http://schemas.openxmlformats.org/officeDocument/2006/relationships/hyperlink" Target="http://www.wikidata.org/entity/Q30692913" TargetMode="External"/><Relationship Id="rId1212" Type="http://schemas.openxmlformats.org/officeDocument/2006/relationships/hyperlink" Target="http://www.wikidata.org/entity/Q721772" TargetMode="External"/><Relationship Id="rId2543" Type="http://schemas.openxmlformats.org/officeDocument/2006/relationships/hyperlink" Target="http://www.wikidata.org/prop/direct/P463" TargetMode="External"/><Relationship Id="rId1202" Type="http://schemas.openxmlformats.org/officeDocument/2006/relationships/hyperlink" Target="http://www.wikidata.org/prop/direct/P69" TargetMode="External"/><Relationship Id="rId2533" Type="http://schemas.openxmlformats.org/officeDocument/2006/relationships/hyperlink" Target="http://www.wikidata.org/entity/Q1268453" TargetMode="External"/><Relationship Id="rId1203" Type="http://schemas.openxmlformats.org/officeDocument/2006/relationships/hyperlink" Target="http://www.wikidata.org/entity/Q45029767" TargetMode="External"/><Relationship Id="rId2534" Type="http://schemas.openxmlformats.org/officeDocument/2006/relationships/hyperlink" Target="http://www.wikidata.org/prop/direct/P463" TargetMode="External"/><Relationship Id="rId1204" Type="http://schemas.openxmlformats.org/officeDocument/2006/relationships/hyperlink" Target="http://www.wikidata.org/entity/Q1268453" TargetMode="External"/><Relationship Id="rId2535" Type="http://schemas.openxmlformats.org/officeDocument/2006/relationships/hyperlink" Target="http://www.wikidata.org/entity/Q2606766" TargetMode="External"/><Relationship Id="rId1205" Type="http://schemas.openxmlformats.org/officeDocument/2006/relationships/hyperlink" Target="http://www.wikidata.org/prop/direct/P463" TargetMode="External"/><Relationship Id="rId2536" Type="http://schemas.openxmlformats.org/officeDocument/2006/relationships/hyperlink" Target="http://www.wikidata.org/entity/Q2267896" TargetMode="External"/><Relationship Id="rId1206" Type="http://schemas.openxmlformats.org/officeDocument/2006/relationships/hyperlink" Target="http://www.wikidata.org/entity/Q6242432" TargetMode="External"/><Relationship Id="rId2537" Type="http://schemas.openxmlformats.org/officeDocument/2006/relationships/hyperlink" Target="http://www.wikidata.org/prop/direct/P463" TargetMode="External"/><Relationship Id="rId1207" Type="http://schemas.openxmlformats.org/officeDocument/2006/relationships/hyperlink" Target="http://www.wikidata.org/entity/Q1268453" TargetMode="External"/><Relationship Id="rId2538" Type="http://schemas.openxmlformats.org/officeDocument/2006/relationships/hyperlink" Target="http://www.wikidata.org/entity/Q2672741" TargetMode="External"/><Relationship Id="rId1208" Type="http://schemas.openxmlformats.org/officeDocument/2006/relationships/hyperlink" Target="http://www.wikidata.org/prop/direct/P463" TargetMode="External"/><Relationship Id="rId2539" Type="http://schemas.openxmlformats.org/officeDocument/2006/relationships/hyperlink" Target="http://www.wikidata.org/entity/Q644789" TargetMode="External"/><Relationship Id="rId1209" Type="http://schemas.openxmlformats.org/officeDocument/2006/relationships/hyperlink" Target="http://www.wikidata.org/entity/Q784390" TargetMode="External"/><Relationship Id="rId2530" Type="http://schemas.openxmlformats.org/officeDocument/2006/relationships/hyperlink" Target="http://www.wikidata.org/entity/Q2185331" TargetMode="External"/><Relationship Id="rId1200" Type="http://schemas.openxmlformats.org/officeDocument/2006/relationships/hyperlink" Target="http://www.wikidata.org/entity/Q719358" TargetMode="External"/><Relationship Id="rId2531" Type="http://schemas.openxmlformats.org/officeDocument/2006/relationships/hyperlink" Target="http://www.wikidata.org/prop/direct/P108" TargetMode="External"/><Relationship Id="rId1201" Type="http://schemas.openxmlformats.org/officeDocument/2006/relationships/hyperlink" Target="http://www.wikidata.org/entity/Q2499618" TargetMode="External"/><Relationship Id="rId2532" Type="http://schemas.openxmlformats.org/officeDocument/2006/relationships/hyperlink" Target="http://www.wikidata.org/entity/Q23895006" TargetMode="External"/><Relationship Id="rId1235" Type="http://schemas.openxmlformats.org/officeDocument/2006/relationships/hyperlink" Target="http://www.wikidata.org/prop/direct/P69" TargetMode="External"/><Relationship Id="rId2566" Type="http://schemas.openxmlformats.org/officeDocument/2006/relationships/hyperlink" Target="http://www.wikidata.org/entity/Q2267896" TargetMode="External"/><Relationship Id="rId1236" Type="http://schemas.openxmlformats.org/officeDocument/2006/relationships/hyperlink" Target="http://www.wikidata.org/entity/Q43140929" TargetMode="External"/><Relationship Id="rId2567" Type="http://schemas.openxmlformats.org/officeDocument/2006/relationships/hyperlink" Target="http://www.wikidata.org/prop/direct/P463" TargetMode="External"/><Relationship Id="rId1237" Type="http://schemas.openxmlformats.org/officeDocument/2006/relationships/hyperlink" Target="http://www.wikidata.org/entity/Q644789" TargetMode="External"/><Relationship Id="rId2568" Type="http://schemas.openxmlformats.org/officeDocument/2006/relationships/hyperlink" Target="http://www.wikidata.org/entity/Q120999304" TargetMode="External"/><Relationship Id="rId1238" Type="http://schemas.openxmlformats.org/officeDocument/2006/relationships/hyperlink" Target="http://www.wikidata.org/prop/direct/P69" TargetMode="External"/><Relationship Id="rId2569" Type="http://schemas.openxmlformats.org/officeDocument/2006/relationships/hyperlink" Target="http://www.wikidata.org/entity/Q120999387" TargetMode="External"/><Relationship Id="rId1239" Type="http://schemas.openxmlformats.org/officeDocument/2006/relationships/hyperlink" Target="http://www.wikidata.org/entity/Q6242432" TargetMode="External"/><Relationship Id="rId409" Type="http://schemas.openxmlformats.org/officeDocument/2006/relationships/hyperlink" Target="http://www.wikidata.org/entity/Q25399406" TargetMode="External"/><Relationship Id="rId404" Type="http://schemas.openxmlformats.org/officeDocument/2006/relationships/hyperlink" Target="http://www.wikidata.org/prop/direct/P69" TargetMode="External"/><Relationship Id="rId403" Type="http://schemas.openxmlformats.org/officeDocument/2006/relationships/hyperlink" Target="http://www.wikidata.org/entity/Q644789" TargetMode="External"/><Relationship Id="rId402" Type="http://schemas.openxmlformats.org/officeDocument/2006/relationships/hyperlink" Target="http://www.wikidata.org/entity/Q2542423" TargetMode="External"/><Relationship Id="rId401" Type="http://schemas.openxmlformats.org/officeDocument/2006/relationships/hyperlink" Target="http://www.wikidata.org/prop/direct/P69" TargetMode="External"/><Relationship Id="rId408" Type="http://schemas.openxmlformats.org/officeDocument/2006/relationships/hyperlink" Target="http://www.wikidata.org/entity/Q120721942" TargetMode="External"/><Relationship Id="rId407" Type="http://schemas.openxmlformats.org/officeDocument/2006/relationships/hyperlink" Target="http://www.wikidata.org/prop/direct/P463" TargetMode="External"/><Relationship Id="rId406" Type="http://schemas.openxmlformats.org/officeDocument/2006/relationships/hyperlink" Target="http://www.wikidata.org/entity/Q83172" TargetMode="External"/><Relationship Id="rId405" Type="http://schemas.openxmlformats.org/officeDocument/2006/relationships/hyperlink" Target="http://www.wikidata.org/entity/Q571426" TargetMode="External"/><Relationship Id="rId2560" Type="http://schemas.openxmlformats.org/officeDocument/2006/relationships/hyperlink" Target="http://www.wikidata.org/entity/Q1137665" TargetMode="External"/><Relationship Id="rId1230" Type="http://schemas.openxmlformats.org/officeDocument/2006/relationships/hyperlink" Target="http://www.wikidata.org/entity/Q764378" TargetMode="External"/><Relationship Id="rId2561" Type="http://schemas.openxmlformats.org/officeDocument/2006/relationships/hyperlink" Target="http://www.wikidata.org/prop/direct/P69" TargetMode="External"/><Relationship Id="rId400" Type="http://schemas.openxmlformats.org/officeDocument/2006/relationships/hyperlink" Target="http://www.wikidata.org/entity/Q1867263" TargetMode="External"/><Relationship Id="rId1231" Type="http://schemas.openxmlformats.org/officeDocument/2006/relationships/hyperlink" Target="http://www.wikidata.org/entity/Q20754971" TargetMode="External"/><Relationship Id="rId2562" Type="http://schemas.openxmlformats.org/officeDocument/2006/relationships/hyperlink" Target="http://www.wikidata.org/entity/Q2546317" TargetMode="External"/><Relationship Id="rId1232" Type="http://schemas.openxmlformats.org/officeDocument/2006/relationships/hyperlink" Target="http://www.wikidata.org/prop/direct/P69" TargetMode="External"/><Relationship Id="rId2563" Type="http://schemas.openxmlformats.org/officeDocument/2006/relationships/hyperlink" Target="http://www.wikidata.org/entity/Q1268453" TargetMode="External"/><Relationship Id="rId1233" Type="http://schemas.openxmlformats.org/officeDocument/2006/relationships/hyperlink" Target="http://www.wikidata.org/entity/Q45029767" TargetMode="External"/><Relationship Id="rId2564" Type="http://schemas.openxmlformats.org/officeDocument/2006/relationships/hyperlink" Target="http://www.wikidata.org/prop/direct/P463" TargetMode="External"/><Relationship Id="rId1234" Type="http://schemas.openxmlformats.org/officeDocument/2006/relationships/hyperlink" Target="http://www.wikidata.org/entity/Q644789" TargetMode="External"/><Relationship Id="rId2565" Type="http://schemas.openxmlformats.org/officeDocument/2006/relationships/hyperlink" Target="http://www.wikidata.org/entity/Q2672741" TargetMode="External"/><Relationship Id="rId1224" Type="http://schemas.openxmlformats.org/officeDocument/2006/relationships/hyperlink" Target="http://www.wikidata.org/entity/Q970833" TargetMode="External"/><Relationship Id="rId2555" Type="http://schemas.openxmlformats.org/officeDocument/2006/relationships/hyperlink" Target="http://www.wikidata.org/prop/direct/P69" TargetMode="External"/><Relationship Id="rId1225" Type="http://schemas.openxmlformats.org/officeDocument/2006/relationships/hyperlink" Target="http://www.wikidata.org/entity/Q2985460" TargetMode="External"/><Relationship Id="rId2556" Type="http://schemas.openxmlformats.org/officeDocument/2006/relationships/hyperlink" Target="http://www.wikidata.org/entity/Q23895006" TargetMode="External"/><Relationship Id="rId1226" Type="http://schemas.openxmlformats.org/officeDocument/2006/relationships/hyperlink" Target="http://www.wikidata.org/prop/direct/P463" TargetMode="External"/><Relationship Id="rId2557" Type="http://schemas.openxmlformats.org/officeDocument/2006/relationships/hyperlink" Target="http://www.wikidata.org/entity/Q1180348" TargetMode="External"/><Relationship Id="rId1227" Type="http://schemas.openxmlformats.org/officeDocument/2006/relationships/hyperlink" Target="http://www.wikidata.org/entity/Q719358" TargetMode="External"/><Relationship Id="rId2558" Type="http://schemas.openxmlformats.org/officeDocument/2006/relationships/hyperlink" Target="http://www.wikidata.org/prop/direct/P108" TargetMode="External"/><Relationship Id="rId1228" Type="http://schemas.openxmlformats.org/officeDocument/2006/relationships/hyperlink" Target="http://www.wikidata.org/entity/Q654185" TargetMode="External"/><Relationship Id="rId2559" Type="http://schemas.openxmlformats.org/officeDocument/2006/relationships/hyperlink" Target="http://www.wikidata.org/entity/Q2546317" TargetMode="External"/><Relationship Id="rId1229" Type="http://schemas.openxmlformats.org/officeDocument/2006/relationships/hyperlink" Target="http://www.wikidata.org/prop/direct/P463" TargetMode="External"/><Relationship Id="rId2550" Type="http://schemas.openxmlformats.org/officeDocument/2006/relationships/hyperlink" Target="http://www.wikidata.org/entity/Q2546317" TargetMode="External"/><Relationship Id="rId1220" Type="http://schemas.openxmlformats.org/officeDocument/2006/relationships/hyperlink" Target="http://www.wikidata.org/prop/direct/P69" TargetMode="External"/><Relationship Id="rId2551" Type="http://schemas.openxmlformats.org/officeDocument/2006/relationships/hyperlink" Target="http://www.wikidata.org/entity/Q42197335" TargetMode="External"/><Relationship Id="rId1221" Type="http://schemas.openxmlformats.org/officeDocument/2006/relationships/hyperlink" Target="http://www.wikidata.org/entity/Q55911879" TargetMode="External"/><Relationship Id="rId2552" Type="http://schemas.openxmlformats.org/officeDocument/2006/relationships/hyperlink" Target="http://www.wikidata.org/prop/direct/P463" TargetMode="External"/><Relationship Id="rId1222" Type="http://schemas.openxmlformats.org/officeDocument/2006/relationships/hyperlink" Target="http://www.wikidata.org/entity/Q1268453" TargetMode="External"/><Relationship Id="rId2553" Type="http://schemas.openxmlformats.org/officeDocument/2006/relationships/hyperlink" Target="http://www.wikidata.org/entity/Q2546317" TargetMode="External"/><Relationship Id="rId1223" Type="http://schemas.openxmlformats.org/officeDocument/2006/relationships/hyperlink" Target="http://www.wikidata.org/prop/direct/P463" TargetMode="External"/><Relationship Id="rId2554" Type="http://schemas.openxmlformats.org/officeDocument/2006/relationships/hyperlink" Target="http://www.wikidata.org/entity/Q1867263" TargetMode="External"/><Relationship Id="rId2500" Type="http://schemas.openxmlformats.org/officeDocument/2006/relationships/hyperlink" Target="http://www.wikidata.org/entity/Q33100553" TargetMode="External"/><Relationship Id="rId2501" Type="http://schemas.openxmlformats.org/officeDocument/2006/relationships/hyperlink" Target="http://www.wikidata.org/prop/direct/P108" TargetMode="External"/><Relationship Id="rId2502" Type="http://schemas.openxmlformats.org/officeDocument/2006/relationships/hyperlink" Target="http://www.wikidata.org/entity/Q2672741" TargetMode="External"/><Relationship Id="rId2503" Type="http://schemas.openxmlformats.org/officeDocument/2006/relationships/hyperlink" Target="http://www.wikidata.org/entity/Q14906150" TargetMode="External"/><Relationship Id="rId2504" Type="http://schemas.openxmlformats.org/officeDocument/2006/relationships/hyperlink" Target="http://www.wikidata.org/prop/direct/P463" TargetMode="External"/><Relationship Id="rId2505" Type="http://schemas.openxmlformats.org/officeDocument/2006/relationships/hyperlink" Target="http://www.wikidata.org/entity/Q119699762" TargetMode="External"/><Relationship Id="rId2506" Type="http://schemas.openxmlformats.org/officeDocument/2006/relationships/hyperlink" Target="http://www.wikidata.org/entity/Q1867263" TargetMode="External"/><Relationship Id="rId2507" Type="http://schemas.openxmlformats.org/officeDocument/2006/relationships/hyperlink" Target="http://www.wikidata.org/prop/direct/P69" TargetMode="External"/><Relationship Id="rId2508" Type="http://schemas.openxmlformats.org/officeDocument/2006/relationships/hyperlink" Target="http://www.wikidata.org/entity/Q2672741" TargetMode="External"/><Relationship Id="rId2509" Type="http://schemas.openxmlformats.org/officeDocument/2006/relationships/hyperlink" Target="http://www.wikidata.org/entity/Q1268453" TargetMode="External"/><Relationship Id="rId2522" Type="http://schemas.openxmlformats.org/officeDocument/2006/relationships/hyperlink" Target="http://www.wikidata.org/prop/direct/P463" TargetMode="External"/><Relationship Id="rId2523" Type="http://schemas.openxmlformats.org/officeDocument/2006/relationships/hyperlink" Target="http://www.wikidata.org/entity/Q120999304" TargetMode="External"/><Relationship Id="rId2524" Type="http://schemas.openxmlformats.org/officeDocument/2006/relationships/hyperlink" Target="http://www.wikidata.org/entity/Q52215696" TargetMode="External"/><Relationship Id="rId2525" Type="http://schemas.openxmlformats.org/officeDocument/2006/relationships/hyperlink" Target="http://www.wikidata.org/prop/direct/P69" TargetMode="External"/><Relationship Id="rId2526" Type="http://schemas.openxmlformats.org/officeDocument/2006/relationships/hyperlink" Target="http://www.wikidata.org/entity/Q120999304" TargetMode="External"/><Relationship Id="rId2527" Type="http://schemas.openxmlformats.org/officeDocument/2006/relationships/hyperlink" Target="http://www.wikidata.org/entity/Q52215696" TargetMode="External"/><Relationship Id="rId2528" Type="http://schemas.openxmlformats.org/officeDocument/2006/relationships/hyperlink" Target="http://www.wikidata.org/prop/direct/P108" TargetMode="External"/><Relationship Id="rId2529" Type="http://schemas.openxmlformats.org/officeDocument/2006/relationships/hyperlink" Target="http://www.wikidata.org/entity/Q122971559" TargetMode="External"/><Relationship Id="rId2520" Type="http://schemas.openxmlformats.org/officeDocument/2006/relationships/hyperlink" Target="http://www.wikidata.org/entity/Q2606766" TargetMode="External"/><Relationship Id="rId2521" Type="http://schemas.openxmlformats.org/officeDocument/2006/relationships/hyperlink" Target="http://www.wikidata.org/entity/Q21004456" TargetMode="External"/><Relationship Id="rId2511" Type="http://schemas.openxmlformats.org/officeDocument/2006/relationships/hyperlink" Target="http://www.wikidata.org/entity/Q125535110" TargetMode="External"/><Relationship Id="rId2512" Type="http://schemas.openxmlformats.org/officeDocument/2006/relationships/hyperlink" Target="http://www.wikidata.org/entity/Q34433" TargetMode="External"/><Relationship Id="rId2513" Type="http://schemas.openxmlformats.org/officeDocument/2006/relationships/hyperlink" Target="http://www.wikidata.org/prop/direct/P69" TargetMode="External"/><Relationship Id="rId2514" Type="http://schemas.openxmlformats.org/officeDocument/2006/relationships/hyperlink" Target="http://www.wikidata.org/entity/Q2424814" TargetMode="External"/><Relationship Id="rId2515" Type="http://schemas.openxmlformats.org/officeDocument/2006/relationships/hyperlink" Target="http://www.wikidata.org/entity/Q123556179" TargetMode="External"/><Relationship Id="rId2516" Type="http://schemas.openxmlformats.org/officeDocument/2006/relationships/hyperlink" Target="http://www.wikidata.org/prop/direct/P108" TargetMode="External"/><Relationship Id="rId2517" Type="http://schemas.openxmlformats.org/officeDocument/2006/relationships/hyperlink" Target="http://www.wikidata.org/entity/Q125535110" TargetMode="External"/><Relationship Id="rId2518" Type="http://schemas.openxmlformats.org/officeDocument/2006/relationships/hyperlink" Target="http://www.wikidata.org/entity/Q170027" TargetMode="External"/><Relationship Id="rId2519" Type="http://schemas.openxmlformats.org/officeDocument/2006/relationships/hyperlink" Target="http://www.wikidata.org/prop/direct/P69" TargetMode="External"/><Relationship Id="rId2510" Type="http://schemas.openxmlformats.org/officeDocument/2006/relationships/hyperlink" Target="http://www.wikidata.org/prop/direct/P463" TargetMode="External"/><Relationship Id="rId469" Type="http://schemas.openxmlformats.org/officeDocument/2006/relationships/hyperlink" Target="http://www.wikidata.org/entity/Q13744144" TargetMode="External"/><Relationship Id="rId468" Type="http://schemas.openxmlformats.org/officeDocument/2006/relationships/hyperlink" Target="http://www.wikidata.org/entity/Q115819139" TargetMode="External"/><Relationship Id="rId467" Type="http://schemas.openxmlformats.org/officeDocument/2006/relationships/hyperlink" Target="http://www.wikidata.org/prop/direct/P69" TargetMode="External"/><Relationship Id="rId1290" Type="http://schemas.openxmlformats.org/officeDocument/2006/relationships/hyperlink" Target="http://www.wikidata.org/entity/Q55232762" TargetMode="External"/><Relationship Id="rId1291" Type="http://schemas.openxmlformats.org/officeDocument/2006/relationships/hyperlink" Target="http://www.wikidata.org/entity/Q2237463" TargetMode="External"/><Relationship Id="rId1292" Type="http://schemas.openxmlformats.org/officeDocument/2006/relationships/hyperlink" Target="http://www.wikidata.org/prop/direct/P463" TargetMode="External"/><Relationship Id="rId462" Type="http://schemas.openxmlformats.org/officeDocument/2006/relationships/hyperlink" Target="http://www.wikidata.org/entity/Q672816" TargetMode="External"/><Relationship Id="rId1293" Type="http://schemas.openxmlformats.org/officeDocument/2006/relationships/hyperlink" Target="http://www.wikidata.org/entity/Q784390" TargetMode="External"/><Relationship Id="rId461" Type="http://schemas.openxmlformats.org/officeDocument/2006/relationships/hyperlink" Target="http://www.wikidata.org/prop/direct/P108" TargetMode="External"/><Relationship Id="rId1294" Type="http://schemas.openxmlformats.org/officeDocument/2006/relationships/hyperlink" Target="http://www.wikidata.org/entity/Q2690997" TargetMode="External"/><Relationship Id="rId460" Type="http://schemas.openxmlformats.org/officeDocument/2006/relationships/hyperlink" Target="http://www.wikidata.org/entity/Q15882061" TargetMode="External"/><Relationship Id="rId1295" Type="http://schemas.openxmlformats.org/officeDocument/2006/relationships/hyperlink" Target="http://www.wikidata.org/prop/direct/P463" TargetMode="External"/><Relationship Id="rId1296" Type="http://schemas.openxmlformats.org/officeDocument/2006/relationships/hyperlink" Target="http://www.wikidata.org/entity/Q719358" TargetMode="External"/><Relationship Id="rId466" Type="http://schemas.openxmlformats.org/officeDocument/2006/relationships/hyperlink" Target="http://www.wikidata.org/entity/Q924289" TargetMode="External"/><Relationship Id="rId1297" Type="http://schemas.openxmlformats.org/officeDocument/2006/relationships/hyperlink" Target="http://www.wikidata.org/entity/Q118524331" TargetMode="External"/><Relationship Id="rId465" Type="http://schemas.openxmlformats.org/officeDocument/2006/relationships/hyperlink" Target="http://www.wikidata.org/entity/Q15627098" TargetMode="External"/><Relationship Id="rId1298" Type="http://schemas.openxmlformats.org/officeDocument/2006/relationships/hyperlink" Target="http://www.wikidata.org/prop/direct/P463" TargetMode="External"/><Relationship Id="rId464" Type="http://schemas.openxmlformats.org/officeDocument/2006/relationships/hyperlink" Target="http://www.wikidata.org/prop/direct/P69" TargetMode="External"/><Relationship Id="rId1299" Type="http://schemas.openxmlformats.org/officeDocument/2006/relationships/hyperlink" Target="http://www.wikidata.org/entity/Q970036" TargetMode="External"/><Relationship Id="rId463" Type="http://schemas.openxmlformats.org/officeDocument/2006/relationships/hyperlink" Target="http://www.wikidata.org/entity/Q3552548" TargetMode="External"/><Relationship Id="rId459" Type="http://schemas.openxmlformats.org/officeDocument/2006/relationships/hyperlink" Target="http://www.wikidata.org/entity/Q115979952" TargetMode="External"/><Relationship Id="rId458" Type="http://schemas.openxmlformats.org/officeDocument/2006/relationships/hyperlink" Target="http://www.wikidata.org/prop/direct/P69" TargetMode="External"/><Relationship Id="rId457" Type="http://schemas.openxmlformats.org/officeDocument/2006/relationships/hyperlink" Target="http://www.wikidata.org/entity/Q644789" TargetMode="External"/><Relationship Id="rId456" Type="http://schemas.openxmlformats.org/officeDocument/2006/relationships/hyperlink" Target="http://www.wikidata.org/entity/Q1877721" TargetMode="External"/><Relationship Id="rId1280" Type="http://schemas.openxmlformats.org/officeDocument/2006/relationships/hyperlink" Target="http://www.wikidata.org/prop/direct/P69" TargetMode="External"/><Relationship Id="rId1281" Type="http://schemas.openxmlformats.org/officeDocument/2006/relationships/hyperlink" Target="http://www.wikidata.org/entity/Q45029767" TargetMode="External"/><Relationship Id="rId451" Type="http://schemas.openxmlformats.org/officeDocument/2006/relationships/hyperlink" Target="http://www.wikidata.org/entity/Q115825807" TargetMode="External"/><Relationship Id="rId1282" Type="http://schemas.openxmlformats.org/officeDocument/2006/relationships/hyperlink" Target="http://www.wikidata.org/entity/Q4325830" TargetMode="External"/><Relationship Id="rId450" Type="http://schemas.openxmlformats.org/officeDocument/2006/relationships/hyperlink" Target="http://www.wikidata.org/entity/Q22002048" TargetMode="External"/><Relationship Id="rId1283" Type="http://schemas.openxmlformats.org/officeDocument/2006/relationships/hyperlink" Target="http://www.wikidata.org/prop/direct/P69" TargetMode="External"/><Relationship Id="rId1284" Type="http://schemas.openxmlformats.org/officeDocument/2006/relationships/hyperlink" Target="http://www.wikidata.org/entity/Q56036025" TargetMode="External"/><Relationship Id="rId1285" Type="http://schemas.openxmlformats.org/officeDocument/2006/relationships/hyperlink" Target="http://www.wikidata.org/entity/Q2237463" TargetMode="External"/><Relationship Id="rId455" Type="http://schemas.openxmlformats.org/officeDocument/2006/relationships/hyperlink" Target="http://www.wikidata.org/prop/direct/P108" TargetMode="External"/><Relationship Id="rId1286" Type="http://schemas.openxmlformats.org/officeDocument/2006/relationships/hyperlink" Target="http://www.wikidata.org/prop/direct/P463" TargetMode="External"/><Relationship Id="rId454" Type="http://schemas.openxmlformats.org/officeDocument/2006/relationships/hyperlink" Target="http://www.wikidata.org/entity/Q2018402" TargetMode="External"/><Relationship Id="rId1287" Type="http://schemas.openxmlformats.org/officeDocument/2006/relationships/hyperlink" Target="http://www.wikidata.org/entity/Q970833" TargetMode="External"/><Relationship Id="rId453" Type="http://schemas.openxmlformats.org/officeDocument/2006/relationships/hyperlink" Target="http://www.wikidata.org/entity/Q113681935" TargetMode="External"/><Relationship Id="rId1288" Type="http://schemas.openxmlformats.org/officeDocument/2006/relationships/hyperlink" Target="http://www.wikidata.org/entity/Q644789" TargetMode="External"/><Relationship Id="rId452" Type="http://schemas.openxmlformats.org/officeDocument/2006/relationships/hyperlink" Target="http://www.wikidata.org/prop/direct/P108" TargetMode="External"/><Relationship Id="rId1289" Type="http://schemas.openxmlformats.org/officeDocument/2006/relationships/hyperlink" Target="http://www.wikidata.org/prop/direct/P69" TargetMode="External"/><Relationship Id="rId491" Type="http://schemas.openxmlformats.org/officeDocument/2006/relationships/hyperlink" Target="http://www.wikidata.org/prop/direct/P463" TargetMode="External"/><Relationship Id="rId490" Type="http://schemas.openxmlformats.org/officeDocument/2006/relationships/hyperlink" Target="http://www.wikidata.org/entity/Q1268453" TargetMode="External"/><Relationship Id="rId489" Type="http://schemas.openxmlformats.org/officeDocument/2006/relationships/hyperlink" Target="http://www.wikidata.org/entity/Q2298746" TargetMode="External"/><Relationship Id="rId484" Type="http://schemas.openxmlformats.org/officeDocument/2006/relationships/hyperlink" Target="http://www.wikidata.org/entity/Q1867263" TargetMode="External"/><Relationship Id="rId483" Type="http://schemas.openxmlformats.org/officeDocument/2006/relationships/hyperlink" Target="http://www.wikidata.org/entity/Q110039159" TargetMode="External"/><Relationship Id="rId482" Type="http://schemas.openxmlformats.org/officeDocument/2006/relationships/hyperlink" Target="http://www.wikidata.org/prop/direct/P69" TargetMode="External"/><Relationship Id="rId481" Type="http://schemas.openxmlformats.org/officeDocument/2006/relationships/hyperlink" Target="http://www.wikidata.org/entity/Q81170" TargetMode="External"/><Relationship Id="rId488" Type="http://schemas.openxmlformats.org/officeDocument/2006/relationships/hyperlink" Target="http://www.wikidata.org/prop/direct/P463" TargetMode="External"/><Relationship Id="rId487" Type="http://schemas.openxmlformats.org/officeDocument/2006/relationships/hyperlink" Target="http://www.wikidata.org/entity/Q654185" TargetMode="External"/><Relationship Id="rId486" Type="http://schemas.openxmlformats.org/officeDocument/2006/relationships/hyperlink" Target="http://www.wikidata.org/entity/Q1334711" TargetMode="External"/><Relationship Id="rId485" Type="http://schemas.openxmlformats.org/officeDocument/2006/relationships/hyperlink" Target="http://www.wikidata.org/prop/direct/P69" TargetMode="External"/><Relationship Id="rId480" Type="http://schemas.openxmlformats.org/officeDocument/2006/relationships/hyperlink" Target="http://www.wikidata.org/entity/Q15627098" TargetMode="External"/><Relationship Id="rId479" Type="http://schemas.openxmlformats.org/officeDocument/2006/relationships/hyperlink" Target="http://www.wikidata.org/prop/direct/P463" TargetMode="External"/><Relationship Id="rId478" Type="http://schemas.openxmlformats.org/officeDocument/2006/relationships/hyperlink" Target="http://www.wikidata.org/entity/Q115762138" TargetMode="External"/><Relationship Id="rId473" Type="http://schemas.openxmlformats.org/officeDocument/2006/relationships/hyperlink" Target="http://www.wikidata.org/prop/direct/P463" TargetMode="External"/><Relationship Id="rId472" Type="http://schemas.openxmlformats.org/officeDocument/2006/relationships/hyperlink" Target="http://www.wikidata.org/entity/Q2267896" TargetMode="External"/><Relationship Id="rId471" Type="http://schemas.openxmlformats.org/officeDocument/2006/relationships/hyperlink" Target="http://www.wikidata.org/entity/Q55672664" TargetMode="External"/><Relationship Id="rId470" Type="http://schemas.openxmlformats.org/officeDocument/2006/relationships/hyperlink" Target="http://www.wikidata.org/prop/direct/P108" TargetMode="External"/><Relationship Id="rId477" Type="http://schemas.openxmlformats.org/officeDocument/2006/relationships/hyperlink" Target="http://www.wikidata.org/entity/Q55672664" TargetMode="External"/><Relationship Id="rId476" Type="http://schemas.openxmlformats.org/officeDocument/2006/relationships/hyperlink" Target="http://www.wikidata.org/prop/direct/P69" TargetMode="External"/><Relationship Id="rId475" Type="http://schemas.openxmlformats.org/officeDocument/2006/relationships/hyperlink" Target="http://www.wikidata.org/entity/Q49425918" TargetMode="External"/><Relationship Id="rId474" Type="http://schemas.openxmlformats.org/officeDocument/2006/relationships/hyperlink" Target="http://www.wikidata.org/entity/Q2298746" TargetMode="External"/><Relationship Id="rId1257" Type="http://schemas.openxmlformats.org/officeDocument/2006/relationships/hyperlink" Target="http://www.wikidata.org/entity/Q970833" TargetMode="External"/><Relationship Id="rId2588" Type="http://schemas.openxmlformats.org/officeDocument/2006/relationships/hyperlink" Target="http://www.wikidata.org/prop/direct/P69" TargetMode="External"/><Relationship Id="rId1258" Type="http://schemas.openxmlformats.org/officeDocument/2006/relationships/hyperlink" Target="http://www.wikidata.org/entity/Q1268453" TargetMode="External"/><Relationship Id="rId2589" Type="http://schemas.openxmlformats.org/officeDocument/2006/relationships/hyperlink" Target="http://www.wikidata.org/entity/Q115834468" TargetMode="External"/><Relationship Id="rId1259" Type="http://schemas.openxmlformats.org/officeDocument/2006/relationships/hyperlink" Target="http://www.wikidata.org/prop/direct/P463" TargetMode="External"/><Relationship Id="rId426" Type="http://schemas.openxmlformats.org/officeDocument/2006/relationships/hyperlink" Target="http://www.wikidata.org/entity/Q113681935" TargetMode="External"/><Relationship Id="rId425" Type="http://schemas.openxmlformats.org/officeDocument/2006/relationships/hyperlink" Target="http://www.wikidata.org/prop/direct/P108" TargetMode="External"/><Relationship Id="rId424" Type="http://schemas.openxmlformats.org/officeDocument/2006/relationships/hyperlink" Target="http://www.wikidata.org/entity/Q113988659" TargetMode="External"/><Relationship Id="rId423" Type="http://schemas.openxmlformats.org/officeDocument/2006/relationships/hyperlink" Target="http://www.wikidata.org/entity/Q115979952" TargetMode="External"/><Relationship Id="rId429" Type="http://schemas.openxmlformats.org/officeDocument/2006/relationships/hyperlink" Target="http://www.wikidata.org/entity/Q672816" TargetMode="External"/><Relationship Id="rId428" Type="http://schemas.openxmlformats.org/officeDocument/2006/relationships/hyperlink" Target="http://www.wikidata.org/prop/direct/P108" TargetMode="External"/><Relationship Id="rId427" Type="http://schemas.openxmlformats.org/officeDocument/2006/relationships/hyperlink" Target="http://www.wikidata.org/entity/Q2663876" TargetMode="External"/><Relationship Id="rId2580" Type="http://schemas.openxmlformats.org/officeDocument/2006/relationships/hyperlink" Target="http://www.wikidata.org/entity/Q125535110" TargetMode="External"/><Relationship Id="rId1250" Type="http://schemas.openxmlformats.org/officeDocument/2006/relationships/hyperlink" Target="http://www.wikidata.org/prop/direct/P69" TargetMode="External"/><Relationship Id="rId2581" Type="http://schemas.openxmlformats.org/officeDocument/2006/relationships/hyperlink" Target="http://www.wikidata.org/entity/Q1867263" TargetMode="External"/><Relationship Id="rId1251" Type="http://schemas.openxmlformats.org/officeDocument/2006/relationships/hyperlink" Target="http://www.wikidata.org/entity/Q55911879" TargetMode="External"/><Relationship Id="rId2582" Type="http://schemas.openxmlformats.org/officeDocument/2006/relationships/hyperlink" Target="http://www.wikidata.org/prop/direct/P69" TargetMode="External"/><Relationship Id="rId1252" Type="http://schemas.openxmlformats.org/officeDocument/2006/relationships/hyperlink" Target="http://www.wikidata.org/entity/Q3937018" TargetMode="External"/><Relationship Id="rId2583" Type="http://schemas.openxmlformats.org/officeDocument/2006/relationships/hyperlink" Target="http://www.wikidata.org/entity/Q2424814" TargetMode="External"/><Relationship Id="rId422" Type="http://schemas.openxmlformats.org/officeDocument/2006/relationships/hyperlink" Target="http://www.wikidata.org/prop/direct/P463" TargetMode="External"/><Relationship Id="rId1253" Type="http://schemas.openxmlformats.org/officeDocument/2006/relationships/hyperlink" Target="http://www.wikidata.org/prop/direct/P108" TargetMode="External"/><Relationship Id="rId2584" Type="http://schemas.openxmlformats.org/officeDocument/2006/relationships/hyperlink" Target="http://www.wikidata.org/entity/Q125965599" TargetMode="External"/><Relationship Id="rId421" Type="http://schemas.openxmlformats.org/officeDocument/2006/relationships/hyperlink" Target="http://www.wikidata.org/entity/Q20894451" TargetMode="External"/><Relationship Id="rId1254" Type="http://schemas.openxmlformats.org/officeDocument/2006/relationships/hyperlink" Target="http://www.wikidata.org/entity/Q45029767" TargetMode="External"/><Relationship Id="rId2585" Type="http://schemas.openxmlformats.org/officeDocument/2006/relationships/hyperlink" Target="http://www.wikidata.org/prop/direct/P108" TargetMode="External"/><Relationship Id="rId420" Type="http://schemas.openxmlformats.org/officeDocument/2006/relationships/hyperlink" Target="http://www.wikidata.org/entity/Q15461013" TargetMode="External"/><Relationship Id="rId1255" Type="http://schemas.openxmlformats.org/officeDocument/2006/relationships/hyperlink" Target="http://www.wikidata.org/entity/Q2690997" TargetMode="External"/><Relationship Id="rId2586" Type="http://schemas.openxmlformats.org/officeDocument/2006/relationships/hyperlink" Target="http://www.wikidata.org/entity/Q120729190" TargetMode="External"/><Relationship Id="rId1256" Type="http://schemas.openxmlformats.org/officeDocument/2006/relationships/hyperlink" Target="http://www.wikidata.org/prop/direct/P463" TargetMode="External"/><Relationship Id="rId2587" Type="http://schemas.openxmlformats.org/officeDocument/2006/relationships/hyperlink" Target="http://www.wikidata.org/entity/Q644789" TargetMode="External"/><Relationship Id="rId1246" Type="http://schemas.openxmlformats.org/officeDocument/2006/relationships/hyperlink" Target="http://www.wikidata.org/entity/Q1268453" TargetMode="External"/><Relationship Id="rId2577" Type="http://schemas.openxmlformats.org/officeDocument/2006/relationships/hyperlink" Target="http://www.wikidata.org/entity/Q2546317" TargetMode="External"/><Relationship Id="rId1247" Type="http://schemas.openxmlformats.org/officeDocument/2006/relationships/hyperlink" Target="http://www.wikidata.org/prop/direct/P463" TargetMode="External"/><Relationship Id="rId2578" Type="http://schemas.openxmlformats.org/officeDocument/2006/relationships/hyperlink" Target="http://www.wikidata.org/entity/Q644789" TargetMode="External"/><Relationship Id="rId1248" Type="http://schemas.openxmlformats.org/officeDocument/2006/relationships/hyperlink" Target="http://www.wikidata.org/entity/Q55911879" TargetMode="External"/><Relationship Id="rId2579" Type="http://schemas.openxmlformats.org/officeDocument/2006/relationships/hyperlink" Target="http://www.wikidata.org/prop/direct/P69" TargetMode="External"/><Relationship Id="rId1249" Type="http://schemas.openxmlformats.org/officeDocument/2006/relationships/hyperlink" Target="http://www.wikidata.org/entity/Q3937018" TargetMode="External"/><Relationship Id="rId415" Type="http://schemas.openxmlformats.org/officeDocument/2006/relationships/hyperlink" Target="http://www.wikidata.org/entity/Q118464734" TargetMode="External"/><Relationship Id="rId414" Type="http://schemas.openxmlformats.org/officeDocument/2006/relationships/hyperlink" Target="http://www.wikidata.org/entity/Q113627806" TargetMode="External"/><Relationship Id="rId413" Type="http://schemas.openxmlformats.org/officeDocument/2006/relationships/hyperlink" Target="http://www.wikidata.org/prop/direct/P69" TargetMode="External"/><Relationship Id="rId412" Type="http://schemas.openxmlformats.org/officeDocument/2006/relationships/hyperlink" Target="http://www.wikidata.org/entity/Q118369334" TargetMode="External"/><Relationship Id="rId419" Type="http://schemas.openxmlformats.org/officeDocument/2006/relationships/hyperlink" Target="http://www.wikidata.org/prop/direct/P108" TargetMode="External"/><Relationship Id="rId418" Type="http://schemas.openxmlformats.org/officeDocument/2006/relationships/hyperlink" Target="http://www.wikidata.org/entity/Q2753709" TargetMode="External"/><Relationship Id="rId417" Type="http://schemas.openxmlformats.org/officeDocument/2006/relationships/hyperlink" Target="http://www.wikidata.org/entity/Q15461013" TargetMode="External"/><Relationship Id="rId416" Type="http://schemas.openxmlformats.org/officeDocument/2006/relationships/hyperlink" Target="http://www.wikidata.org/prop/direct/P69" TargetMode="External"/><Relationship Id="rId2570" Type="http://schemas.openxmlformats.org/officeDocument/2006/relationships/hyperlink" Target="http://www.wikidata.org/prop/direct/P108" TargetMode="External"/><Relationship Id="rId1240" Type="http://schemas.openxmlformats.org/officeDocument/2006/relationships/hyperlink" Target="http://www.wikidata.org/entity/Q644789" TargetMode="External"/><Relationship Id="rId2571" Type="http://schemas.openxmlformats.org/officeDocument/2006/relationships/hyperlink" Target="http://www.wikidata.org/entity/Q120999304" TargetMode="External"/><Relationship Id="rId1241" Type="http://schemas.openxmlformats.org/officeDocument/2006/relationships/hyperlink" Target="http://www.wikidata.org/prop/direct/P69" TargetMode="External"/><Relationship Id="rId2572" Type="http://schemas.openxmlformats.org/officeDocument/2006/relationships/hyperlink" Target="http://www.wikidata.org/entity/Q120999938" TargetMode="External"/><Relationship Id="rId411" Type="http://schemas.openxmlformats.org/officeDocument/2006/relationships/hyperlink" Target="http://www.wikidata.org/entity/Q118612085" TargetMode="External"/><Relationship Id="rId1242" Type="http://schemas.openxmlformats.org/officeDocument/2006/relationships/hyperlink" Target="http://www.wikidata.org/entity/Q6242432" TargetMode="External"/><Relationship Id="rId2573" Type="http://schemas.openxmlformats.org/officeDocument/2006/relationships/hyperlink" Target="http://www.wikidata.org/prop/direct/P108" TargetMode="External"/><Relationship Id="rId410" Type="http://schemas.openxmlformats.org/officeDocument/2006/relationships/hyperlink" Target="http://www.wikidata.org/prop/direct/P108" TargetMode="External"/><Relationship Id="rId1243" Type="http://schemas.openxmlformats.org/officeDocument/2006/relationships/hyperlink" Target="http://www.wikidata.org/entity/Q644789" TargetMode="External"/><Relationship Id="rId2574" Type="http://schemas.openxmlformats.org/officeDocument/2006/relationships/hyperlink" Target="http://www.wikidata.org/entity/Q122971559" TargetMode="External"/><Relationship Id="rId1244" Type="http://schemas.openxmlformats.org/officeDocument/2006/relationships/hyperlink" Target="http://www.wikidata.org/prop/direct/P108" TargetMode="External"/><Relationship Id="rId2575" Type="http://schemas.openxmlformats.org/officeDocument/2006/relationships/hyperlink" Target="http://www.wikidata.org/entity/Q114232670" TargetMode="External"/><Relationship Id="rId1245" Type="http://schemas.openxmlformats.org/officeDocument/2006/relationships/hyperlink" Target="http://www.wikidata.org/entity/Q784390" TargetMode="External"/><Relationship Id="rId2576" Type="http://schemas.openxmlformats.org/officeDocument/2006/relationships/hyperlink" Target="http://www.wikidata.org/prop/direct/P108" TargetMode="External"/><Relationship Id="rId1279" Type="http://schemas.openxmlformats.org/officeDocument/2006/relationships/hyperlink" Target="http://www.wikidata.org/entity/Q2111331" TargetMode="External"/><Relationship Id="rId448" Type="http://schemas.openxmlformats.org/officeDocument/2006/relationships/hyperlink" Target="http://www.wikidata.org/entity/Q1268453" TargetMode="External"/><Relationship Id="rId447" Type="http://schemas.openxmlformats.org/officeDocument/2006/relationships/hyperlink" Target="http://www.wikidata.org/entity/Q1334711" TargetMode="External"/><Relationship Id="rId446" Type="http://schemas.openxmlformats.org/officeDocument/2006/relationships/hyperlink" Target="http://www.wikidata.org/prop/direct/P69" TargetMode="External"/><Relationship Id="rId445" Type="http://schemas.openxmlformats.org/officeDocument/2006/relationships/hyperlink" Target="http://www.wikidata.org/entity/Q7592665" TargetMode="External"/><Relationship Id="rId449" Type="http://schemas.openxmlformats.org/officeDocument/2006/relationships/hyperlink" Target="http://www.wikidata.org/prop/direct/P463" TargetMode="External"/><Relationship Id="rId1270" Type="http://schemas.openxmlformats.org/officeDocument/2006/relationships/hyperlink" Target="http://www.wikidata.org/entity/Q2663876" TargetMode="External"/><Relationship Id="rId440" Type="http://schemas.openxmlformats.org/officeDocument/2006/relationships/hyperlink" Target="http://www.wikidata.org/prop/direct/P69" TargetMode="External"/><Relationship Id="rId1271" Type="http://schemas.openxmlformats.org/officeDocument/2006/relationships/hyperlink" Target="http://www.wikidata.org/prop/direct/P108" TargetMode="External"/><Relationship Id="rId1272" Type="http://schemas.openxmlformats.org/officeDocument/2006/relationships/hyperlink" Target="http://www.wikidata.org/entity/Q55911879" TargetMode="External"/><Relationship Id="rId1273" Type="http://schemas.openxmlformats.org/officeDocument/2006/relationships/hyperlink" Target="http://www.wikidata.org/entity/Q2690997" TargetMode="External"/><Relationship Id="rId1274" Type="http://schemas.openxmlformats.org/officeDocument/2006/relationships/hyperlink" Target="http://www.wikidata.org/prop/direct/P463" TargetMode="External"/><Relationship Id="rId444" Type="http://schemas.openxmlformats.org/officeDocument/2006/relationships/hyperlink" Target="http://www.wikidata.org/entity/Q15627098" TargetMode="External"/><Relationship Id="rId1275" Type="http://schemas.openxmlformats.org/officeDocument/2006/relationships/hyperlink" Target="http://www.wikidata.org/entity/Q784390" TargetMode="External"/><Relationship Id="rId443" Type="http://schemas.openxmlformats.org/officeDocument/2006/relationships/hyperlink" Target="http://www.wikidata.org/prop/direct/P108" TargetMode="External"/><Relationship Id="rId1276" Type="http://schemas.openxmlformats.org/officeDocument/2006/relationships/hyperlink" Target="http://www.wikidata.org/entity/Q644789" TargetMode="External"/><Relationship Id="rId442" Type="http://schemas.openxmlformats.org/officeDocument/2006/relationships/hyperlink" Target="http://www.wikidata.org/entity/Q4648351" TargetMode="External"/><Relationship Id="rId1277" Type="http://schemas.openxmlformats.org/officeDocument/2006/relationships/hyperlink" Target="http://www.wikidata.org/prop/direct/P108" TargetMode="External"/><Relationship Id="rId441" Type="http://schemas.openxmlformats.org/officeDocument/2006/relationships/hyperlink" Target="http://www.wikidata.org/entity/Q22002048" TargetMode="External"/><Relationship Id="rId1278" Type="http://schemas.openxmlformats.org/officeDocument/2006/relationships/hyperlink" Target="http://www.wikidata.org/entity/Q55911879" TargetMode="External"/><Relationship Id="rId1268" Type="http://schemas.openxmlformats.org/officeDocument/2006/relationships/hyperlink" Target="http://www.wikidata.org/prop/direct/P463" TargetMode="External"/><Relationship Id="rId2599" Type="http://schemas.openxmlformats.org/officeDocument/2006/relationships/hyperlink" Target="http://www.wikidata.org/entity/Q3151805" TargetMode="External"/><Relationship Id="rId1269" Type="http://schemas.openxmlformats.org/officeDocument/2006/relationships/hyperlink" Target="http://www.wikidata.org/entity/Q55420570" TargetMode="External"/><Relationship Id="rId437" Type="http://schemas.openxmlformats.org/officeDocument/2006/relationships/hyperlink" Target="http://www.wikidata.org/prop/direct/P69" TargetMode="External"/><Relationship Id="rId436" Type="http://schemas.openxmlformats.org/officeDocument/2006/relationships/hyperlink" Target="http://www.wikidata.org/entity/Q118369334" TargetMode="External"/><Relationship Id="rId435" Type="http://schemas.openxmlformats.org/officeDocument/2006/relationships/hyperlink" Target="http://www.wikidata.org/entity/Q110039159" TargetMode="External"/><Relationship Id="rId434" Type="http://schemas.openxmlformats.org/officeDocument/2006/relationships/hyperlink" Target="http://www.wikidata.org/prop/direct/P108" TargetMode="External"/><Relationship Id="rId439" Type="http://schemas.openxmlformats.org/officeDocument/2006/relationships/hyperlink" Target="http://www.wikidata.org/entity/Q4648351" TargetMode="External"/><Relationship Id="rId438" Type="http://schemas.openxmlformats.org/officeDocument/2006/relationships/hyperlink" Target="http://www.wikidata.org/entity/Q22002048" TargetMode="External"/><Relationship Id="rId2590" Type="http://schemas.openxmlformats.org/officeDocument/2006/relationships/hyperlink" Target="http://www.wikidata.org/entity/Q47113423" TargetMode="External"/><Relationship Id="rId1260" Type="http://schemas.openxmlformats.org/officeDocument/2006/relationships/hyperlink" Target="http://www.wikidata.org/entity/Q43140929" TargetMode="External"/><Relationship Id="rId2591" Type="http://schemas.openxmlformats.org/officeDocument/2006/relationships/hyperlink" Target="http://www.wikidata.org/prop/direct/P108" TargetMode="External"/><Relationship Id="rId1261" Type="http://schemas.openxmlformats.org/officeDocument/2006/relationships/hyperlink" Target="http://www.wikidata.org/entity/Q2690997" TargetMode="External"/><Relationship Id="rId2592" Type="http://schemas.openxmlformats.org/officeDocument/2006/relationships/hyperlink" Target="http://www.wikidata.org/entity/Q51168899" TargetMode="External"/><Relationship Id="rId1262" Type="http://schemas.openxmlformats.org/officeDocument/2006/relationships/hyperlink" Target="http://www.wikidata.org/prop/direct/P463" TargetMode="External"/><Relationship Id="rId2593" Type="http://schemas.openxmlformats.org/officeDocument/2006/relationships/hyperlink" Target="http://www.wikidata.org/entity/Q42197335" TargetMode="External"/><Relationship Id="rId1263" Type="http://schemas.openxmlformats.org/officeDocument/2006/relationships/hyperlink" Target="http://www.wikidata.org/entity/Q6242432" TargetMode="External"/><Relationship Id="rId2594" Type="http://schemas.openxmlformats.org/officeDocument/2006/relationships/hyperlink" Target="http://www.wikidata.org/prop/direct/P463" TargetMode="External"/><Relationship Id="rId433" Type="http://schemas.openxmlformats.org/officeDocument/2006/relationships/hyperlink" Target="http://www.wikidata.org/entity/Q114232670" TargetMode="External"/><Relationship Id="rId1264" Type="http://schemas.openxmlformats.org/officeDocument/2006/relationships/hyperlink" Target="http://www.wikidata.org/entity/Q2690997" TargetMode="External"/><Relationship Id="rId2595" Type="http://schemas.openxmlformats.org/officeDocument/2006/relationships/hyperlink" Target="http://www.wikidata.org/entity/Q120491424" TargetMode="External"/><Relationship Id="rId432" Type="http://schemas.openxmlformats.org/officeDocument/2006/relationships/hyperlink" Target="http://www.wikidata.org/entity/Q115979952" TargetMode="External"/><Relationship Id="rId1265" Type="http://schemas.openxmlformats.org/officeDocument/2006/relationships/hyperlink" Target="http://www.wikidata.org/prop/direct/P463" TargetMode="External"/><Relationship Id="rId2596" Type="http://schemas.openxmlformats.org/officeDocument/2006/relationships/hyperlink" Target="http://www.wikidata.org/entity/Q1867263" TargetMode="External"/><Relationship Id="rId431" Type="http://schemas.openxmlformats.org/officeDocument/2006/relationships/hyperlink" Target="http://www.wikidata.org/prop/direct/P108" TargetMode="External"/><Relationship Id="rId1266" Type="http://schemas.openxmlformats.org/officeDocument/2006/relationships/hyperlink" Target="http://www.wikidata.org/entity/Q56036023" TargetMode="External"/><Relationship Id="rId2597" Type="http://schemas.openxmlformats.org/officeDocument/2006/relationships/hyperlink" Target="http://www.wikidata.org/prop/direct/P69" TargetMode="External"/><Relationship Id="rId430" Type="http://schemas.openxmlformats.org/officeDocument/2006/relationships/hyperlink" Target="http://www.wikidata.org/entity/Q209344" TargetMode="External"/><Relationship Id="rId1267" Type="http://schemas.openxmlformats.org/officeDocument/2006/relationships/hyperlink" Target="http://www.wikidata.org/entity/Q20894451" TargetMode="External"/><Relationship Id="rId2598" Type="http://schemas.openxmlformats.org/officeDocument/2006/relationships/hyperlink" Target="http://www.wikidata.org/entity/Q115834873" TargetMode="External"/><Relationship Id="rId1" Type="http://schemas.openxmlformats.org/officeDocument/2006/relationships/hyperlink" Target="http://www.wikidata.org/entity/Q115821474" TargetMode="External"/><Relationship Id="rId2" Type="http://schemas.openxmlformats.org/officeDocument/2006/relationships/hyperlink" Target="http://www.wikidata.org/entity/Q118369334" TargetMode="External"/><Relationship Id="rId3" Type="http://schemas.openxmlformats.org/officeDocument/2006/relationships/hyperlink" Target="http://www.wikidata.org/entity/Q115821474" TargetMode="External"/><Relationship Id="rId4" Type="http://schemas.openxmlformats.org/officeDocument/2006/relationships/hyperlink" Target="http://www.wikidata.org/entity/Q118388831" TargetMode="External"/><Relationship Id="rId9" Type="http://schemas.openxmlformats.org/officeDocument/2006/relationships/hyperlink" Target="http://www.wikidata.org/entity/Q115818849" TargetMode="External"/><Relationship Id="rId5" Type="http://schemas.openxmlformats.org/officeDocument/2006/relationships/hyperlink" Target="http://www.wikidata.org/prop/direct/P108" TargetMode="External"/><Relationship Id="rId6" Type="http://schemas.openxmlformats.org/officeDocument/2006/relationships/hyperlink" Target="http://www.wikidata.org/entity/Q115820195" TargetMode="External"/><Relationship Id="rId7" Type="http://schemas.openxmlformats.org/officeDocument/2006/relationships/hyperlink" Target="http://www.wikidata.org/entity/Q1867263" TargetMode="External"/><Relationship Id="rId8" Type="http://schemas.openxmlformats.org/officeDocument/2006/relationships/hyperlink" Target="http://www.wikidata.org/prop/direct/P108" TargetMode="External"/><Relationship Id="rId2600" Type="http://schemas.openxmlformats.org/officeDocument/2006/relationships/hyperlink" Target="http://www.wikidata.org/prop/direct/P108" TargetMode="External"/><Relationship Id="rId2601" Type="http://schemas.openxmlformats.org/officeDocument/2006/relationships/hyperlink" Target="http://www.wikidata.org/entity/Q116660566" TargetMode="External"/><Relationship Id="rId2602" Type="http://schemas.openxmlformats.org/officeDocument/2006/relationships/hyperlink" Target="http://www.wikidata.org/entity/Q123425604" TargetMode="External"/><Relationship Id="rId2603" Type="http://schemas.openxmlformats.org/officeDocument/2006/relationships/hyperlink" Target="http://www.wikidata.org/prop/direct/P463" TargetMode="External"/><Relationship Id="rId2604" Type="http://schemas.openxmlformats.org/officeDocument/2006/relationships/hyperlink" Target="http://www.wikidata.org/entity/Q113925472" TargetMode="External"/><Relationship Id="rId2605" Type="http://schemas.openxmlformats.org/officeDocument/2006/relationships/hyperlink" Target="http://www.wikidata.org/entity/Q2663876" TargetMode="External"/><Relationship Id="rId2606" Type="http://schemas.openxmlformats.org/officeDocument/2006/relationships/hyperlink" Target="http://www.wikidata.org/prop/direct/P108" TargetMode="External"/><Relationship Id="rId808" Type="http://schemas.openxmlformats.org/officeDocument/2006/relationships/hyperlink" Target="http://www.wikidata.org/entity/Q644789" TargetMode="External"/><Relationship Id="rId2607" Type="http://schemas.openxmlformats.org/officeDocument/2006/relationships/hyperlink" Target="http://www.wikidata.org/entity/Q119690392" TargetMode="External"/><Relationship Id="rId807" Type="http://schemas.openxmlformats.org/officeDocument/2006/relationships/hyperlink" Target="http://www.wikidata.org/entity/Q1978131" TargetMode="External"/><Relationship Id="rId2608" Type="http://schemas.openxmlformats.org/officeDocument/2006/relationships/hyperlink" Target="http://www.wikidata.org/entity/Q1867263" TargetMode="External"/><Relationship Id="rId806" Type="http://schemas.openxmlformats.org/officeDocument/2006/relationships/hyperlink" Target="http://www.wikidata.org/prop/direct/P463" TargetMode="External"/><Relationship Id="rId2609" Type="http://schemas.openxmlformats.org/officeDocument/2006/relationships/hyperlink" Target="http://www.wikidata.org/prop/direct/P69" TargetMode="External"/><Relationship Id="rId805" Type="http://schemas.openxmlformats.org/officeDocument/2006/relationships/hyperlink" Target="http://www.wikidata.org/entity/Q1268453" TargetMode="External"/><Relationship Id="rId809" Type="http://schemas.openxmlformats.org/officeDocument/2006/relationships/hyperlink" Target="http://www.wikidata.org/prop/direct/P69" TargetMode="External"/><Relationship Id="rId800" Type="http://schemas.openxmlformats.org/officeDocument/2006/relationships/hyperlink" Target="http://www.wikidata.org/prop/direct/P463" TargetMode="External"/><Relationship Id="rId804" Type="http://schemas.openxmlformats.org/officeDocument/2006/relationships/hyperlink" Target="http://www.wikidata.org/entity/Q2099446" TargetMode="External"/><Relationship Id="rId803" Type="http://schemas.openxmlformats.org/officeDocument/2006/relationships/hyperlink" Target="http://www.wikidata.org/prop/direct/P108" TargetMode="External"/><Relationship Id="rId802" Type="http://schemas.openxmlformats.org/officeDocument/2006/relationships/hyperlink" Target="http://www.wikidata.org/entity/Q1867263" TargetMode="External"/><Relationship Id="rId801" Type="http://schemas.openxmlformats.org/officeDocument/2006/relationships/hyperlink" Target="http://www.wikidata.org/entity/Q115842281" TargetMode="External"/><Relationship Id="rId1334" Type="http://schemas.openxmlformats.org/officeDocument/2006/relationships/hyperlink" Target="http://www.wikidata.org/prop/direct/P108" TargetMode="External"/><Relationship Id="rId2665" Type="http://schemas.openxmlformats.org/officeDocument/2006/relationships/hyperlink" Target="http://www.wikidata.org/entity/Q2061988" TargetMode="External"/><Relationship Id="rId1335" Type="http://schemas.openxmlformats.org/officeDocument/2006/relationships/hyperlink" Target="http://www.wikidata.org/entity/Q115825488" TargetMode="External"/><Relationship Id="rId2666" Type="http://schemas.openxmlformats.org/officeDocument/2006/relationships/hyperlink" Target="http://www.wikidata.org/prop/direct/P69" TargetMode="External"/><Relationship Id="rId1336" Type="http://schemas.openxmlformats.org/officeDocument/2006/relationships/hyperlink" Target="http://www.wikidata.org/entity/Q1867263" TargetMode="External"/><Relationship Id="rId2667" Type="http://schemas.openxmlformats.org/officeDocument/2006/relationships/hyperlink" Target="http://www.wikidata.org/entity/Q120729190" TargetMode="External"/><Relationship Id="rId1337" Type="http://schemas.openxmlformats.org/officeDocument/2006/relationships/hyperlink" Target="http://www.wikidata.org/prop/direct/P108" TargetMode="External"/><Relationship Id="rId2668" Type="http://schemas.openxmlformats.org/officeDocument/2006/relationships/hyperlink" Target="http://www.wikidata.org/entity/Q2479554" TargetMode="External"/><Relationship Id="rId1338" Type="http://schemas.openxmlformats.org/officeDocument/2006/relationships/hyperlink" Target="http://www.wikidata.org/entity/Q5983066" TargetMode="External"/><Relationship Id="rId2669" Type="http://schemas.openxmlformats.org/officeDocument/2006/relationships/hyperlink" Target="http://www.wikidata.org/prop/direct/P69" TargetMode="External"/><Relationship Id="rId1339" Type="http://schemas.openxmlformats.org/officeDocument/2006/relationships/hyperlink" Target="http://www.wikidata.org/entity/Q644789" TargetMode="External"/><Relationship Id="rId745" Type="http://schemas.openxmlformats.org/officeDocument/2006/relationships/hyperlink" Target="http://www.wikidata.org/entity/Q52215696" TargetMode="External"/><Relationship Id="rId744" Type="http://schemas.openxmlformats.org/officeDocument/2006/relationships/hyperlink" Target="http://www.wikidata.org/entity/Q2099446" TargetMode="External"/><Relationship Id="rId743" Type="http://schemas.openxmlformats.org/officeDocument/2006/relationships/hyperlink" Target="http://www.wikidata.org/prop/direct/P69" TargetMode="External"/><Relationship Id="rId742" Type="http://schemas.openxmlformats.org/officeDocument/2006/relationships/hyperlink" Target="http://www.wikidata.org/entity/Q644789" TargetMode="External"/><Relationship Id="rId749" Type="http://schemas.openxmlformats.org/officeDocument/2006/relationships/hyperlink" Target="http://www.wikidata.org/prop/direct/P69" TargetMode="External"/><Relationship Id="rId748" Type="http://schemas.openxmlformats.org/officeDocument/2006/relationships/hyperlink" Target="http://www.wikidata.org/entity/Q644789" TargetMode="External"/><Relationship Id="rId747" Type="http://schemas.openxmlformats.org/officeDocument/2006/relationships/hyperlink" Target="http://www.wikidata.org/entity/Q119040262" TargetMode="External"/><Relationship Id="rId746" Type="http://schemas.openxmlformats.org/officeDocument/2006/relationships/hyperlink" Target="http://www.wikidata.org/prop/direct/P108" TargetMode="External"/><Relationship Id="rId2660" Type="http://schemas.openxmlformats.org/officeDocument/2006/relationships/hyperlink" Target="http://www.wikidata.org/prop/direct/P69" TargetMode="External"/><Relationship Id="rId741" Type="http://schemas.openxmlformats.org/officeDocument/2006/relationships/hyperlink" Target="http://www.wikidata.org/entity/Q2154331" TargetMode="External"/><Relationship Id="rId1330" Type="http://schemas.openxmlformats.org/officeDocument/2006/relationships/hyperlink" Target="http://www.wikidata.org/entity/Q1867263" TargetMode="External"/><Relationship Id="rId2661" Type="http://schemas.openxmlformats.org/officeDocument/2006/relationships/hyperlink" Target="http://www.wikidata.org/entity/Q122884757" TargetMode="External"/><Relationship Id="rId740" Type="http://schemas.openxmlformats.org/officeDocument/2006/relationships/hyperlink" Target="http://www.wikidata.org/prop/direct/P108" TargetMode="External"/><Relationship Id="rId1331" Type="http://schemas.openxmlformats.org/officeDocument/2006/relationships/hyperlink" Target="http://www.wikidata.org/prop/direct/P69" TargetMode="External"/><Relationship Id="rId2662" Type="http://schemas.openxmlformats.org/officeDocument/2006/relationships/hyperlink" Target="http://www.wikidata.org/entity/Q5053225" TargetMode="External"/><Relationship Id="rId1332" Type="http://schemas.openxmlformats.org/officeDocument/2006/relationships/hyperlink" Target="http://www.wikidata.org/entity/Q119013873" TargetMode="External"/><Relationship Id="rId2663" Type="http://schemas.openxmlformats.org/officeDocument/2006/relationships/hyperlink" Target="http://www.wikidata.org/prop/direct/P108" TargetMode="External"/><Relationship Id="rId1333" Type="http://schemas.openxmlformats.org/officeDocument/2006/relationships/hyperlink" Target="http://www.wikidata.org/entity/Q1867263" TargetMode="External"/><Relationship Id="rId2664" Type="http://schemas.openxmlformats.org/officeDocument/2006/relationships/hyperlink" Target="http://www.wikidata.org/entity/Q2087117" TargetMode="External"/><Relationship Id="rId1323" Type="http://schemas.openxmlformats.org/officeDocument/2006/relationships/hyperlink" Target="http://www.wikidata.org/entity/Q118998340" TargetMode="External"/><Relationship Id="rId2654" Type="http://schemas.openxmlformats.org/officeDocument/2006/relationships/hyperlink" Target="http://www.wikidata.org/prop/direct/P69" TargetMode="External"/><Relationship Id="rId1324" Type="http://schemas.openxmlformats.org/officeDocument/2006/relationships/hyperlink" Target="http://www.wikidata.org/entity/Q118464788" TargetMode="External"/><Relationship Id="rId2655" Type="http://schemas.openxmlformats.org/officeDocument/2006/relationships/hyperlink" Target="http://www.wikidata.org/entity/Q120442396" TargetMode="External"/><Relationship Id="rId1325" Type="http://schemas.openxmlformats.org/officeDocument/2006/relationships/hyperlink" Target="http://www.wikidata.org/prop/direct/P69" TargetMode="External"/><Relationship Id="rId2656" Type="http://schemas.openxmlformats.org/officeDocument/2006/relationships/hyperlink" Target="http://www.wikidata.org/entity/Q2479554" TargetMode="External"/><Relationship Id="rId1326" Type="http://schemas.openxmlformats.org/officeDocument/2006/relationships/hyperlink" Target="http://www.wikidata.org/entity/Q118732528" TargetMode="External"/><Relationship Id="rId2657" Type="http://schemas.openxmlformats.org/officeDocument/2006/relationships/hyperlink" Target="http://www.wikidata.org/prop/direct/P108" TargetMode="External"/><Relationship Id="rId1327" Type="http://schemas.openxmlformats.org/officeDocument/2006/relationships/hyperlink" Target="http://www.wikidata.org/entity/Q1867263" TargetMode="External"/><Relationship Id="rId2658" Type="http://schemas.openxmlformats.org/officeDocument/2006/relationships/hyperlink" Target="http://www.wikidata.org/entity/Q115834873" TargetMode="External"/><Relationship Id="rId1328" Type="http://schemas.openxmlformats.org/officeDocument/2006/relationships/hyperlink" Target="http://www.wikidata.org/prop/direct/P69" TargetMode="External"/><Relationship Id="rId2659" Type="http://schemas.openxmlformats.org/officeDocument/2006/relationships/hyperlink" Target="http://www.wikidata.org/entity/Q49425918" TargetMode="External"/><Relationship Id="rId1329" Type="http://schemas.openxmlformats.org/officeDocument/2006/relationships/hyperlink" Target="http://www.wikidata.org/entity/Q115820636" TargetMode="External"/><Relationship Id="rId739" Type="http://schemas.openxmlformats.org/officeDocument/2006/relationships/hyperlink" Target="http://www.wikidata.org/entity/Q84961226" TargetMode="External"/><Relationship Id="rId734" Type="http://schemas.openxmlformats.org/officeDocument/2006/relationships/hyperlink" Target="http://www.wikidata.org/prop/direct/P463" TargetMode="External"/><Relationship Id="rId733" Type="http://schemas.openxmlformats.org/officeDocument/2006/relationships/hyperlink" Target="http://www.wikidata.org/entity/Q337580" TargetMode="External"/><Relationship Id="rId732" Type="http://schemas.openxmlformats.org/officeDocument/2006/relationships/hyperlink" Target="http://www.wikidata.org/entity/Q1978794" TargetMode="External"/><Relationship Id="rId731" Type="http://schemas.openxmlformats.org/officeDocument/2006/relationships/hyperlink" Target="http://www.wikidata.org/prop/direct/P463" TargetMode="External"/><Relationship Id="rId738" Type="http://schemas.openxmlformats.org/officeDocument/2006/relationships/hyperlink" Target="http://www.wikidata.org/entity/Q1707941" TargetMode="External"/><Relationship Id="rId737" Type="http://schemas.openxmlformats.org/officeDocument/2006/relationships/hyperlink" Target="http://www.wikidata.org/prop/direct/P69" TargetMode="External"/><Relationship Id="rId736" Type="http://schemas.openxmlformats.org/officeDocument/2006/relationships/hyperlink" Target="http://www.wikidata.org/entity/Q245247" TargetMode="External"/><Relationship Id="rId735" Type="http://schemas.openxmlformats.org/officeDocument/2006/relationships/hyperlink" Target="http://www.wikidata.org/entity/Q2062803" TargetMode="External"/><Relationship Id="rId730" Type="http://schemas.openxmlformats.org/officeDocument/2006/relationships/hyperlink" Target="http://www.wikidata.org/entity/Q118369084" TargetMode="External"/><Relationship Id="rId2650" Type="http://schemas.openxmlformats.org/officeDocument/2006/relationships/hyperlink" Target="http://www.wikidata.org/entity/Q52224437" TargetMode="External"/><Relationship Id="rId1320" Type="http://schemas.openxmlformats.org/officeDocument/2006/relationships/hyperlink" Target="http://www.wikidata.org/entity/Q3515115" TargetMode="External"/><Relationship Id="rId2651" Type="http://schemas.openxmlformats.org/officeDocument/2006/relationships/hyperlink" Target="http://www.wikidata.org/prop/direct/P108" TargetMode="External"/><Relationship Id="rId1321" Type="http://schemas.openxmlformats.org/officeDocument/2006/relationships/hyperlink" Target="http://www.wikidata.org/entity/Q4431761" TargetMode="External"/><Relationship Id="rId2652" Type="http://schemas.openxmlformats.org/officeDocument/2006/relationships/hyperlink" Target="http://www.wikidata.org/entity/Q120199426" TargetMode="External"/><Relationship Id="rId1322" Type="http://schemas.openxmlformats.org/officeDocument/2006/relationships/hyperlink" Target="http://www.wikidata.org/prop/direct/P108" TargetMode="External"/><Relationship Id="rId2653" Type="http://schemas.openxmlformats.org/officeDocument/2006/relationships/hyperlink" Target="http://www.wikidata.org/entity/Q1867263" TargetMode="External"/><Relationship Id="rId1356" Type="http://schemas.openxmlformats.org/officeDocument/2006/relationships/hyperlink" Target="http://www.wikidata.org/entity/Q3515115" TargetMode="External"/><Relationship Id="rId2687" Type="http://schemas.openxmlformats.org/officeDocument/2006/relationships/hyperlink" Target="http://www.wikidata.org/prop/direct/P69" TargetMode="External"/><Relationship Id="rId1357" Type="http://schemas.openxmlformats.org/officeDocument/2006/relationships/hyperlink" Target="http://www.wikidata.org/entity/Q644789" TargetMode="External"/><Relationship Id="rId2688" Type="http://schemas.openxmlformats.org/officeDocument/2006/relationships/hyperlink" Target="http://www.wikidata.org/entity/Q11029222" TargetMode="External"/><Relationship Id="rId1358" Type="http://schemas.openxmlformats.org/officeDocument/2006/relationships/hyperlink" Target="http://www.wikidata.org/prop/direct/P69" TargetMode="External"/><Relationship Id="rId2689" Type="http://schemas.openxmlformats.org/officeDocument/2006/relationships/hyperlink" Target="http://www.wikidata.org/entity/Q4648351" TargetMode="External"/><Relationship Id="rId1359" Type="http://schemas.openxmlformats.org/officeDocument/2006/relationships/hyperlink" Target="http://www.wikidata.org/entity/Q661733" TargetMode="External"/><Relationship Id="rId767" Type="http://schemas.openxmlformats.org/officeDocument/2006/relationships/hyperlink" Target="http://www.wikidata.org/prop/direct/P69" TargetMode="External"/><Relationship Id="rId766" Type="http://schemas.openxmlformats.org/officeDocument/2006/relationships/hyperlink" Target="http://www.wikidata.org/entity/Q1867263" TargetMode="External"/><Relationship Id="rId765" Type="http://schemas.openxmlformats.org/officeDocument/2006/relationships/hyperlink" Target="http://www.wikidata.org/entity/Q13575367" TargetMode="External"/><Relationship Id="rId764" Type="http://schemas.openxmlformats.org/officeDocument/2006/relationships/hyperlink" Target="http://www.wikidata.org/prop/direct/P69" TargetMode="External"/><Relationship Id="rId769" Type="http://schemas.openxmlformats.org/officeDocument/2006/relationships/hyperlink" Target="http://www.wikidata.org/entity/Q1268453" TargetMode="External"/><Relationship Id="rId768" Type="http://schemas.openxmlformats.org/officeDocument/2006/relationships/hyperlink" Target="http://www.wikidata.org/entity/Q1920135" TargetMode="External"/><Relationship Id="rId2680" Type="http://schemas.openxmlformats.org/officeDocument/2006/relationships/hyperlink" Target="http://www.wikidata.org/entity/Q1518472" TargetMode="External"/><Relationship Id="rId1350" Type="http://schemas.openxmlformats.org/officeDocument/2006/relationships/hyperlink" Target="http://www.wikidata.org/entity/Q80079104" TargetMode="External"/><Relationship Id="rId2681" Type="http://schemas.openxmlformats.org/officeDocument/2006/relationships/hyperlink" Target="http://www.wikidata.org/prop/direct/P108" TargetMode="External"/><Relationship Id="rId1351" Type="http://schemas.openxmlformats.org/officeDocument/2006/relationships/hyperlink" Target="http://www.wikidata.org/entity/Q1867263" TargetMode="External"/><Relationship Id="rId2682" Type="http://schemas.openxmlformats.org/officeDocument/2006/relationships/hyperlink" Target="http://www.wikidata.org/entity/Q115836854" TargetMode="External"/><Relationship Id="rId763" Type="http://schemas.openxmlformats.org/officeDocument/2006/relationships/hyperlink" Target="http://www.wikidata.org/entity/Q1867263" TargetMode="External"/><Relationship Id="rId1352" Type="http://schemas.openxmlformats.org/officeDocument/2006/relationships/hyperlink" Target="http://www.wikidata.org/prop/direct/P108" TargetMode="External"/><Relationship Id="rId2683" Type="http://schemas.openxmlformats.org/officeDocument/2006/relationships/hyperlink" Target="http://www.wikidata.org/entity/Q2185331" TargetMode="External"/><Relationship Id="rId762" Type="http://schemas.openxmlformats.org/officeDocument/2006/relationships/hyperlink" Target="http://www.wikidata.org/entity/Q122963358" TargetMode="External"/><Relationship Id="rId1353" Type="http://schemas.openxmlformats.org/officeDocument/2006/relationships/hyperlink" Target="http://www.wikidata.org/entity/Q120333083" TargetMode="External"/><Relationship Id="rId2684" Type="http://schemas.openxmlformats.org/officeDocument/2006/relationships/hyperlink" Target="http://www.wikidata.org/prop/direct/P108" TargetMode="External"/><Relationship Id="rId761" Type="http://schemas.openxmlformats.org/officeDocument/2006/relationships/hyperlink" Target="http://www.wikidata.org/prop/direct/P108" TargetMode="External"/><Relationship Id="rId1354" Type="http://schemas.openxmlformats.org/officeDocument/2006/relationships/hyperlink" Target="http://www.wikidata.org/entity/Q118464788" TargetMode="External"/><Relationship Id="rId2685" Type="http://schemas.openxmlformats.org/officeDocument/2006/relationships/hyperlink" Target="http://www.wikidata.org/entity/Q11029222" TargetMode="External"/><Relationship Id="rId760" Type="http://schemas.openxmlformats.org/officeDocument/2006/relationships/hyperlink" Target="http://www.wikidata.org/entity/Q1816228" TargetMode="External"/><Relationship Id="rId1355" Type="http://schemas.openxmlformats.org/officeDocument/2006/relationships/hyperlink" Target="http://www.wikidata.org/prop/direct/P108" TargetMode="External"/><Relationship Id="rId2686" Type="http://schemas.openxmlformats.org/officeDocument/2006/relationships/hyperlink" Target="http://www.wikidata.org/entity/Q4648351" TargetMode="External"/><Relationship Id="rId1345" Type="http://schemas.openxmlformats.org/officeDocument/2006/relationships/hyperlink" Target="http://www.wikidata.org/entity/Q8019579" TargetMode="External"/><Relationship Id="rId2676" Type="http://schemas.openxmlformats.org/officeDocument/2006/relationships/hyperlink" Target="http://www.wikidata.org/entity/Q120504176" TargetMode="External"/><Relationship Id="rId1346" Type="http://schemas.openxmlformats.org/officeDocument/2006/relationships/hyperlink" Target="http://www.wikidata.org/prop/direct/P108" TargetMode="External"/><Relationship Id="rId2677" Type="http://schemas.openxmlformats.org/officeDocument/2006/relationships/hyperlink" Target="http://www.wikidata.org/entity/Q1867263" TargetMode="External"/><Relationship Id="rId1347" Type="http://schemas.openxmlformats.org/officeDocument/2006/relationships/hyperlink" Target="http://www.wikidata.org/entity/Q3164253" TargetMode="External"/><Relationship Id="rId2678" Type="http://schemas.openxmlformats.org/officeDocument/2006/relationships/hyperlink" Target="http://www.wikidata.org/prop/direct/P108" TargetMode="External"/><Relationship Id="rId1348" Type="http://schemas.openxmlformats.org/officeDocument/2006/relationships/hyperlink" Target="http://www.wikidata.org/entity/Q467025" TargetMode="External"/><Relationship Id="rId2679" Type="http://schemas.openxmlformats.org/officeDocument/2006/relationships/hyperlink" Target="http://www.wikidata.org/entity/Q4865289" TargetMode="External"/><Relationship Id="rId1349" Type="http://schemas.openxmlformats.org/officeDocument/2006/relationships/hyperlink" Target="http://www.wikidata.org/prop/direct/P69" TargetMode="External"/><Relationship Id="rId756" Type="http://schemas.openxmlformats.org/officeDocument/2006/relationships/hyperlink" Target="http://www.wikidata.org/entity/Q2062803" TargetMode="External"/><Relationship Id="rId755" Type="http://schemas.openxmlformats.org/officeDocument/2006/relationships/hyperlink" Target="http://www.wikidata.org/prop/direct/P108" TargetMode="External"/><Relationship Id="rId754" Type="http://schemas.openxmlformats.org/officeDocument/2006/relationships/hyperlink" Target="http://www.wikidata.org/entity/Q21004456" TargetMode="External"/><Relationship Id="rId753" Type="http://schemas.openxmlformats.org/officeDocument/2006/relationships/hyperlink" Target="http://www.wikidata.org/entity/Q2062803" TargetMode="External"/><Relationship Id="rId759" Type="http://schemas.openxmlformats.org/officeDocument/2006/relationships/hyperlink" Target="http://www.wikidata.org/entity/Q1978794" TargetMode="External"/><Relationship Id="rId758" Type="http://schemas.openxmlformats.org/officeDocument/2006/relationships/hyperlink" Target="http://www.wikidata.org/prop/direct/P463" TargetMode="External"/><Relationship Id="rId757" Type="http://schemas.openxmlformats.org/officeDocument/2006/relationships/hyperlink" Target="http://www.wikidata.org/entity/Q21004456" TargetMode="External"/><Relationship Id="rId2670" Type="http://schemas.openxmlformats.org/officeDocument/2006/relationships/hyperlink" Target="http://www.wikidata.org/entity/Q113925472" TargetMode="External"/><Relationship Id="rId1340" Type="http://schemas.openxmlformats.org/officeDocument/2006/relationships/hyperlink" Target="http://www.wikidata.org/prop/direct/P108" TargetMode="External"/><Relationship Id="rId2671" Type="http://schemas.openxmlformats.org/officeDocument/2006/relationships/hyperlink" Target="http://www.wikidata.org/entity/Q118744262" TargetMode="External"/><Relationship Id="rId752" Type="http://schemas.openxmlformats.org/officeDocument/2006/relationships/hyperlink" Target="http://www.wikidata.org/prop/direct/P108" TargetMode="External"/><Relationship Id="rId1341" Type="http://schemas.openxmlformats.org/officeDocument/2006/relationships/hyperlink" Target="http://www.wikidata.org/entity/Q115820636" TargetMode="External"/><Relationship Id="rId2672" Type="http://schemas.openxmlformats.org/officeDocument/2006/relationships/hyperlink" Target="http://www.wikidata.org/prop/direct/P463" TargetMode="External"/><Relationship Id="rId751" Type="http://schemas.openxmlformats.org/officeDocument/2006/relationships/hyperlink" Target="http://www.wikidata.org/entity/Q2205233" TargetMode="External"/><Relationship Id="rId1342" Type="http://schemas.openxmlformats.org/officeDocument/2006/relationships/hyperlink" Target="http://www.wikidata.org/entity/Q119702334" TargetMode="External"/><Relationship Id="rId2673" Type="http://schemas.openxmlformats.org/officeDocument/2006/relationships/hyperlink" Target="http://www.wikidata.org/entity/Q120920568" TargetMode="External"/><Relationship Id="rId750" Type="http://schemas.openxmlformats.org/officeDocument/2006/relationships/hyperlink" Target="http://www.wikidata.org/entity/Q1877721" TargetMode="External"/><Relationship Id="rId1343" Type="http://schemas.openxmlformats.org/officeDocument/2006/relationships/hyperlink" Target="http://www.wikidata.org/prop/direct/P463" TargetMode="External"/><Relationship Id="rId2674" Type="http://schemas.openxmlformats.org/officeDocument/2006/relationships/hyperlink" Target="http://www.wikidata.org/entity/Q118369084" TargetMode="External"/><Relationship Id="rId1344" Type="http://schemas.openxmlformats.org/officeDocument/2006/relationships/hyperlink" Target="http://www.wikidata.org/entity/Q118136722" TargetMode="External"/><Relationship Id="rId2675" Type="http://schemas.openxmlformats.org/officeDocument/2006/relationships/hyperlink" Target="http://www.wikidata.org/prop/direct/P463" TargetMode="External"/><Relationship Id="rId2621" Type="http://schemas.openxmlformats.org/officeDocument/2006/relationships/hyperlink" Target="http://www.wikidata.org/prop/direct/P108" TargetMode="External"/><Relationship Id="rId2622" Type="http://schemas.openxmlformats.org/officeDocument/2006/relationships/hyperlink" Target="http://www.wikidata.org/entity/Q119690392" TargetMode="External"/><Relationship Id="rId2623" Type="http://schemas.openxmlformats.org/officeDocument/2006/relationships/hyperlink" Target="http://www.wikidata.org/entity/Q119702334" TargetMode="External"/><Relationship Id="rId2624" Type="http://schemas.openxmlformats.org/officeDocument/2006/relationships/hyperlink" Target="http://www.wikidata.org/prop/direct/P463" TargetMode="External"/><Relationship Id="rId2625" Type="http://schemas.openxmlformats.org/officeDocument/2006/relationships/hyperlink" Target="http://www.wikidata.org/entity/Q123722465" TargetMode="External"/><Relationship Id="rId2626" Type="http://schemas.openxmlformats.org/officeDocument/2006/relationships/hyperlink" Target="http://www.wikidata.org/entity/Q644789" TargetMode="External"/><Relationship Id="rId2627" Type="http://schemas.openxmlformats.org/officeDocument/2006/relationships/hyperlink" Target="http://www.wikidata.org/prop/direct/P69" TargetMode="External"/><Relationship Id="rId2628" Type="http://schemas.openxmlformats.org/officeDocument/2006/relationships/hyperlink" Target="http://www.wikidata.org/entity/Q51168899" TargetMode="External"/><Relationship Id="rId709" Type="http://schemas.openxmlformats.org/officeDocument/2006/relationships/hyperlink" Target="http://www.wikidata.org/entity/Q2185331" TargetMode="External"/><Relationship Id="rId2629" Type="http://schemas.openxmlformats.org/officeDocument/2006/relationships/hyperlink" Target="http://www.wikidata.org/entity/Q644789" TargetMode="External"/><Relationship Id="rId708" Type="http://schemas.openxmlformats.org/officeDocument/2006/relationships/hyperlink" Target="http://www.wikidata.org/entity/Q115823191" TargetMode="External"/><Relationship Id="rId707" Type="http://schemas.openxmlformats.org/officeDocument/2006/relationships/hyperlink" Target="http://www.wikidata.org/prop/direct/P463" TargetMode="External"/><Relationship Id="rId706" Type="http://schemas.openxmlformats.org/officeDocument/2006/relationships/hyperlink" Target="http://www.wikidata.org/entity/Q1268453" TargetMode="External"/><Relationship Id="rId701" Type="http://schemas.openxmlformats.org/officeDocument/2006/relationships/hyperlink" Target="http://www.wikidata.org/prop/direct/P69" TargetMode="External"/><Relationship Id="rId700" Type="http://schemas.openxmlformats.org/officeDocument/2006/relationships/hyperlink" Target="http://www.wikidata.org/entity/Q2237527" TargetMode="External"/><Relationship Id="rId705" Type="http://schemas.openxmlformats.org/officeDocument/2006/relationships/hyperlink" Target="http://www.wikidata.org/entity/Q2100582" TargetMode="External"/><Relationship Id="rId704" Type="http://schemas.openxmlformats.org/officeDocument/2006/relationships/hyperlink" Target="http://www.wikidata.org/prop/direct/P108" TargetMode="External"/><Relationship Id="rId703" Type="http://schemas.openxmlformats.org/officeDocument/2006/relationships/hyperlink" Target="http://www.wikidata.org/entity/Q1137665" TargetMode="External"/><Relationship Id="rId702" Type="http://schemas.openxmlformats.org/officeDocument/2006/relationships/hyperlink" Target="http://www.wikidata.org/entity/Q2065109" TargetMode="External"/><Relationship Id="rId2620" Type="http://schemas.openxmlformats.org/officeDocument/2006/relationships/hyperlink" Target="http://www.wikidata.org/entity/Q192621" TargetMode="External"/><Relationship Id="rId2610" Type="http://schemas.openxmlformats.org/officeDocument/2006/relationships/hyperlink" Target="http://www.wikidata.org/entity/Q2087117" TargetMode="External"/><Relationship Id="rId2611" Type="http://schemas.openxmlformats.org/officeDocument/2006/relationships/hyperlink" Target="http://www.wikidata.org/entity/Q2789347" TargetMode="External"/><Relationship Id="rId2612" Type="http://schemas.openxmlformats.org/officeDocument/2006/relationships/hyperlink" Target="http://www.wikidata.org/prop/direct/P69" TargetMode="External"/><Relationship Id="rId2613" Type="http://schemas.openxmlformats.org/officeDocument/2006/relationships/hyperlink" Target="http://www.wikidata.org/entity/Q119690392" TargetMode="External"/><Relationship Id="rId2614" Type="http://schemas.openxmlformats.org/officeDocument/2006/relationships/hyperlink" Target="http://www.wikidata.org/entity/Q482622" TargetMode="External"/><Relationship Id="rId2615" Type="http://schemas.openxmlformats.org/officeDocument/2006/relationships/hyperlink" Target="http://www.wikidata.org/prop/direct/P69" TargetMode="External"/><Relationship Id="rId2616" Type="http://schemas.openxmlformats.org/officeDocument/2006/relationships/hyperlink" Target="http://www.wikidata.org/entity/Q119690392" TargetMode="External"/><Relationship Id="rId2617" Type="http://schemas.openxmlformats.org/officeDocument/2006/relationships/hyperlink" Target="http://www.wikidata.org/entity/Q482622" TargetMode="External"/><Relationship Id="rId2618" Type="http://schemas.openxmlformats.org/officeDocument/2006/relationships/hyperlink" Target="http://www.wikidata.org/prop/direct/P463" TargetMode="External"/><Relationship Id="rId2619" Type="http://schemas.openxmlformats.org/officeDocument/2006/relationships/hyperlink" Target="http://www.wikidata.org/entity/Q122884757" TargetMode="External"/><Relationship Id="rId1312" Type="http://schemas.openxmlformats.org/officeDocument/2006/relationships/hyperlink" Target="http://www.wikidata.org/entity/Q33100553" TargetMode="External"/><Relationship Id="rId2643" Type="http://schemas.openxmlformats.org/officeDocument/2006/relationships/hyperlink" Target="http://www.wikidata.org/entity/Q114945031" TargetMode="External"/><Relationship Id="rId1313" Type="http://schemas.openxmlformats.org/officeDocument/2006/relationships/hyperlink" Target="http://www.wikidata.org/prop/direct/P108" TargetMode="External"/><Relationship Id="rId2644" Type="http://schemas.openxmlformats.org/officeDocument/2006/relationships/hyperlink" Target="http://www.wikidata.org/entity/Q2479554" TargetMode="External"/><Relationship Id="rId1314" Type="http://schemas.openxmlformats.org/officeDocument/2006/relationships/hyperlink" Target="http://www.wikidata.org/entity/Q120920666" TargetMode="External"/><Relationship Id="rId2645" Type="http://schemas.openxmlformats.org/officeDocument/2006/relationships/hyperlink" Target="http://www.wikidata.org/prop/direct/P108" TargetMode="External"/><Relationship Id="rId1315" Type="http://schemas.openxmlformats.org/officeDocument/2006/relationships/hyperlink" Target="http://www.wikidata.org/entity/Q118369084" TargetMode="External"/><Relationship Id="rId2646" Type="http://schemas.openxmlformats.org/officeDocument/2006/relationships/hyperlink" Target="http://www.wikidata.org/entity/Q120729190" TargetMode="External"/><Relationship Id="rId1316" Type="http://schemas.openxmlformats.org/officeDocument/2006/relationships/hyperlink" Target="http://www.wikidata.org/prop/direct/P463" TargetMode="External"/><Relationship Id="rId2647" Type="http://schemas.openxmlformats.org/officeDocument/2006/relationships/hyperlink" Target="http://www.wikidata.org/entity/Q1867263" TargetMode="External"/><Relationship Id="rId1317" Type="http://schemas.openxmlformats.org/officeDocument/2006/relationships/hyperlink" Target="http://www.wikidata.org/entity/Q113675636" TargetMode="External"/><Relationship Id="rId2648" Type="http://schemas.openxmlformats.org/officeDocument/2006/relationships/hyperlink" Target="http://www.wikidata.org/prop/direct/P69" TargetMode="External"/><Relationship Id="rId1318" Type="http://schemas.openxmlformats.org/officeDocument/2006/relationships/hyperlink" Target="http://www.wikidata.org/entity/Q114232670" TargetMode="External"/><Relationship Id="rId2649" Type="http://schemas.openxmlformats.org/officeDocument/2006/relationships/hyperlink" Target="http://www.wikidata.org/entity/Q115834873" TargetMode="External"/><Relationship Id="rId1319" Type="http://schemas.openxmlformats.org/officeDocument/2006/relationships/hyperlink" Target="http://www.wikidata.org/prop/direct/P108" TargetMode="External"/><Relationship Id="rId729" Type="http://schemas.openxmlformats.org/officeDocument/2006/relationships/hyperlink" Target="http://www.wikidata.org/entity/Q57197744" TargetMode="External"/><Relationship Id="rId728" Type="http://schemas.openxmlformats.org/officeDocument/2006/relationships/hyperlink" Target="http://www.wikidata.org/prop/direct/P463" TargetMode="External"/><Relationship Id="rId723" Type="http://schemas.openxmlformats.org/officeDocument/2006/relationships/hyperlink" Target="http://www.wikidata.org/entity/Q115826830" TargetMode="External"/><Relationship Id="rId722" Type="http://schemas.openxmlformats.org/officeDocument/2006/relationships/hyperlink" Target="http://www.wikidata.org/prop/direct/P108" TargetMode="External"/><Relationship Id="rId721" Type="http://schemas.openxmlformats.org/officeDocument/2006/relationships/hyperlink" Target="http://www.wikidata.org/entity/Q123719897" TargetMode="External"/><Relationship Id="rId720" Type="http://schemas.openxmlformats.org/officeDocument/2006/relationships/hyperlink" Target="http://www.wikidata.org/entity/Q2154331" TargetMode="External"/><Relationship Id="rId727" Type="http://schemas.openxmlformats.org/officeDocument/2006/relationships/hyperlink" Target="http://www.wikidata.org/entity/Q1268453" TargetMode="External"/><Relationship Id="rId726" Type="http://schemas.openxmlformats.org/officeDocument/2006/relationships/hyperlink" Target="http://www.wikidata.org/entity/Q2065109" TargetMode="External"/><Relationship Id="rId725" Type="http://schemas.openxmlformats.org/officeDocument/2006/relationships/hyperlink" Target="http://www.wikidata.org/prop/direct/P108" TargetMode="External"/><Relationship Id="rId724" Type="http://schemas.openxmlformats.org/officeDocument/2006/relationships/hyperlink" Target="http://www.wikidata.org/entity/Q2469560" TargetMode="External"/><Relationship Id="rId2640" Type="http://schemas.openxmlformats.org/officeDocument/2006/relationships/hyperlink" Target="http://www.wikidata.org/entity/Q122884053" TargetMode="External"/><Relationship Id="rId1310" Type="http://schemas.openxmlformats.org/officeDocument/2006/relationships/hyperlink" Target="http://www.wikidata.org/prop/direct/P108" TargetMode="External"/><Relationship Id="rId2641" Type="http://schemas.openxmlformats.org/officeDocument/2006/relationships/hyperlink" Target="http://www.wikidata.org/entity/Q2663876" TargetMode="External"/><Relationship Id="rId1311" Type="http://schemas.openxmlformats.org/officeDocument/2006/relationships/hyperlink" Target="http://www.wikidata.org/entity/Q3515115" TargetMode="External"/><Relationship Id="rId2642" Type="http://schemas.openxmlformats.org/officeDocument/2006/relationships/hyperlink" Target="http://www.wikidata.org/prop/direct/P69" TargetMode="External"/><Relationship Id="rId1301" Type="http://schemas.openxmlformats.org/officeDocument/2006/relationships/hyperlink" Target="http://www.wikidata.org/prop/direct/P463" TargetMode="External"/><Relationship Id="rId2632" Type="http://schemas.openxmlformats.org/officeDocument/2006/relationships/hyperlink" Target="http://www.wikidata.org/entity/Q2562388" TargetMode="External"/><Relationship Id="rId1302" Type="http://schemas.openxmlformats.org/officeDocument/2006/relationships/hyperlink" Target="http://www.wikidata.org/entity/Q661733" TargetMode="External"/><Relationship Id="rId2633" Type="http://schemas.openxmlformats.org/officeDocument/2006/relationships/hyperlink" Target="http://www.wikidata.org/prop/direct/P69" TargetMode="External"/><Relationship Id="rId1303" Type="http://schemas.openxmlformats.org/officeDocument/2006/relationships/hyperlink" Target="http://www.wikidata.org/entity/Q2267896" TargetMode="External"/><Relationship Id="rId2634" Type="http://schemas.openxmlformats.org/officeDocument/2006/relationships/hyperlink" Target="http://www.wikidata.org/entity/Q115834873" TargetMode="External"/><Relationship Id="rId1304" Type="http://schemas.openxmlformats.org/officeDocument/2006/relationships/hyperlink" Target="http://www.wikidata.org/prop/direct/P463" TargetMode="External"/><Relationship Id="rId2635" Type="http://schemas.openxmlformats.org/officeDocument/2006/relationships/hyperlink" Target="http://www.wikidata.org/entity/Q1362697" TargetMode="External"/><Relationship Id="rId1305" Type="http://schemas.openxmlformats.org/officeDocument/2006/relationships/hyperlink" Target="http://www.wikidata.org/entity/Q3450211" TargetMode="External"/><Relationship Id="rId2636" Type="http://schemas.openxmlformats.org/officeDocument/2006/relationships/hyperlink" Target="http://www.wikidata.org/prop/direct/P108" TargetMode="External"/><Relationship Id="rId1306" Type="http://schemas.openxmlformats.org/officeDocument/2006/relationships/hyperlink" Target="http://www.wikidata.org/entity/Q2267896" TargetMode="External"/><Relationship Id="rId2637" Type="http://schemas.openxmlformats.org/officeDocument/2006/relationships/hyperlink" Target="http://www.wikidata.org/entity/Q120442396" TargetMode="External"/><Relationship Id="rId1307" Type="http://schemas.openxmlformats.org/officeDocument/2006/relationships/hyperlink" Target="http://www.wikidata.org/prop/direct/P463" TargetMode="External"/><Relationship Id="rId2638" Type="http://schemas.openxmlformats.org/officeDocument/2006/relationships/hyperlink" Target="http://www.wikidata.org/entity/Q1867263" TargetMode="External"/><Relationship Id="rId1308" Type="http://schemas.openxmlformats.org/officeDocument/2006/relationships/hyperlink" Target="http://www.wikidata.org/entity/Q15982596" TargetMode="External"/><Relationship Id="rId2639" Type="http://schemas.openxmlformats.org/officeDocument/2006/relationships/hyperlink" Target="http://www.wikidata.org/prop/direct/P108" TargetMode="External"/><Relationship Id="rId1309" Type="http://schemas.openxmlformats.org/officeDocument/2006/relationships/hyperlink" Target="http://www.wikidata.org/entity/Q28521117" TargetMode="External"/><Relationship Id="rId719" Type="http://schemas.openxmlformats.org/officeDocument/2006/relationships/hyperlink" Target="http://www.wikidata.org/prop/direct/P108" TargetMode="External"/><Relationship Id="rId718" Type="http://schemas.openxmlformats.org/officeDocument/2006/relationships/hyperlink" Target="http://www.wikidata.org/entity/Q2018402" TargetMode="External"/><Relationship Id="rId717" Type="http://schemas.openxmlformats.org/officeDocument/2006/relationships/hyperlink" Target="http://www.wikidata.org/entity/Q2154331" TargetMode="External"/><Relationship Id="rId712" Type="http://schemas.openxmlformats.org/officeDocument/2006/relationships/hyperlink" Target="http://www.wikidata.org/entity/Q1867263" TargetMode="External"/><Relationship Id="rId711" Type="http://schemas.openxmlformats.org/officeDocument/2006/relationships/hyperlink" Target="http://www.wikidata.org/entity/Q2050293" TargetMode="External"/><Relationship Id="rId710" Type="http://schemas.openxmlformats.org/officeDocument/2006/relationships/hyperlink" Target="http://www.wikidata.org/prop/direct/P108" TargetMode="External"/><Relationship Id="rId716" Type="http://schemas.openxmlformats.org/officeDocument/2006/relationships/hyperlink" Target="http://www.wikidata.org/prop/direct/P108" TargetMode="External"/><Relationship Id="rId715" Type="http://schemas.openxmlformats.org/officeDocument/2006/relationships/hyperlink" Target="http://www.wikidata.org/entity/Q1867263" TargetMode="External"/><Relationship Id="rId714" Type="http://schemas.openxmlformats.org/officeDocument/2006/relationships/hyperlink" Target="http://www.wikidata.org/entity/Q2050293" TargetMode="External"/><Relationship Id="rId713" Type="http://schemas.openxmlformats.org/officeDocument/2006/relationships/hyperlink" Target="http://www.wikidata.org/prop/direct/P69" TargetMode="External"/><Relationship Id="rId2630" Type="http://schemas.openxmlformats.org/officeDocument/2006/relationships/hyperlink" Target="http://www.wikidata.org/prop/direct/P69" TargetMode="External"/><Relationship Id="rId1300" Type="http://schemas.openxmlformats.org/officeDocument/2006/relationships/hyperlink" Target="http://www.wikidata.org/entity/Q113835765" TargetMode="External"/><Relationship Id="rId2631" Type="http://schemas.openxmlformats.org/officeDocument/2006/relationships/hyperlink" Target="http://www.wikidata.org/entity/Q125361599" TargetMode="External"/><Relationship Id="rId1378" Type="http://schemas.openxmlformats.org/officeDocument/2006/relationships/hyperlink" Target="http://www.wikidata.org/entity/Q2663876" TargetMode="External"/><Relationship Id="rId1379" Type="http://schemas.openxmlformats.org/officeDocument/2006/relationships/hyperlink" Target="http://www.wikidata.org/prop/direct/P69" TargetMode="External"/><Relationship Id="rId789" Type="http://schemas.openxmlformats.org/officeDocument/2006/relationships/hyperlink" Target="http://www.wikidata.org/entity/Q13575367" TargetMode="External"/><Relationship Id="rId788" Type="http://schemas.openxmlformats.org/officeDocument/2006/relationships/hyperlink" Target="http://www.wikidata.org/prop/direct/P463" TargetMode="External"/><Relationship Id="rId787" Type="http://schemas.openxmlformats.org/officeDocument/2006/relationships/hyperlink" Target="http://www.wikidata.org/entity/Q118744262" TargetMode="External"/><Relationship Id="rId786" Type="http://schemas.openxmlformats.org/officeDocument/2006/relationships/hyperlink" Target="http://www.wikidata.org/entity/Q13576607" TargetMode="External"/><Relationship Id="rId781" Type="http://schemas.openxmlformats.org/officeDocument/2006/relationships/hyperlink" Target="http://www.wikidata.org/entity/Q42197335" TargetMode="External"/><Relationship Id="rId1370" Type="http://schemas.openxmlformats.org/officeDocument/2006/relationships/hyperlink" Target="http://www.wikidata.org/prop/direct/P108" TargetMode="External"/><Relationship Id="rId780" Type="http://schemas.openxmlformats.org/officeDocument/2006/relationships/hyperlink" Target="http://www.wikidata.org/entity/Q1978794" TargetMode="External"/><Relationship Id="rId1371" Type="http://schemas.openxmlformats.org/officeDocument/2006/relationships/hyperlink" Target="http://www.wikidata.org/entity/Q120550899" TargetMode="External"/><Relationship Id="rId1372" Type="http://schemas.openxmlformats.org/officeDocument/2006/relationships/hyperlink" Target="http://www.wikidata.org/entity/Q2746779" TargetMode="External"/><Relationship Id="rId1373" Type="http://schemas.openxmlformats.org/officeDocument/2006/relationships/hyperlink" Target="http://www.wikidata.org/prop/direct/P69" TargetMode="External"/><Relationship Id="rId785" Type="http://schemas.openxmlformats.org/officeDocument/2006/relationships/hyperlink" Target="http://www.wikidata.org/prop/direct/P69" TargetMode="External"/><Relationship Id="rId1374" Type="http://schemas.openxmlformats.org/officeDocument/2006/relationships/hyperlink" Target="http://www.wikidata.org/entity/Q3450211" TargetMode="External"/><Relationship Id="rId784" Type="http://schemas.openxmlformats.org/officeDocument/2006/relationships/hyperlink" Target="http://www.wikidata.org/entity/Q2663876" TargetMode="External"/><Relationship Id="rId1375" Type="http://schemas.openxmlformats.org/officeDocument/2006/relationships/hyperlink" Target="http://www.wikidata.org/entity/Q2479554" TargetMode="External"/><Relationship Id="rId783" Type="http://schemas.openxmlformats.org/officeDocument/2006/relationships/hyperlink" Target="http://www.wikidata.org/entity/Q122963358" TargetMode="External"/><Relationship Id="rId1376" Type="http://schemas.openxmlformats.org/officeDocument/2006/relationships/hyperlink" Target="http://www.wikidata.org/prop/direct/P108" TargetMode="External"/><Relationship Id="rId782" Type="http://schemas.openxmlformats.org/officeDocument/2006/relationships/hyperlink" Target="http://www.wikidata.org/prop/direct/P463" TargetMode="External"/><Relationship Id="rId1377" Type="http://schemas.openxmlformats.org/officeDocument/2006/relationships/hyperlink" Target="http://www.wikidata.org/entity/Q118998471" TargetMode="External"/><Relationship Id="rId1367" Type="http://schemas.openxmlformats.org/officeDocument/2006/relationships/hyperlink" Target="http://www.wikidata.org/prop/direct/P69" TargetMode="External"/><Relationship Id="rId2698" Type="http://schemas.openxmlformats.org/officeDocument/2006/relationships/hyperlink" Target="http://www.wikidata.org/entity/Q1867263" TargetMode="External"/><Relationship Id="rId1368" Type="http://schemas.openxmlformats.org/officeDocument/2006/relationships/hyperlink" Target="http://www.wikidata.org/entity/Q118136722" TargetMode="External"/><Relationship Id="rId2699" Type="http://schemas.openxmlformats.org/officeDocument/2006/relationships/hyperlink" Target="http://www.wikidata.org/prop/direct/P69" TargetMode="External"/><Relationship Id="rId1369" Type="http://schemas.openxmlformats.org/officeDocument/2006/relationships/hyperlink" Target="http://www.wikidata.org/entity/Q118351827" TargetMode="External"/><Relationship Id="rId778" Type="http://schemas.openxmlformats.org/officeDocument/2006/relationships/hyperlink" Target="http://www.wikidata.org/entity/Q2267896" TargetMode="External"/><Relationship Id="rId777" Type="http://schemas.openxmlformats.org/officeDocument/2006/relationships/hyperlink" Target="http://www.wikidata.org/entity/Q1877721" TargetMode="External"/><Relationship Id="rId776" Type="http://schemas.openxmlformats.org/officeDocument/2006/relationships/hyperlink" Target="http://www.wikidata.org/prop/direct/P69" TargetMode="External"/><Relationship Id="rId775" Type="http://schemas.openxmlformats.org/officeDocument/2006/relationships/hyperlink" Target="http://www.wikidata.org/entity/Q1864590" TargetMode="External"/><Relationship Id="rId779" Type="http://schemas.openxmlformats.org/officeDocument/2006/relationships/hyperlink" Target="http://www.wikidata.org/prop/direct/P463" TargetMode="External"/><Relationship Id="rId770" Type="http://schemas.openxmlformats.org/officeDocument/2006/relationships/hyperlink" Target="http://www.wikidata.org/prop/direct/P463" TargetMode="External"/><Relationship Id="rId2690" Type="http://schemas.openxmlformats.org/officeDocument/2006/relationships/hyperlink" Target="http://www.wikidata.org/prop/direct/P108" TargetMode="External"/><Relationship Id="rId1360" Type="http://schemas.openxmlformats.org/officeDocument/2006/relationships/hyperlink" Target="http://www.wikidata.org/entity/Q2663876" TargetMode="External"/><Relationship Id="rId2691" Type="http://schemas.openxmlformats.org/officeDocument/2006/relationships/hyperlink" Target="http://www.wikidata.org/entity/Q125541827" TargetMode="External"/><Relationship Id="rId1361" Type="http://schemas.openxmlformats.org/officeDocument/2006/relationships/hyperlink" Target="http://www.wikidata.org/prop/direct/P69" TargetMode="External"/><Relationship Id="rId2692" Type="http://schemas.openxmlformats.org/officeDocument/2006/relationships/hyperlink" Target="http://www.wikidata.org/entity/Q2957897" TargetMode="External"/><Relationship Id="rId1362" Type="http://schemas.openxmlformats.org/officeDocument/2006/relationships/hyperlink" Target="http://www.wikidata.org/entity/Q3515115" TargetMode="External"/><Relationship Id="rId2693" Type="http://schemas.openxmlformats.org/officeDocument/2006/relationships/hyperlink" Target="http://www.wikidata.org/prop/direct/P108" TargetMode="External"/><Relationship Id="rId774" Type="http://schemas.openxmlformats.org/officeDocument/2006/relationships/hyperlink" Target="http://www.wikidata.org/entity/Q2099446" TargetMode="External"/><Relationship Id="rId1363" Type="http://schemas.openxmlformats.org/officeDocument/2006/relationships/hyperlink" Target="http://www.wikidata.org/entity/Q120555736" TargetMode="External"/><Relationship Id="rId2694" Type="http://schemas.openxmlformats.org/officeDocument/2006/relationships/hyperlink" Target="http://www.wikidata.org/entity/Q120504176" TargetMode="External"/><Relationship Id="rId773" Type="http://schemas.openxmlformats.org/officeDocument/2006/relationships/hyperlink" Target="http://www.wikidata.org/prop/direct/P108" TargetMode="External"/><Relationship Id="rId1364" Type="http://schemas.openxmlformats.org/officeDocument/2006/relationships/hyperlink" Target="http://www.wikidata.org/prop/direct/P108" TargetMode="External"/><Relationship Id="rId2695" Type="http://schemas.openxmlformats.org/officeDocument/2006/relationships/hyperlink" Target="http://www.wikidata.org/entity/Q2663876" TargetMode="External"/><Relationship Id="rId772" Type="http://schemas.openxmlformats.org/officeDocument/2006/relationships/hyperlink" Target="http://www.wikidata.org/entity/Q118612494" TargetMode="External"/><Relationship Id="rId1365" Type="http://schemas.openxmlformats.org/officeDocument/2006/relationships/hyperlink" Target="http://www.wikidata.org/entity/Q119013873" TargetMode="External"/><Relationship Id="rId2696" Type="http://schemas.openxmlformats.org/officeDocument/2006/relationships/hyperlink" Target="http://www.wikidata.org/prop/direct/P69" TargetMode="External"/><Relationship Id="rId771" Type="http://schemas.openxmlformats.org/officeDocument/2006/relationships/hyperlink" Target="http://www.wikidata.org/entity/Q1877721" TargetMode="External"/><Relationship Id="rId1366" Type="http://schemas.openxmlformats.org/officeDocument/2006/relationships/hyperlink" Target="http://www.wikidata.org/entity/Q2479554" TargetMode="External"/><Relationship Id="rId2697" Type="http://schemas.openxmlformats.org/officeDocument/2006/relationships/hyperlink" Target="http://www.wikidata.org/entity/Q100534520" TargetMode="External"/><Relationship Id="rId1390" Type="http://schemas.openxmlformats.org/officeDocument/2006/relationships/hyperlink" Target="http://www.wikidata.org/entity/Q52224323" TargetMode="External"/><Relationship Id="rId1391" Type="http://schemas.openxmlformats.org/officeDocument/2006/relationships/hyperlink" Target="http://www.wikidata.org/prop/direct/P108" TargetMode="External"/><Relationship Id="rId1392" Type="http://schemas.openxmlformats.org/officeDocument/2006/relationships/hyperlink" Target="http://www.wikidata.org/entity/Q3346571" TargetMode="External"/><Relationship Id="rId1393" Type="http://schemas.openxmlformats.org/officeDocument/2006/relationships/hyperlink" Target="http://www.wikidata.org/entity/Q1867263" TargetMode="External"/><Relationship Id="rId1394" Type="http://schemas.openxmlformats.org/officeDocument/2006/relationships/hyperlink" Target="http://www.wikidata.org/prop/direct/P69" TargetMode="External"/><Relationship Id="rId1395" Type="http://schemas.openxmlformats.org/officeDocument/2006/relationships/hyperlink" Target="http://www.wikidata.org/entity/Q661733" TargetMode="External"/><Relationship Id="rId1396" Type="http://schemas.openxmlformats.org/officeDocument/2006/relationships/hyperlink" Target="http://www.wikidata.org/entity/Q644789" TargetMode="External"/><Relationship Id="rId1397" Type="http://schemas.openxmlformats.org/officeDocument/2006/relationships/hyperlink" Target="http://www.wikidata.org/prop/direct/P69" TargetMode="External"/><Relationship Id="rId1398" Type="http://schemas.openxmlformats.org/officeDocument/2006/relationships/hyperlink" Target="http://www.wikidata.org/entity/Q3450211" TargetMode="External"/><Relationship Id="rId1399" Type="http://schemas.openxmlformats.org/officeDocument/2006/relationships/hyperlink" Target="http://www.wikidata.org/entity/Q644789" TargetMode="External"/><Relationship Id="rId1389" Type="http://schemas.openxmlformats.org/officeDocument/2006/relationships/hyperlink" Target="http://www.wikidata.org/entity/Q113675636" TargetMode="External"/><Relationship Id="rId799" Type="http://schemas.openxmlformats.org/officeDocument/2006/relationships/hyperlink" Target="http://www.wikidata.org/entity/Q1268453" TargetMode="External"/><Relationship Id="rId798" Type="http://schemas.openxmlformats.org/officeDocument/2006/relationships/hyperlink" Target="http://www.wikidata.org/entity/Q13575404" TargetMode="External"/><Relationship Id="rId797" Type="http://schemas.openxmlformats.org/officeDocument/2006/relationships/hyperlink" Target="http://www.wikidata.org/prop/direct/P69" TargetMode="External"/><Relationship Id="rId1380" Type="http://schemas.openxmlformats.org/officeDocument/2006/relationships/hyperlink" Target="http://www.wikidata.org/entity/Q118998471" TargetMode="External"/><Relationship Id="rId792" Type="http://schemas.openxmlformats.org/officeDocument/2006/relationships/hyperlink" Target="http://www.wikidata.org/entity/Q975292" TargetMode="External"/><Relationship Id="rId1381" Type="http://schemas.openxmlformats.org/officeDocument/2006/relationships/hyperlink" Target="http://www.wikidata.org/entity/Q1930349" TargetMode="External"/><Relationship Id="rId791" Type="http://schemas.openxmlformats.org/officeDocument/2006/relationships/hyperlink" Target="http://www.wikidata.org/prop/direct/P108" TargetMode="External"/><Relationship Id="rId1382" Type="http://schemas.openxmlformats.org/officeDocument/2006/relationships/hyperlink" Target="http://www.wikidata.org/prop/direct/P108" TargetMode="External"/><Relationship Id="rId790" Type="http://schemas.openxmlformats.org/officeDocument/2006/relationships/hyperlink" Target="http://www.wikidata.org/entity/Q2663876" TargetMode="External"/><Relationship Id="rId1383" Type="http://schemas.openxmlformats.org/officeDocument/2006/relationships/hyperlink" Target="http://www.wikidata.org/entity/Q15982596" TargetMode="External"/><Relationship Id="rId1384" Type="http://schemas.openxmlformats.org/officeDocument/2006/relationships/hyperlink" Target="http://www.wikidata.org/entity/Q1867263" TargetMode="External"/><Relationship Id="rId796" Type="http://schemas.openxmlformats.org/officeDocument/2006/relationships/hyperlink" Target="http://www.wikidata.org/entity/Q2111331" TargetMode="External"/><Relationship Id="rId1385" Type="http://schemas.openxmlformats.org/officeDocument/2006/relationships/hyperlink" Target="http://www.wikidata.org/prop/direct/P108" TargetMode="External"/><Relationship Id="rId795" Type="http://schemas.openxmlformats.org/officeDocument/2006/relationships/hyperlink" Target="http://www.wikidata.org/entity/Q2100582" TargetMode="External"/><Relationship Id="rId1386" Type="http://schemas.openxmlformats.org/officeDocument/2006/relationships/hyperlink" Target="http://www.wikidata.org/entity/Q115836962" TargetMode="External"/><Relationship Id="rId794" Type="http://schemas.openxmlformats.org/officeDocument/2006/relationships/hyperlink" Target="http://www.wikidata.org/prop/direct/P69" TargetMode="External"/><Relationship Id="rId1387" Type="http://schemas.openxmlformats.org/officeDocument/2006/relationships/hyperlink" Target="http://www.wikidata.org/entity/Q2018402" TargetMode="External"/><Relationship Id="rId793" Type="http://schemas.openxmlformats.org/officeDocument/2006/relationships/hyperlink" Target="http://www.wikidata.org/entity/Q33100553" TargetMode="External"/><Relationship Id="rId1388" Type="http://schemas.openxmlformats.org/officeDocument/2006/relationships/hyperlink" Target="http://www.wikidata.org/prop/direct/P108" TargetMode="External"/><Relationship Id="rId2700" Type="http://schemas.openxmlformats.org/officeDocument/2006/relationships/hyperlink" Target="http://www.wikidata.org/entity/Q115844668" TargetMode="External"/><Relationship Id="rId2701" Type="http://schemas.openxmlformats.org/officeDocument/2006/relationships/hyperlink" Target="http://www.wikidata.org/entity/Q118369334" TargetMode="External"/><Relationship Id="rId2702" Type="http://schemas.openxmlformats.org/officeDocument/2006/relationships/hyperlink" Target="http://www.wikidata.org/prop/direct/P108" TargetMode="External"/><Relationship Id="rId2703" Type="http://schemas.openxmlformats.org/officeDocument/2006/relationships/hyperlink" Target="http://www.wikidata.org/entity/Q120504176" TargetMode="External"/><Relationship Id="rId2704" Type="http://schemas.openxmlformats.org/officeDocument/2006/relationships/hyperlink" Target="http://www.wikidata.org/entity/Q2479554" TargetMode="External"/><Relationship Id="rId2705" Type="http://schemas.openxmlformats.org/officeDocument/2006/relationships/hyperlink" Target="http://www.wikidata.org/prop/direct/P108" TargetMode="External"/><Relationship Id="rId2706" Type="http://schemas.openxmlformats.org/officeDocument/2006/relationships/hyperlink" Target="http://www.wikidata.org/entity/Q120377148" TargetMode="External"/><Relationship Id="rId2707" Type="http://schemas.openxmlformats.org/officeDocument/2006/relationships/hyperlink" Target="http://www.wikidata.org/entity/Q118464788" TargetMode="External"/><Relationship Id="rId2708" Type="http://schemas.openxmlformats.org/officeDocument/2006/relationships/hyperlink" Target="http://www.wikidata.org/prop/direct/P69" TargetMode="External"/><Relationship Id="rId2709" Type="http://schemas.openxmlformats.org/officeDocument/2006/relationships/hyperlink" Target="http://www.wikidata.org/entity/Q123742237" TargetMode="External"/><Relationship Id="rId2720" Type="http://schemas.openxmlformats.org/officeDocument/2006/relationships/hyperlink" Target="http://www.wikidata.org/prop/direct/P108" TargetMode="External"/><Relationship Id="rId2721" Type="http://schemas.openxmlformats.org/officeDocument/2006/relationships/hyperlink" Target="http://www.wikidata.org/entity/Q100534520" TargetMode="External"/><Relationship Id="rId2722" Type="http://schemas.openxmlformats.org/officeDocument/2006/relationships/hyperlink" Target="http://www.wikidata.org/entity/Q644789" TargetMode="External"/><Relationship Id="rId2723" Type="http://schemas.openxmlformats.org/officeDocument/2006/relationships/hyperlink" Target="http://www.wikidata.org/prop/direct/P69" TargetMode="External"/><Relationship Id="rId2724" Type="http://schemas.openxmlformats.org/officeDocument/2006/relationships/hyperlink" Target="http://www.wikidata.org/entity/Q120377148" TargetMode="External"/><Relationship Id="rId2725" Type="http://schemas.openxmlformats.org/officeDocument/2006/relationships/hyperlink" Target="http://www.wikidata.org/entity/Q1867263" TargetMode="External"/><Relationship Id="rId2726" Type="http://schemas.openxmlformats.org/officeDocument/2006/relationships/hyperlink" Target="http://www.wikidata.org/prop/direct/P69" TargetMode="External"/><Relationship Id="rId2727" Type="http://schemas.openxmlformats.org/officeDocument/2006/relationships/hyperlink" Target="http://www.wikidata.org/entity/Q115844668" TargetMode="External"/><Relationship Id="rId2728" Type="http://schemas.openxmlformats.org/officeDocument/2006/relationships/hyperlink" Target="http://www.wikidata.org/entity/Q2663876" TargetMode="External"/><Relationship Id="rId2729" Type="http://schemas.openxmlformats.org/officeDocument/2006/relationships/hyperlink" Target="http://www.wikidata.org/prop/direct/P108" TargetMode="External"/><Relationship Id="rId2710" Type="http://schemas.openxmlformats.org/officeDocument/2006/relationships/hyperlink" Target="http://www.wikidata.org/entity/Q644789" TargetMode="External"/><Relationship Id="rId2711" Type="http://schemas.openxmlformats.org/officeDocument/2006/relationships/hyperlink" Target="http://www.wikidata.org/prop/direct/P69" TargetMode="External"/><Relationship Id="rId2712" Type="http://schemas.openxmlformats.org/officeDocument/2006/relationships/hyperlink" Target="http://www.wikidata.org/entity/Q117226377" TargetMode="External"/><Relationship Id="rId2713" Type="http://schemas.openxmlformats.org/officeDocument/2006/relationships/hyperlink" Target="http://www.wikidata.org/entity/Q123413231" TargetMode="External"/><Relationship Id="rId2714" Type="http://schemas.openxmlformats.org/officeDocument/2006/relationships/hyperlink" Target="http://www.wikidata.org/prop/direct/P463" TargetMode="External"/><Relationship Id="rId2715" Type="http://schemas.openxmlformats.org/officeDocument/2006/relationships/hyperlink" Target="http://www.wikidata.org/entity/Q4865289" TargetMode="External"/><Relationship Id="rId2716" Type="http://schemas.openxmlformats.org/officeDocument/2006/relationships/hyperlink" Target="http://www.wikidata.org/entity/Q2294995" TargetMode="External"/><Relationship Id="rId2717" Type="http://schemas.openxmlformats.org/officeDocument/2006/relationships/hyperlink" Target="http://www.wikidata.org/prop/direct/P69" TargetMode="External"/><Relationship Id="rId2718" Type="http://schemas.openxmlformats.org/officeDocument/2006/relationships/hyperlink" Target="http://www.wikidata.org/entity/Q4865289" TargetMode="External"/><Relationship Id="rId2719" Type="http://schemas.openxmlformats.org/officeDocument/2006/relationships/hyperlink" Target="http://www.wikidata.org/entity/Q4728794" TargetMode="External"/><Relationship Id="rId1455" Type="http://schemas.openxmlformats.org/officeDocument/2006/relationships/hyperlink" Target="http://www.wikidata.org/entity/Q15982596" TargetMode="External"/><Relationship Id="rId2786" Type="http://schemas.openxmlformats.org/officeDocument/2006/relationships/hyperlink" Target="http://www.wikidata.org/prop/direct/P69" TargetMode="External"/><Relationship Id="rId1456" Type="http://schemas.openxmlformats.org/officeDocument/2006/relationships/hyperlink" Target="http://www.wikidata.org/entity/Q2479554" TargetMode="External"/><Relationship Id="rId2787" Type="http://schemas.openxmlformats.org/officeDocument/2006/relationships/hyperlink" Target="http://www.wikidata.org/entity/Q322106" TargetMode="External"/><Relationship Id="rId1457" Type="http://schemas.openxmlformats.org/officeDocument/2006/relationships/hyperlink" Target="http://www.wikidata.org/prop/direct/P108" TargetMode="External"/><Relationship Id="rId2788" Type="http://schemas.openxmlformats.org/officeDocument/2006/relationships/hyperlink" Target="http://www.wikidata.org/entity/Q714717" TargetMode="External"/><Relationship Id="rId1458" Type="http://schemas.openxmlformats.org/officeDocument/2006/relationships/hyperlink" Target="http://www.wikidata.org/entity/Q117264774" TargetMode="External"/><Relationship Id="rId2789" Type="http://schemas.openxmlformats.org/officeDocument/2006/relationships/hyperlink" Target="http://www.wikidata.org/prop/direct/P69" TargetMode="External"/><Relationship Id="rId1459" Type="http://schemas.openxmlformats.org/officeDocument/2006/relationships/hyperlink" Target="http://www.wikidata.org/entity/Q2562388" TargetMode="External"/><Relationship Id="rId629" Type="http://schemas.openxmlformats.org/officeDocument/2006/relationships/hyperlink" Target="http://www.wikidata.org/prop/direct/P108" TargetMode="External"/><Relationship Id="rId624" Type="http://schemas.openxmlformats.org/officeDocument/2006/relationships/hyperlink" Target="http://www.wikidata.org/entity/Q2062803" TargetMode="External"/><Relationship Id="rId623" Type="http://schemas.openxmlformats.org/officeDocument/2006/relationships/hyperlink" Target="http://www.wikidata.org/prop/direct/P108" TargetMode="External"/><Relationship Id="rId622" Type="http://schemas.openxmlformats.org/officeDocument/2006/relationships/hyperlink" Target="http://www.wikidata.org/entity/Q52224323" TargetMode="External"/><Relationship Id="rId621" Type="http://schemas.openxmlformats.org/officeDocument/2006/relationships/hyperlink" Target="http://www.wikidata.org/entity/Q2154331" TargetMode="External"/><Relationship Id="rId628" Type="http://schemas.openxmlformats.org/officeDocument/2006/relationships/hyperlink" Target="http://www.wikidata.org/entity/Q6970481" TargetMode="External"/><Relationship Id="rId627" Type="http://schemas.openxmlformats.org/officeDocument/2006/relationships/hyperlink" Target="http://www.wikidata.org/entity/Q2062803" TargetMode="External"/><Relationship Id="rId626" Type="http://schemas.openxmlformats.org/officeDocument/2006/relationships/hyperlink" Target="http://www.wikidata.org/prop/direct/P108" TargetMode="External"/><Relationship Id="rId625" Type="http://schemas.openxmlformats.org/officeDocument/2006/relationships/hyperlink" Target="http://www.wikidata.org/entity/Q5070708" TargetMode="External"/><Relationship Id="rId2780" Type="http://schemas.openxmlformats.org/officeDocument/2006/relationships/hyperlink" Target="http://www.wikidata.org/prop/direct/P108" TargetMode="External"/><Relationship Id="rId1450" Type="http://schemas.openxmlformats.org/officeDocument/2006/relationships/hyperlink" Target="http://www.wikidata.org/entity/Q1867263" TargetMode="External"/><Relationship Id="rId2781" Type="http://schemas.openxmlformats.org/officeDocument/2006/relationships/hyperlink" Target="http://www.wikidata.org/entity/Q115815697" TargetMode="External"/><Relationship Id="rId620" Type="http://schemas.openxmlformats.org/officeDocument/2006/relationships/hyperlink" Target="http://www.wikidata.org/prop/direct/P69" TargetMode="External"/><Relationship Id="rId1451" Type="http://schemas.openxmlformats.org/officeDocument/2006/relationships/hyperlink" Target="http://www.wikidata.org/prop/direct/P69" TargetMode="External"/><Relationship Id="rId2782" Type="http://schemas.openxmlformats.org/officeDocument/2006/relationships/hyperlink" Target="http://www.wikidata.org/entity/Q119853947" TargetMode="External"/><Relationship Id="rId1452" Type="http://schemas.openxmlformats.org/officeDocument/2006/relationships/hyperlink" Target="http://www.wikidata.org/entity/Q115836962" TargetMode="External"/><Relationship Id="rId2783" Type="http://schemas.openxmlformats.org/officeDocument/2006/relationships/hyperlink" Target="http://www.wikidata.org/prop/direct/P108" TargetMode="External"/><Relationship Id="rId1453" Type="http://schemas.openxmlformats.org/officeDocument/2006/relationships/hyperlink" Target="http://www.wikidata.org/entity/Q120855954" TargetMode="External"/><Relationship Id="rId2784" Type="http://schemas.openxmlformats.org/officeDocument/2006/relationships/hyperlink" Target="http://www.wikidata.org/entity/Q110039170" TargetMode="External"/><Relationship Id="rId1454" Type="http://schemas.openxmlformats.org/officeDocument/2006/relationships/hyperlink" Target="http://www.wikidata.org/prop/direct/P108" TargetMode="External"/><Relationship Id="rId2785" Type="http://schemas.openxmlformats.org/officeDocument/2006/relationships/hyperlink" Target="http://www.wikidata.org/entity/Q118456609" TargetMode="External"/><Relationship Id="rId1444" Type="http://schemas.openxmlformats.org/officeDocument/2006/relationships/hyperlink" Target="http://www.wikidata.org/entity/Q1137665" TargetMode="External"/><Relationship Id="rId2775" Type="http://schemas.openxmlformats.org/officeDocument/2006/relationships/hyperlink" Target="http://www.wikidata.org/entity/Q115980044" TargetMode="External"/><Relationship Id="rId1445" Type="http://schemas.openxmlformats.org/officeDocument/2006/relationships/hyperlink" Target="http://www.wikidata.org/prop/direct/P108" TargetMode="External"/><Relationship Id="rId2776" Type="http://schemas.openxmlformats.org/officeDocument/2006/relationships/hyperlink" Target="http://www.wikidata.org/entity/Q644789" TargetMode="External"/><Relationship Id="rId1446" Type="http://schemas.openxmlformats.org/officeDocument/2006/relationships/hyperlink" Target="http://www.wikidata.org/entity/Q115827696" TargetMode="External"/><Relationship Id="rId2777" Type="http://schemas.openxmlformats.org/officeDocument/2006/relationships/hyperlink" Target="http://www.wikidata.org/prop/direct/P69" TargetMode="External"/><Relationship Id="rId1447" Type="http://schemas.openxmlformats.org/officeDocument/2006/relationships/hyperlink" Target="http://www.wikidata.org/entity/Q1867263" TargetMode="External"/><Relationship Id="rId2778" Type="http://schemas.openxmlformats.org/officeDocument/2006/relationships/hyperlink" Target="http://www.wikidata.org/entity/Q110039170" TargetMode="External"/><Relationship Id="rId1448" Type="http://schemas.openxmlformats.org/officeDocument/2006/relationships/hyperlink" Target="http://www.wikidata.org/prop/direct/P69" TargetMode="External"/><Relationship Id="rId2779" Type="http://schemas.openxmlformats.org/officeDocument/2006/relationships/hyperlink" Target="http://www.wikidata.org/entity/Q118369334" TargetMode="External"/><Relationship Id="rId1449" Type="http://schemas.openxmlformats.org/officeDocument/2006/relationships/hyperlink" Target="http://www.wikidata.org/entity/Q118136722" TargetMode="External"/><Relationship Id="rId619" Type="http://schemas.openxmlformats.org/officeDocument/2006/relationships/hyperlink" Target="http://www.wikidata.org/entity/Q644789" TargetMode="External"/><Relationship Id="rId618" Type="http://schemas.openxmlformats.org/officeDocument/2006/relationships/hyperlink" Target="http://www.wikidata.org/entity/Q1894475" TargetMode="External"/><Relationship Id="rId613" Type="http://schemas.openxmlformats.org/officeDocument/2006/relationships/hyperlink" Target="http://www.wikidata.org/entity/Q4325830" TargetMode="External"/><Relationship Id="rId612" Type="http://schemas.openxmlformats.org/officeDocument/2006/relationships/hyperlink" Target="http://www.wikidata.org/entity/Q1920135" TargetMode="External"/><Relationship Id="rId611" Type="http://schemas.openxmlformats.org/officeDocument/2006/relationships/hyperlink" Target="http://www.wikidata.org/prop/direct/P463" TargetMode="External"/><Relationship Id="rId610" Type="http://schemas.openxmlformats.org/officeDocument/2006/relationships/hyperlink" Target="http://www.wikidata.org/entity/Q1268453" TargetMode="External"/><Relationship Id="rId617" Type="http://schemas.openxmlformats.org/officeDocument/2006/relationships/hyperlink" Target="http://www.wikidata.org/prop/direct/P463" TargetMode="External"/><Relationship Id="rId616" Type="http://schemas.openxmlformats.org/officeDocument/2006/relationships/hyperlink" Target="http://www.wikidata.org/entity/Q2690997" TargetMode="External"/><Relationship Id="rId615" Type="http://schemas.openxmlformats.org/officeDocument/2006/relationships/hyperlink" Target="http://www.wikidata.org/entity/Q2099446" TargetMode="External"/><Relationship Id="rId614" Type="http://schemas.openxmlformats.org/officeDocument/2006/relationships/hyperlink" Target="http://www.wikidata.org/prop/direct/P108" TargetMode="External"/><Relationship Id="rId2770" Type="http://schemas.openxmlformats.org/officeDocument/2006/relationships/hyperlink" Target="http://www.wikidata.org/entity/Q118456609" TargetMode="External"/><Relationship Id="rId1440" Type="http://schemas.openxmlformats.org/officeDocument/2006/relationships/hyperlink" Target="http://www.wikidata.org/entity/Q118555164" TargetMode="External"/><Relationship Id="rId2771" Type="http://schemas.openxmlformats.org/officeDocument/2006/relationships/hyperlink" Target="http://www.wikidata.org/prop/direct/P69" TargetMode="External"/><Relationship Id="rId1441" Type="http://schemas.openxmlformats.org/officeDocument/2006/relationships/hyperlink" Target="http://www.wikidata.org/entity/Q1268453" TargetMode="External"/><Relationship Id="rId2772" Type="http://schemas.openxmlformats.org/officeDocument/2006/relationships/hyperlink" Target="http://www.wikidata.org/entity/Q110039170" TargetMode="External"/><Relationship Id="rId1442" Type="http://schemas.openxmlformats.org/officeDocument/2006/relationships/hyperlink" Target="http://www.wikidata.org/prop/direct/P463" TargetMode="External"/><Relationship Id="rId2773" Type="http://schemas.openxmlformats.org/officeDocument/2006/relationships/hyperlink" Target="http://www.wikidata.org/entity/Q15882061" TargetMode="External"/><Relationship Id="rId1443" Type="http://schemas.openxmlformats.org/officeDocument/2006/relationships/hyperlink" Target="http://www.wikidata.org/entity/Q41885755" TargetMode="External"/><Relationship Id="rId2774" Type="http://schemas.openxmlformats.org/officeDocument/2006/relationships/hyperlink" Target="http://www.wikidata.org/prop/direct/P108" TargetMode="External"/><Relationship Id="rId1477" Type="http://schemas.openxmlformats.org/officeDocument/2006/relationships/hyperlink" Target="http://www.wikidata.org/entity/Q15882061" TargetMode="External"/><Relationship Id="rId1478" Type="http://schemas.openxmlformats.org/officeDocument/2006/relationships/hyperlink" Target="http://www.wikidata.org/prop/direct/P69" TargetMode="External"/><Relationship Id="rId1479" Type="http://schemas.openxmlformats.org/officeDocument/2006/relationships/hyperlink" Target="http://www.wikidata.org/entity/Q118555164" TargetMode="External"/><Relationship Id="rId646" Type="http://schemas.openxmlformats.org/officeDocument/2006/relationships/hyperlink" Target="http://www.wikidata.org/entity/Q120727328" TargetMode="External"/><Relationship Id="rId645" Type="http://schemas.openxmlformats.org/officeDocument/2006/relationships/hyperlink" Target="http://www.wikidata.org/entity/Q2203619" TargetMode="External"/><Relationship Id="rId644" Type="http://schemas.openxmlformats.org/officeDocument/2006/relationships/hyperlink" Target="http://www.wikidata.org/prop/direct/P108" TargetMode="External"/><Relationship Id="rId643" Type="http://schemas.openxmlformats.org/officeDocument/2006/relationships/hyperlink" Target="http://www.wikidata.org/entity/Q118495392" TargetMode="External"/><Relationship Id="rId649" Type="http://schemas.openxmlformats.org/officeDocument/2006/relationships/hyperlink" Target="http://www.wikidata.org/entity/Q120727356" TargetMode="External"/><Relationship Id="rId648" Type="http://schemas.openxmlformats.org/officeDocument/2006/relationships/hyperlink" Target="http://www.wikidata.org/entity/Q2203619" TargetMode="External"/><Relationship Id="rId647" Type="http://schemas.openxmlformats.org/officeDocument/2006/relationships/hyperlink" Target="http://www.wikidata.org/prop/direct/P69" TargetMode="External"/><Relationship Id="rId1470" Type="http://schemas.openxmlformats.org/officeDocument/2006/relationships/hyperlink" Target="http://www.wikidata.org/entity/Q2491266" TargetMode="External"/><Relationship Id="rId1471" Type="http://schemas.openxmlformats.org/officeDocument/2006/relationships/hyperlink" Target="http://www.wikidata.org/entity/Q1268453" TargetMode="External"/><Relationship Id="rId1472" Type="http://schemas.openxmlformats.org/officeDocument/2006/relationships/hyperlink" Target="http://www.wikidata.org/prop/direct/P463" TargetMode="External"/><Relationship Id="rId642" Type="http://schemas.openxmlformats.org/officeDocument/2006/relationships/hyperlink" Target="http://www.wikidata.org/entity/Q1920135" TargetMode="External"/><Relationship Id="rId1473" Type="http://schemas.openxmlformats.org/officeDocument/2006/relationships/hyperlink" Target="http://www.wikidata.org/entity/Q3515115" TargetMode="External"/><Relationship Id="rId641" Type="http://schemas.openxmlformats.org/officeDocument/2006/relationships/hyperlink" Target="http://www.wikidata.org/prop/direct/P463" TargetMode="External"/><Relationship Id="rId1474" Type="http://schemas.openxmlformats.org/officeDocument/2006/relationships/hyperlink" Target="http://www.wikidata.org/entity/Q118645274" TargetMode="External"/><Relationship Id="rId640" Type="http://schemas.openxmlformats.org/officeDocument/2006/relationships/hyperlink" Target="http://www.wikidata.org/entity/Q2690997" TargetMode="External"/><Relationship Id="rId1475" Type="http://schemas.openxmlformats.org/officeDocument/2006/relationships/hyperlink" Target="http://www.wikidata.org/prop/direct/P463" TargetMode="External"/><Relationship Id="rId1476" Type="http://schemas.openxmlformats.org/officeDocument/2006/relationships/hyperlink" Target="http://www.wikidata.org/entity/Q3450211" TargetMode="External"/><Relationship Id="rId1466" Type="http://schemas.openxmlformats.org/officeDocument/2006/relationships/hyperlink" Target="http://www.wikidata.org/prop/direct/P69" TargetMode="External"/><Relationship Id="rId2797" Type="http://schemas.openxmlformats.org/officeDocument/2006/relationships/hyperlink" Target="http://www.wikidata.org/entity/Q121078697" TargetMode="External"/><Relationship Id="rId1467" Type="http://schemas.openxmlformats.org/officeDocument/2006/relationships/hyperlink" Target="http://www.wikidata.org/entity/Q113675636" TargetMode="External"/><Relationship Id="rId2798" Type="http://schemas.openxmlformats.org/officeDocument/2006/relationships/hyperlink" Target="http://www.wikidata.org/prop/direct/P108" TargetMode="External"/><Relationship Id="rId1468" Type="http://schemas.openxmlformats.org/officeDocument/2006/relationships/hyperlink" Target="http://www.wikidata.org/entity/Q119702334" TargetMode="External"/><Relationship Id="rId2799" Type="http://schemas.openxmlformats.org/officeDocument/2006/relationships/hyperlink" Target="http://www.wikidata.org/entity/Q2332586" TargetMode="External"/><Relationship Id="rId1469" Type="http://schemas.openxmlformats.org/officeDocument/2006/relationships/hyperlink" Target="http://www.wikidata.org/prop/direct/P463" TargetMode="External"/><Relationship Id="rId635" Type="http://schemas.openxmlformats.org/officeDocument/2006/relationships/hyperlink" Target="http://www.wikidata.org/prop/direct/P69" TargetMode="External"/><Relationship Id="rId634" Type="http://schemas.openxmlformats.org/officeDocument/2006/relationships/hyperlink" Target="http://www.wikidata.org/entity/Q644789" TargetMode="External"/><Relationship Id="rId633" Type="http://schemas.openxmlformats.org/officeDocument/2006/relationships/hyperlink" Target="http://www.wikidata.org/entity/Q57197744" TargetMode="External"/><Relationship Id="rId632" Type="http://schemas.openxmlformats.org/officeDocument/2006/relationships/hyperlink" Target="http://www.wikidata.org/prop/direct/P108" TargetMode="External"/><Relationship Id="rId639" Type="http://schemas.openxmlformats.org/officeDocument/2006/relationships/hyperlink" Target="http://www.wikidata.org/entity/Q57197744" TargetMode="External"/><Relationship Id="rId638" Type="http://schemas.openxmlformats.org/officeDocument/2006/relationships/hyperlink" Target="http://www.wikidata.org/prop/direct/P69" TargetMode="External"/><Relationship Id="rId637" Type="http://schemas.openxmlformats.org/officeDocument/2006/relationships/hyperlink" Target="http://www.wikidata.org/entity/Q118388831" TargetMode="External"/><Relationship Id="rId636" Type="http://schemas.openxmlformats.org/officeDocument/2006/relationships/hyperlink" Target="http://www.wikidata.org/entity/Q1978131" TargetMode="External"/><Relationship Id="rId2790" Type="http://schemas.openxmlformats.org/officeDocument/2006/relationships/hyperlink" Target="http://www.wikidata.org/entity/Q322106" TargetMode="External"/><Relationship Id="rId1460" Type="http://schemas.openxmlformats.org/officeDocument/2006/relationships/hyperlink" Target="http://www.wikidata.org/prop/direct/P69" TargetMode="External"/><Relationship Id="rId2791" Type="http://schemas.openxmlformats.org/officeDocument/2006/relationships/hyperlink" Target="http://www.wikidata.org/entity/Q723551" TargetMode="External"/><Relationship Id="rId1461" Type="http://schemas.openxmlformats.org/officeDocument/2006/relationships/hyperlink" Target="http://www.wikidata.org/entity/Q120333083" TargetMode="External"/><Relationship Id="rId2792" Type="http://schemas.openxmlformats.org/officeDocument/2006/relationships/hyperlink" Target="http://www.wikidata.org/prop/direct/P463" TargetMode="External"/><Relationship Id="rId631" Type="http://schemas.openxmlformats.org/officeDocument/2006/relationships/hyperlink" Target="http://www.wikidata.org/entity/Q113988734" TargetMode="External"/><Relationship Id="rId1462" Type="http://schemas.openxmlformats.org/officeDocument/2006/relationships/hyperlink" Target="http://www.wikidata.org/entity/Q2479554" TargetMode="External"/><Relationship Id="rId2793" Type="http://schemas.openxmlformats.org/officeDocument/2006/relationships/hyperlink" Target="http://www.wikidata.org/entity/Q115980044" TargetMode="External"/><Relationship Id="rId630" Type="http://schemas.openxmlformats.org/officeDocument/2006/relationships/hyperlink" Target="http://www.wikidata.org/entity/Q115842281" TargetMode="External"/><Relationship Id="rId1463" Type="http://schemas.openxmlformats.org/officeDocument/2006/relationships/hyperlink" Target="http://www.wikidata.org/prop/direct/P108" TargetMode="External"/><Relationship Id="rId2794" Type="http://schemas.openxmlformats.org/officeDocument/2006/relationships/hyperlink" Target="http://www.wikidata.org/entity/Q121078675" TargetMode="External"/><Relationship Id="rId1464" Type="http://schemas.openxmlformats.org/officeDocument/2006/relationships/hyperlink" Target="http://www.wikidata.org/entity/Q3515115" TargetMode="External"/><Relationship Id="rId2795" Type="http://schemas.openxmlformats.org/officeDocument/2006/relationships/hyperlink" Target="http://www.wikidata.org/prop/direct/P108" TargetMode="External"/><Relationship Id="rId1465" Type="http://schemas.openxmlformats.org/officeDocument/2006/relationships/hyperlink" Target="http://www.wikidata.org/entity/Q2237527" TargetMode="External"/><Relationship Id="rId2796" Type="http://schemas.openxmlformats.org/officeDocument/2006/relationships/hyperlink" Target="http://www.wikidata.org/entity/Q115980044" TargetMode="External"/><Relationship Id="rId1411" Type="http://schemas.openxmlformats.org/officeDocument/2006/relationships/hyperlink" Target="http://www.wikidata.org/entity/Q1864590" TargetMode="External"/><Relationship Id="rId2742" Type="http://schemas.openxmlformats.org/officeDocument/2006/relationships/hyperlink" Target="http://www.wikidata.org/entity/Q120377148" TargetMode="External"/><Relationship Id="rId1412" Type="http://schemas.openxmlformats.org/officeDocument/2006/relationships/hyperlink" Target="http://www.wikidata.org/prop/direct/P69" TargetMode="External"/><Relationship Id="rId2743" Type="http://schemas.openxmlformats.org/officeDocument/2006/relationships/hyperlink" Target="http://www.wikidata.org/entity/Q119702334" TargetMode="External"/><Relationship Id="rId1413" Type="http://schemas.openxmlformats.org/officeDocument/2006/relationships/hyperlink" Target="http://www.wikidata.org/entity/Q3450211" TargetMode="External"/><Relationship Id="rId2744" Type="http://schemas.openxmlformats.org/officeDocument/2006/relationships/hyperlink" Target="http://www.wikidata.org/prop/direct/P463" TargetMode="External"/><Relationship Id="rId1414" Type="http://schemas.openxmlformats.org/officeDocument/2006/relationships/hyperlink" Target="http://www.wikidata.org/entity/Q120617895" TargetMode="External"/><Relationship Id="rId2745" Type="http://schemas.openxmlformats.org/officeDocument/2006/relationships/hyperlink" Target="http://www.wikidata.org/entity/Q121000890" TargetMode="External"/><Relationship Id="rId1415" Type="http://schemas.openxmlformats.org/officeDocument/2006/relationships/hyperlink" Target="http://www.wikidata.org/prop/direct/P108" TargetMode="External"/><Relationship Id="rId2746" Type="http://schemas.openxmlformats.org/officeDocument/2006/relationships/hyperlink" Target="http://www.wikidata.org/entity/Q125776794" TargetMode="External"/><Relationship Id="rId1416" Type="http://schemas.openxmlformats.org/officeDocument/2006/relationships/hyperlink" Target="http://www.wikidata.org/entity/Q131923924" TargetMode="External"/><Relationship Id="rId2747" Type="http://schemas.openxmlformats.org/officeDocument/2006/relationships/hyperlink" Target="http://www.wikidata.org/prop/direct/P463" TargetMode="External"/><Relationship Id="rId1417" Type="http://schemas.openxmlformats.org/officeDocument/2006/relationships/hyperlink" Target="http://www.wikidata.org/entity/Q131926511" TargetMode="External"/><Relationship Id="rId2748" Type="http://schemas.openxmlformats.org/officeDocument/2006/relationships/hyperlink" Target="http://www.wikidata.org/entity/Q125819387" TargetMode="External"/><Relationship Id="rId1418" Type="http://schemas.openxmlformats.org/officeDocument/2006/relationships/hyperlink" Target="http://www.wikidata.org/prop/direct/P108" TargetMode="External"/><Relationship Id="rId2749" Type="http://schemas.openxmlformats.org/officeDocument/2006/relationships/hyperlink" Target="http://www.wikidata.org/entity/Q119702334" TargetMode="External"/><Relationship Id="rId1419" Type="http://schemas.openxmlformats.org/officeDocument/2006/relationships/hyperlink" Target="http://www.wikidata.org/entity/Q119013873" TargetMode="External"/><Relationship Id="rId2740" Type="http://schemas.openxmlformats.org/officeDocument/2006/relationships/hyperlink" Target="http://www.wikidata.org/entity/Q47113423" TargetMode="External"/><Relationship Id="rId1410" Type="http://schemas.openxmlformats.org/officeDocument/2006/relationships/hyperlink" Target="http://www.wikidata.org/entity/Q41885755" TargetMode="External"/><Relationship Id="rId2741" Type="http://schemas.openxmlformats.org/officeDocument/2006/relationships/hyperlink" Target="http://www.wikidata.org/prop/direct/P108" TargetMode="External"/><Relationship Id="rId1400" Type="http://schemas.openxmlformats.org/officeDocument/2006/relationships/hyperlink" Target="http://www.wikidata.org/prop/direct/P69" TargetMode="External"/><Relationship Id="rId2731" Type="http://schemas.openxmlformats.org/officeDocument/2006/relationships/hyperlink" Target="http://www.wikidata.org/entity/Q336968" TargetMode="External"/><Relationship Id="rId1401" Type="http://schemas.openxmlformats.org/officeDocument/2006/relationships/hyperlink" Target="http://www.wikidata.org/entity/Q3515115" TargetMode="External"/><Relationship Id="rId2732" Type="http://schemas.openxmlformats.org/officeDocument/2006/relationships/hyperlink" Target="http://www.wikidata.org/prop/direct/P69" TargetMode="External"/><Relationship Id="rId1402" Type="http://schemas.openxmlformats.org/officeDocument/2006/relationships/hyperlink" Target="http://www.wikidata.org/entity/Q2746779" TargetMode="External"/><Relationship Id="rId2733" Type="http://schemas.openxmlformats.org/officeDocument/2006/relationships/hyperlink" Target="http://www.wikidata.org/entity/Q119621396" TargetMode="External"/><Relationship Id="rId1403" Type="http://schemas.openxmlformats.org/officeDocument/2006/relationships/hyperlink" Target="http://www.wikidata.org/prop/direct/P108" TargetMode="External"/><Relationship Id="rId2734" Type="http://schemas.openxmlformats.org/officeDocument/2006/relationships/hyperlink" Target="http://www.wikidata.org/entity/Q1867263" TargetMode="External"/><Relationship Id="rId1404" Type="http://schemas.openxmlformats.org/officeDocument/2006/relationships/hyperlink" Target="http://www.wikidata.org/entity/Q115825488" TargetMode="External"/><Relationship Id="rId2735" Type="http://schemas.openxmlformats.org/officeDocument/2006/relationships/hyperlink" Target="http://www.wikidata.org/prop/direct/P69" TargetMode="External"/><Relationship Id="rId1405" Type="http://schemas.openxmlformats.org/officeDocument/2006/relationships/hyperlink" Target="http://www.wikidata.org/entity/Q120653276" TargetMode="External"/><Relationship Id="rId2736" Type="http://schemas.openxmlformats.org/officeDocument/2006/relationships/hyperlink" Target="http://www.wikidata.org/entity/Q125819387" TargetMode="External"/><Relationship Id="rId1406" Type="http://schemas.openxmlformats.org/officeDocument/2006/relationships/hyperlink" Target="http://www.wikidata.org/prop/direct/P108" TargetMode="External"/><Relationship Id="rId2737" Type="http://schemas.openxmlformats.org/officeDocument/2006/relationships/hyperlink" Target="http://www.wikidata.org/entity/Q1867263" TargetMode="External"/><Relationship Id="rId1407" Type="http://schemas.openxmlformats.org/officeDocument/2006/relationships/hyperlink" Target="http://www.wikidata.org/entity/Q113675636" TargetMode="External"/><Relationship Id="rId2738" Type="http://schemas.openxmlformats.org/officeDocument/2006/relationships/hyperlink" Target="http://www.wikidata.org/prop/direct/P69" TargetMode="External"/><Relationship Id="rId1408" Type="http://schemas.openxmlformats.org/officeDocument/2006/relationships/hyperlink" Target="http://www.wikidata.org/entity/Q52380328" TargetMode="External"/><Relationship Id="rId2739" Type="http://schemas.openxmlformats.org/officeDocument/2006/relationships/hyperlink" Target="http://www.wikidata.org/entity/Q115982426" TargetMode="External"/><Relationship Id="rId1409" Type="http://schemas.openxmlformats.org/officeDocument/2006/relationships/hyperlink" Target="http://www.wikidata.org/prop/direct/P108" TargetMode="External"/><Relationship Id="rId2730" Type="http://schemas.openxmlformats.org/officeDocument/2006/relationships/hyperlink" Target="http://www.wikidata.org/entity/Q122842009" TargetMode="External"/><Relationship Id="rId1433" Type="http://schemas.openxmlformats.org/officeDocument/2006/relationships/hyperlink" Target="http://www.wikidata.org/prop/direct/P69" TargetMode="External"/><Relationship Id="rId2764" Type="http://schemas.openxmlformats.org/officeDocument/2006/relationships/hyperlink" Target="http://www.wikidata.org/entity/Q1867263" TargetMode="External"/><Relationship Id="rId1434" Type="http://schemas.openxmlformats.org/officeDocument/2006/relationships/hyperlink" Target="http://www.wikidata.org/entity/Q118555164" TargetMode="External"/><Relationship Id="rId2765" Type="http://schemas.openxmlformats.org/officeDocument/2006/relationships/hyperlink" Target="http://www.wikidata.org/prop/direct/P108" TargetMode="External"/><Relationship Id="rId1435" Type="http://schemas.openxmlformats.org/officeDocument/2006/relationships/hyperlink" Target="http://www.wikidata.org/entity/Q1942100" TargetMode="External"/><Relationship Id="rId2766" Type="http://schemas.openxmlformats.org/officeDocument/2006/relationships/hyperlink" Target="http://www.wikidata.org/entity/Q123742237" TargetMode="External"/><Relationship Id="rId1436" Type="http://schemas.openxmlformats.org/officeDocument/2006/relationships/hyperlink" Target="http://www.wikidata.org/prop/direct/P108" TargetMode="External"/><Relationship Id="rId2767" Type="http://schemas.openxmlformats.org/officeDocument/2006/relationships/hyperlink" Target="http://www.wikidata.org/entity/Q1864590" TargetMode="External"/><Relationship Id="rId1437" Type="http://schemas.openxmlformats.org/officeDocument/2006/relationships/hyperlink" Target="http://www.wikidata.org/entity/Q113675636" TargetMode="External"/><Relationship Id="rId2768" Type="http://schemas.openxmlformats.org/officeDocument/2006/relationships/hyperlink" Target="http://www.wikidata.org/prop/direct/P69" TargetMode="External"/><Relationship Id="rId1438" Type="http://schemas.openxmlformats.org/officeDocument/2006/relationships/hyperlink" Target="http://www.wikidata.org/entity/Q122898958" TargetMode="External"/><Relationship Id="rId2769" Type="http://schemas.openxmlformats.org/officeDocument/2006/relationships/hyperlink" Target="http://www.wikidata.org/entity/Q115836854" TargetMode="External"/><Relationship Id="rId1439" Type="http://schemas.openxmlformats.org/officeDocument/2006/relationships/hyperlink" Target="http://www.wikidata.org/prop/direct/P108" TargetMode="External"/><Relationship Id="rId609" Type="http://schemas.openxmlformats.org/officeDocument/2006/relationships/hyperlink" Target="http://www.wikidata.org/entity/Q2062803" TargetMode="External"/><Relationship Id="rId608" Type="http://schemas.openxmlformats.org/officeDocument/2006/relationships/hyperlink" Target="http://www.wikidata.org/prop/direct/P69" TargetMode="External"/><Relationship Id="rId607" Type="http://schemas.openxmlformats.org/officeDocument/2006/relationships/hyperlink" Target="http://www.wikidata.org/entity/Q125503330" TargetMode="External"/><Relationship Id="rId602" Type="http://schemas.openxmlformats.org/officeDocument/2006/relationships/hyperlink" Target="http://www.wikidata.org/prop/direct/P108" TargetMode="External"/><Relationship Id="rId601" Type="http://schemas.openxmlformats.org/officeDocument/2006/relationships/hyperlink" Target="http://www.wikidata.org/entity/Q50412149" TargetMode="External"/><Relationship Id="rId600" Type="http://schemas.openxmlformats.org/officeDocument/2006/relationships/hyperlink" Target="http://www.wikidata.org/entity/Q13575404" TargetMode="External"/><Relationship Id="rId606" Type="http://schemas.openxmlformats.org/officeDocument/2006/relationships/hyperlink" Target="http://www.wikidata.org/entity/Q2677198" TargetMode="External"/><Relationship Id="rId605" Type="http://schemas.openxmlformats.org/officeDocument/2006/relationships/hyperlink" Target="http://www.wikidata.org/prop/direct/P108" TargetMode="External"/><Relationship Id="rId604" Type="http://schemas.openxmlformats.org/officeDocument/2006/relationships/hyperlink" Target="http://www.wikidata.org/entity/Q47113423" TargetMode="External"/><Relationship Id="rId603" Type="http://schemas.openxmlformats.org/officeDocument/2006/relationships/hyperlink" Target="http://www.wikidata.org/entity/Q2099446" TargetMode="External"/><Relationship Id="rId2760" Type="http://schemas.openxmlformats.org/officeDocument/2006/relationships/hyperlink" Target="http://www.wikidata.org/entity/Q115807960" TargetMode="External"/><Relationship Id="rId1430" Type="http://schemas.openxmlformats.org/officeDocument/2006/relationships/hyperlink" Target="http://www.wikidata.org/prop/direct/P69" TargetMode="External"/><Relationship Id="rId2761" Type="http://schemas.openxmlformats.org/officeDocument/2006/relationships/hyperlink" Target="http://www.wikidata.org/entity/Q1867263" TargetMode="External"/><Relationship Id="rId1431" Type="http://schemas.openxmlformats.org/officeDocument/2006/relationships/hyperlink" Target="http://www.wikidata.org/entity/Q113675636" TargetMode="External"/><Relationship Id="rId2762" Type="http://schemas.openxmlformats.org/officeDocument/2006/relationships/hyperlink" Target="http://www.wikidata.org/prop/direct/P69" TargetMode="External"/><Relationship Id="rId1432" Type="http://schemas.openxmlformats.org/officeDocument/2006/relationships/hyperlink" Target="http://www.wikidata.org/entity/Q1867263" TargetMode="External"/><Relationship Id="rId2763" Type="http://schemas.openxmlformats.org/officeDocument/2006/relationships/hyperlink" Target="http://www.wikidata.org/entity/Q113731929" TargetMode="External"/><Relationship Id="rId1422" Type="http://schemas.openxmlformats.org/officeDocument/2006/relationships/hyperlink" Target="http://www.wikidata.org/entity/Q1286149" TargetMode="External"/><Relationship Id="rId2753" Type="http://schemas.openxmlformats.org/officeDocument/2006/relationships/hyperlink" Target="http://www.wikidata.org/prop/direct/P108" TargetMode="External"/><Relationship Id="rId1423" Type="http://schemas.openxmlformats.org/officeDocument/2006/relationships/hyperlink" Target="http://www.wikidata.org/entity/Q805285" TargetMode="External"/><Relationship Id="rId2754" Type="http://schemas.openxmlformats.org/officeDocument/2006/relationships/hyperlink" Target="http://www.wikidata.org/entity/Q115844668" TargetMode="External"/><Relationship Id="rId1424" Type="http://schemas.openxmlformats.org/officeDocument/2006/relationships/hyperlink" Target="http://www.wikidata.org/prop/direct/P69" TargetMode="External"/><Relationship Id="rId2755" Type="http://schemas.openxmlformats.org/officeDocument/2006/relationships/hyperlink" Target="http://www.wikidata.org/entity/Q113988734" TargetMode="External"/><Relationship Id="rId1425" Type="http://schemas.openxmlformats.org/officeDocument/2006/relationships/hyperlink" Target="http://www.wikidata.org/entity/Q661733" TargetMode="External"/><Relationship Id="rId2756" Type="http://schemas.openxmlformats.org/officeDocument/2006/relationships/hyperlink" Target="http://www.wikidata.org/prop/direct/P108" TargetMode="External"/><Relationship Id="rId1426" Type="http://schemas.openxmlformats.org/officeDocument/2006/relationships/hyperlink" Target="http://www.wikidata.org/entity/Q2642320" TargetMode="External"/><Relationship Id="rId2757" Type="http://schemas.openxmlformats.org/officeDocument/2006/relationships/hyperlink" Target="http://www.wikidata.org/entity/Q4865289" TargetMode="External"/><Relationship Id="rId1427" Type="http://schemas.openxmlformats.org/officeDocument/2006/relationships/hyperlink" Target="http://www.wikidata.org/prop/direct/P463" TargetMode="External"/><Relationship Id="rId2758" Type="http://schemas.openxmlformats.org/officeDocument/2006/relationships/hyperlink" Target="http://www.wikidata.org/entity/Q916458" TargetMode="External"/><Relationship Id="rId1428" Type="http://schemas.openxmlformats.org/officeDocument/2006/relationships/hyperlink" Target="http://www.wikidata.org/entity/Q1286149" TargetMode="External"/><Relationship Id="rId2759" Type="http://schemas.openxmlformats.org/officeDocument/2006/relationships/hyperlink" Target="http://www.wikidata.org/prop/direct/P69" TargetMode="External"/><Relationship Id="rId1429" Type="http://schemas.openxmlformats.org/officeDocument/2006/relationships/hyperlink" Target="http://www.wikidata.org/entity/Q81087" TargetMode="External"/><Relationship Id="rId2750" Type="http://schemas.openxmlformats.org/officeDocument/2006/relationships/hyperlink" Target="http://www.wikidata.org/prop/direct/P463" TargetMode="External"/><Relationship Id="rId1420" Type="http://schemas.openxmlformats.org/officeDocument/2006/relationships/hyperlink" Target="http://www.wikidata.org/entity/Q120922737" TargetMode="External"/><Relationship Id="rId2751" Type="http://schemas.openxmlformats.org/officeDocument/2006/relationships/hyperlink" Target="http://www.wikidata.org/entity/Q115982426" TargetMode="External"/><Relationship Id="rId1421" Type="http://schemas.openxmlformats.org/officeDocument/2006/relationships/hyperlink" Target="http://www.wikidata.org/prop/direct/P108" TargetMode="External"/><Relationship Id="rId2752" Type="http://schemas.openxmlformats.org/officeDocument/2006/relationships/hyperlink" Target="http://www.wikidata.org/entity/Q120999387" TargetMode="External"/><Relationship Id="rId699" Type="http://schemas.openxmlformats.org/officeDocument/2006/relationships/hyperlink" Target="http://www.wikidata.org/entity/Q975292" TargetMode="External"/><Relationship Id="rId698" Type="http://schemas.openxmlformats.org/officeDocument/2006/relationships/hyperlink" Target="http://www.wikidata.org/prop/direct/P69" TargetMode="External"/><Relationship Id="rId693" Type="http://schemas.openxmlformats.org/officeDocument/2006/relationships/hyperlink" Target="http://www.wikidata.org/entity/Q2099446" TargetMode="External"/><Relationship Id="rId692" Type="http://schemas.openxmlformats.org/officeDocument/2006/relationships/hyperlink" Target="http://www.wikidata.org/prop/direct/P69" TargetMode="External"/><Relationship Id="rId691" Type="http://schemas.openxmlformats.org/officeDocument/2006/relationships/hyperlink" Target="http://www.wikidata.org/entity/Q114232670" TargetMode="External"/><Relationship Id="rId690" Type="http://schemas.openxmlformats.org/officeDocument/2006/relationships/hyperlink" Target="http://www.wikidata.org/entity/Q2181847" TargetMode="External"/><Relationship Id="rId697" Type="http://schemas.openxmlformats.org/officeDocument/2006/relationships/hyperlink" Target="http://www.wikidata.org/entity/Q1867263" TargetMode="External"/><Relationship Id="rId696" Type="http://schemas.openxmlformats.org/officeDocument/2006/relationships/hyperlink" Target="http://www.wikidata.org/entity/Q120248482" TargetMode="External"/><Relationship Id="rId695" Type="http://schemas.openxmlformats.org/officeDocument/2006/relationships/hyperlink" Target="http://www.wikidata.org/prop/direct/P463" TargetMode="External"/><Relationship Id="rId694" Type="http://schemas.openxmlformats.org/officeDocument/2006/relationships/hyperlink" Target="http://www.wikidata.org/entity/Q2237463" TargetMode="External"/><Relationship Id="rId1499" Type="http://schemas.openxmlformats.org/officeDocument/2006/relationships/hyperlink" Target="http://www.wikidata.org/prop/direct/P108" TargetMode="External"/><Relationship Id="rId668" Type="http://schemas.openxmlformats.org/officeDocument/2006/relationships/hyperlink" Target="http://www.wikidata.org/prop/direct/P69" TargetMode="External"/><Relationship Id="rId667" Type="http://schemas.openxmlformats.org/officeDocument/2006/relationships/hyperlink" Target="http://www.wikidata.org/entity/Q2663876" TargetMode="External"/><Relationship Id="rId666" Type="http://schemas.openxmlformats.org/officeDocument/2006/relationships/hyperlink" Target="http://www.wikidata.org/entity/Q2154331" TargetMode="External"/><Relationship Id="rId665" Type="http://schemas.openxmlformats.org/officeDocument/2006/relationships/hyperlink" Target="http://www.wikidata.org/prop/direct/P69" TargetMode="External"/><Relationship Id="rId669" Type="http://schemas.openxmlformats.org/officeDocument/2006/relationships/hyperlink" Target="http://www.wikidata.org/entity/Q2050293" TargetMode="External"/><Relationship Id="rId1490" Type="http://schemas.openxmlformats.org/officeDocument/2006/relationships/hyperlink" Target="http://www.wikidata.org/prop/direct/P108" TargetMode="External"/><Relationship Id="rId660" Type="http://schemas.openxmlformats.org/officeDocument/2006/relationships/hyperlink" Target="http://www.wikidata.org/entity/Q116621811" TargetMode="External"/><Relationship Id="rId1491" Type="http://schemas.openxmlformats.org/officeDocument/2006/relationships/hyperlink" Target="http://www.wikidata.org/entity/Q3515115" TargetMode="External"/><Relationship Id="rId1492" Type="http://schemas.openxmlformats.org/officeDocument/2006/relationships/hyperlink" Target="http://www.wikidata.org/entity/Q42197335" TargetMode="External"/><Relationship Id="rId1493" Type="http://schemas.openxmlformats.org/officeDocument/2006/relationships/hyperlink" Target="http://www.wikidata.org/prop/direct/P463" TargetMode="External"/><Relationship Id="rId1494" Type="http://schemas.openxmlformats.org/officeDocument/2006/relationships/hyperlink" Target="http://www.wikidata.org/entity/Q41885755" TargetMode="External"/><Relationship Id="rId664" Type="http://schemas.openxmlformats.org/officeDocument/2006/relationships/hyperlink" Target="http://www.wikidata.org/entity/Q2185331" TargetMode="External"/><Relationship Id="rId1495" Type="http://schemas.openxmlformats.org/officeDocument/2006/relationships/hyperlink" Target="http://www.wikidata.org/entity/Q644789" TargetMode="External"/><Relationship Id="rId663" Type="http://schemas.openxmlformats.org/officeDocument/2006/relationships/hyperlink" Target="http://www.wikidata.org/entity/Q1978131" TargetMode="External"/><Relationship Id="rId1496" Type="http://schemas.openxmlformats.org/officeDocument/2006/relationships/hyperlink" Target="http://www.wikidata.org/prop/direct/P69" TargetMode="External"/><Relationship Id="rId662" Type="http://schemas.openxmlformats.org/officeDocument/2006/relationships/hyperlink" Target="http://www.wikidata.org/prop/direct/P69" TargetMode="External"/><Relationship Id="rId1497" Type="http://schemas.openxmlformats.org/officeDocument/2006/relationships/hyperlink" Target="http://www.wikidata.org/entity/Q3515115" TargetMode="External"/><Relationship Id="rId661" Type="http://schemas.openxmlformats.org/officeDocument/2006/relationships/hyperlink" Target="http://www.wikidata.org/entity/Q2562388" TargetMode="External"/><Relationship Id="rId1498" Type="http://schemas.openxmlformats.org/officeDocument/2006/relationships/hyperlink" Target="http://www.wikidata.org/entity/Q1471477" TargetMode="External"/><Relationship Id="rId1488" Type="http://schemas.openxmlformats.org/officeDocument/2006/relationships/hyperlink" Target="http://www.wikidata.org/entity/Q3450211" TargetMode="External"/><Relationship Id="rId1489" Type="http://schemas.openxmlformats.org/officeDocument/2006/relationships/hyperlink" Target="http://www.wikidata.org/entity/Q2191260" TargetMode="External"/><Relationship Id="rId657" Type="http://schemas.openxmlformats.org/officeDocument/2006/relationships/hyperlink" Target="http://www.wikidata.org/entity/Q1894475" TargetMode="External"/><Relationship Id="rId656" Type="http://schemas.openxmlformats.org/officeDocument/2006/relationships/hyperlink" Target="http://www.wikidata.org/prop/direct/P463" TargetMode="External"/><Relationship Id="rId655" Type="http://schemas.openxmlformats.org/officeDocument/2006/relationships/hyperlink" Target="http://www.wikidata.org/entity/Q2237463" TargetMode="External"/><Relationship Id="rId654" Type="http://schemas.openxmlformats.org/officeDocument/2006/relationships/hyperlink" Target="http://www.wikidata.org/entity/Q1920135" TargetMode="External"/><Relationship Id="rId659" Type="http://schemas.openxmlformats.org/officeDocument/2006/relationships/hyperlink" Target="http://www.wikidata.org/prop/direct/P463" TargetMode="External"/><Relationship Id="rId658" Type="http://schemas.openxmlformats.org/officeDocument/2006/relationships/hyperlink" Target="http://www.wikidata.org/entity/Q2124852" TargetMode="External"/><Relationship Id="rId1480" Type="http://schemas.openxmlformats.org/officeDocument/2006/relationships/hyperlink" Target="http://www.wikidata.org/entity/Q644789" TargetMode="External"/><Relationship Id="rId1481" Type="http://schemas.openxmlformats.org/officeDocument/2006/relationships/hyperlink" Target="http://www.wikidata.org/prop/direct/P69" TargetMode="External"/><Relationship Id="rId1482" Type="http://schemas.openxmlformats.org/officeDocument/2006/relationships/hyperlink" Target="http://www.wikidata.org/entity/Q118136722" TargetMode="External"/><Relationship Id="rId1483" Type="http://schemas.openxmlformats.org/officeDocument/2006/relationships/hyperlink" Target="http://www.wikidata.org/entity/Q2479554" TargetMode="External"/><Relationship Id="rId653" Type="http://schemas.openxmlformats.org/officeDocument/2006/relationships/hyperlink" Target="http://www.wikidata.org/prop/direct/P69" TargetMode="External"/><Relationship Id="rId1484" Type="http://schemas.openxmlformats.org/officeDocument/2006/relationships/hyperlink" Target="http://www.wikidata.org/prop/direct/P69" TargetMode="External"/><Relationship Id="rId652" Type="http://schemas.openxmlformats.org/officeDocument/2006/relationships/hyperlink" Target="http://www.wikidata.org/entity/Q1334582" TargetMode="External"/><Relationship Id="rId1485" Type="http://schemas.openxmlformats.org/officeDocument/2006/relationships/hyperlink" Target="http://www.wikidata.org/entity/Q1286149" TargetMode="External"/><Relationship Id="rId651" Type="http://schemas.openxmlformats.org/officeDocument/2006/relationships/hyperlink" Target="http://www.wikidata.org/entity/Q2134167" TargetMode="External"/><Relationship Id="rId1486" Type="http://schemas.openxmlformats.org/officeDocument/2006/relationships/hyperlink" Target="http://www.wikidata.org/entity/Q1247373" TargetMode="External"/><Relationship Id="rId650" Type="http://schemas.openxmlformats.org/officeDocument/2006/relationships/hyperlink" Target="http://www.wikidata.org/prop/direct/P69" TargetMode="External"/><Relationship Id="rId1487" Type="http://schemas.openxmlformats.org/officeDocument/2006/relationships/hyperlink" Target="http://www.wikidata.org/prop/direct/P69" TargetMode="External"/><Relationship Id="rId689" Type="http://schemas.openxmlformats.org/officeDocument/2006/relationships/hyperlink" Target="http://www.wikidata.org/prop/direct/P463" TargetMode="External"/><Relationship Id="rId688" Type="http://schemas.openxmlformats.org/officeDocument/2006/relationships/hyperlink" Target="http://www.wikidata.org/entity/Q2690997" TargetMode="External"/><Relationship Id="rId687" Type="http://schemas.openxmlformats.org/officeDocument/2006/relationships/hyperlink" Target="http://www.wikidata.org/entity/Q2181847" TargetMode="External"/><Relationship Id="rId682" Type="http://schemas.openxmlformats.org/officeDocument/2006/relationships/hyperlink" Target="http://www.wikidata.org/entity/Q45031341" TargetMode="External"/><Relationship Id="rId681" Type="http://schemas.openxmlformats.org/officeDocument/2006/relationships/hyperlink" Target="http://www.wikidata.org/entity/Q115823191" TargetMode="External"/><Relationship Id="rId680" Type="http://schemas.openxmlformats.org/officeDocument/2006/relationships/hyperlink" Target="http://www.wikidata.org/prop/direct/P69" TargetMode="External"/><Relationship Id="rId686" Type="http://schemas.openxmlformats.org/officeDocument/2006/relationships/hyperlink" Target="http://www.wikidata.org/prop/direct/P69" TargetMode="External"/><Relationship Id="rId685" Type="http://schemas.openxmlformats.org/officeDocument/2006/relationships/hyperlink" Target="http://www.wikidata.org/entity/Q2479554" TargetMode="External"/><Relationship Id="rId684" Type="http://schemas.openxmlformats.org/officeDocument/2006/relationships/hyperlink" Target="http://www.wikidata.org/entity/Q2154331" TargetMode="External"/><Relationship Id="rId683" Type="http://schemas.openxmlformats.org/officeDocument/2006/relationships/hyperlink" Target="http://www.wikidata.org/prop/direct/P108" TargetMode="External"/><Relationship Id="rId679" Type="http://schemas.openxmlformats.org/officeDocument/2006/relationships/hyperlink" Target="http://www.wikidata.org/entity/Q644789" TargetMode="External"/><Relationship Id="rId678" Type="http://schemas.openxmlformats.org/officeDocument/2006/relationships/hyperlink" Target="http://www.wikidata.org/entity/Q2181847" TargetMode="External"/><Relationship Id="rId677" Type="http://schemas.openxmlformats.org/officeDocument/2006/relationships/hyperlink" Target="http://www.wikidata.org/prop/direct/P69" TargetMode="External"/><Relationship Id="rId676" Type="http://schemas.openxmlformats.org/officeDocument/2006/relationships/hyperlink" Target="http://www.wikidata.org/entity/Q336968" TargetMode="External"/><Relationship Id="rId671" Type="http://schemas.openxmlformats.org/officeDocument/2006/relationships/hyperlink" Target="http://www.wikidata.org/prop/direct/P463" TargetMode="External"/><Relationship Id="rId670" Type="http://schemas.openxmlformats.org/officeDocument/2006/relationships/hyperlink" Target="http://www.wikidata.org/entity/Q118744262" TargetMode="External"/><Relationship Id="rId675" Type="http://schemas.openxmlformats.org/officeDocument/2006/relationships/hyperlink" Target="http://www.wikidata.org/entity/Q2059291" TargetMode="External"/><Relationship Id="rId674" Type="http://schemas.openxmlformats.org/officeDocument/2006/relationships/hyperlink" Target="http://www.wikidata.org/prop/direct/P69" TargetMode="External"/><Relationship Id="rId673" Type="http://schemas.openxmlformats.org/officeDocument/2006/relationships/hyperlink" Target="http://www.wikidata.org/entity/Q2663876" TargetMode="External"/><Relationship Id="rId672" Type="http://schemas.openxmlformats.org/officeDocument/2006/relationships/hyperlink" Target="http://www.wikidata.org/entity/Q119040262" TargetMode="External"/><Relationship Id="rId190" Type="http://schemas.openxmlformats.org/officeDocument/2006/relationships/hyperlink" Target="http://www.wikidata.org/entity/Q2690997" TargetMode="External"/><Relationship Id="rId194" Type="http://schemas.openxmlformats.org/officeDocument/2006/relationships/hyperlink" Target="http://www.wikidata.org/prop/direct/P108" TargetMode="External"/><Relationship Id="rId193" Type="http://schemas.openxmlformats.org/officeDocument/2006/relationships/hyperlink" Target="http://www.wikidata.org/entity/Q2480833" TargetMode="External"/><Relationship Id="rId192" Type="http://schemas.openxmlformats.org/officeDocument/2006/relationships/hyperlink" Target="http://www.wikidata.org/entity/Q115840234" TargetMode="External"/><Relationship Id="rId191" Type="http://schemas.openxmlformats.org/officeDocument/2006/relationships/hyperlink" Target="http://www.wikidata.org/prop/direct/P463" TargetMode="External"/><Relationship Id="rId187" Type="http://schemas.openxmlformats.org/officeDocument/2006/relationships/hyperlink" Target="http://www.wikidata.org/entity/Q2018402" TargetMode="External"/><Relationship Id="rId186" Type="http://schemas.openxmlformats.org/officeDocument/2006/relationships/hyperlink" Target="http://www.wikidata.org/entity/Q115818424" TargetMode="External"/><Relationship Id="rId185" Type="http://schemas.openxmlformats.org/officeDocument/2006/relationships/hyperlink" Target="http://www.wikidata.org/prop/direct/P69" TargetMode="External"/><Relationship Id="rId184" Type="http://schemas.openxmlformats.org/officeDocument/2006/relationships/hyperlink" Target="http://www.wikidata.org/entity/Q2479554" TargetMode="External"/><Relationship Id="rId189" Type="http://schemas.openxmlformats.org/officeDocument/2006/relationships/hyperlink" Target="http://www.wikidata.org/entity/Q115979140" TargetMode="External"/><Relationship Id="rId188" Type="http://schemas.openxmlformats.org/officeDocument/2006/relationships/hyperlink" Target="http://www.wikidata.org/prop/direct/P108" TargetMode="External"/><Relationship Id="rId183" Type="http://schemas.openxmlformats.org/officeDocument/2006/relationships/hyperlink" Target="http://www.wikidata.org/entity/Q115979994" TargetMode="External"/><Relationship Id="rId182" Type="http://schemas.openxmlformats.org/officeDocument/2006/relationships/hyperlink" Target="http://www.wikidata.org/prop/direct/P69" TargetMode="External"/><Relationship Id="rId181" Type="http://schemas.openxmlformats.org/officeDocument/2006/relationships/hyperlink" Target="http://www.wikidata.org/entity/Q2479554" TargetMode="External"/><Relationship Id="rId180" Type="http://schemas.openxmlformats.org/officeDocument/2006/relationships/hyperlink" Target="http://www.wikidata.org/entity/Q115839360" TargetMode="External"/><Relationship Id="rId176" Type="http://schemas.openxmlformats.org/officeDocument/2006/relationships/hyperlink" Target="http://www.wikidata.org/prop/direct/P108" TargetMode="External"/><Relationship Id="rId175" Type="http://schemas.openxmlformats.org/officeDocument/2006/relationships/hyperlink" Target="http://www.wikidata.org/entity/Q3977338" TargetMode="External"/><Relationship Id="rId174" Type="http://schemas.openxmlformats.org/officeDocument/2006/relationships/hyperlink" Target="http://www.wikidata.org/entity/Q115818168" TargetMode="External"/><Relationship Id="rId173" Type="http://schemas.openxmlformats.org/officeDocument/2006/relationships/hyperlink" Target="http://www.wikidata.org/prop/direct/P108" TargetMode="External"/><Relationship Id="rId179" Type="http://schemas.openxmlformats.org/officeDocument/2006/relationships/hyperlink" Target="http://www.wikidata.org/prop/direct/P108" TargetMode="External"/><Relationship Id="rId178" Type="http://schemas.openxmlformats.org/officeDocument/2006/relationships/hyperlink" Target="http://www.wikidata.org/entity/Q113988734" TargetMode="External"/><Relationship Id="rId177" Type="http://schemas.openxmlformats.org/officeDocument/2006/relationships/hyperlink" Target="http://www.wikidata.org/entity/Q115979130" TargetMode="External"/><Relationship Id="rId198" Type="http://schemas.openxmlformats.org/officeDocument/2006/relationships/hyperlink" Target="http://www.wikidata.org/entity/Q115982545" TargetMode="External"/><Relationship Id="rId197" Type="http://schemas.openxmlformats.org/officeDocument/2006/relationships/hyperlink" Target="http://www.wikidata.org/prop/direct/P108" TargetMode="External"/><Relationship Id="rId196" Type="http://schemas.openxmlformats.org/officeDocument/2006/relationships/hyperlink" Target="http://www.wikidata.org/entity/Q2479554" TargetMode="External"/><Relationship Id="rId195" Type="http://schemas.openxmlformats.org/officeDocument/2006/relationships/hyperlink" Target="http://www.wikidata.org/entity/Q115830433" TargetMode="External"/><Relationship Id="rId199" Type="http://schemas.openxmlformats.org/officeDocument/2006/relationships/hyperlink" Target="http://www.wikidata.org/entity/Q118369084" TargetMode="External"/><Relationship Id="rId150" Type="http://schemas.openxmlformats.org/officeDocument/2006/relationships/hyperlink" Target="http://www.wikidata.org/entity/Q115979140" TargetMode="External"/><Relationship Id="rId149" Type="http://schemas.openxmlformats.org/officeDocument/2006/relationships/hyperlink" Target="http://www.wikidata.org/prop/direct/P69" TargetMode="External"/><Relationship Id="rId148" Type="http://schemas.openxmlformats.org/officeDocument/2006/relationships/hyperlink" Target="http://www.wikidata.org/entity/Q118464788" TargetMode="External"/><Relationship Id="rId143" Type="http://schemas.openxmlformats.org/officeDocument/2006/relationships/hyperlink" Target="http://www.wikidata.org/prop/direct/P69" TargetMode="External"/><Relationship Id="rId142" Type="http://schemas.openxmlformats.org/officeDocument/2006/relationships/hyperlink" Target="http://www.wikidata.org/entity/Q1867263" TargetMode="External"/><Relationship Id="rId141" Type="http://schemas.openxmlformats.org/officeDocument/2006/relationships/hyperlink" Target="http://www.wikidata.org/entity/Q115830433" TargetMode="External"/><Relationship Id="rId140" Type="http://schemas.openxmlformats.org/officeDocument/2006/relationships/hyperlink" Target="http://www.wikidata.org/prop/direct/P69" TargetMode="External"/><Relationship Id="rId147" Type="http://schemas.openxmlformats.org/officeDocument/2006/relationships/hyperlink" Target="http://www.wikidata.org/entity/Q115831509" TargetMode="External"/><Relationship Id="rId146" Type="http://schemas.openxmlformats.org/officeDocument/2006/relationships/hyperlink" Target="http://www.wikidata.org/prop/direct/P108" TargetMode="External"/><Relationship Id="rId145" Type="http://schemas.openxmlformats.org/officeDocument/2006/relationships/hyperlink" Target="http://www.wikidata.org/entity/Q1867263" TargetMode="External"/><Relationship Id="rId144" Type="http://schemas.openxmlformats.org/officeDocument/2006/relationships/hyperlink" Target="http://www.wikidata.org/entity/Q115830433" TargetMode="External"/><Relationship Id="rId139" Type="http://schemas.openxmlformats.org/officeDocument/2006/relationships/hyperlink" Target="http://www.wikidata.org/entity/Q2479554" TargetMode="External"/><Relationship Id="rId138" Type="http://schemas.openxmlformats.org/officeDocument/2006/relationships/hyperlink" Target="http://www.wikidata.org/entity/Q115979418" TargetMode="External"/><Relationship Id="rId137" Type="http://schemas.openxmlformats.org/officeDocument/2006/relationships/hyperlink" Target="http://www.wikidata.org/prop/direct/P69" TargetMode="External"/><Relationship Id="rId132" Type="http://schemas.openxmlformats.org/officeDocument/2006/relationships/hyperlink" Target="http://www.wikidata.org/entity/Q115820195" TargetMode="External"/><Relationship Id="rId131" Type="http://schemas.openxmlformats.org/officeDocument/2006/relationships/hyperlink" Target="http://www.wikidata.org/prop/direct/P69" TargetMode="External"/><Relationship Id="rId130" Type="http://schemas.openxmlformats.org/officeDocument/2006/relationships/hyperlink" Target="http://www.wikidata.org/entity/Q1867263" TargetMode="External"/><Relationship Id="rId136" Type="http://schemas.openxmlformats.org/officeDocument/2006/relationships/hyperlink" Target="http://www.wikidata.org/entity/Q119853947" TargetMode="External"/><Relationship Id="rId135" Type="http://schemas.openxmlformats.org/officeDocument/2006/relationships/hyperlink" Target="http://www.wikidata.org/entity/Q115829623" TargetMode="External"/><Relationship Id="rId134" Type="http://schemas.openxmlformats.org/officeDocument/2006/relationships/hyperlink" Target="http://www.wikidata.org/prop/direct/P108" TargetMode="External"/><Relationship Id="rId133" Type="http://schemas.openxmlformats.org/officeDocument/2006/relationships/hyperlink" Target="http://www.wikidata.org/entity/Q118388831" TargetMode="External"/><Relationship Id="rId172" Type="http://schemas.openxmlformats.org/officeDocument/2006/relationships/hyperlink" Target="http://www.wikidata.org/entity/Q2663876" TargetMode="External"/><Relationship Id="rId171" Type="http://schemas.openxmlformats.org/officeDocument/2006/relationships/hyperlink" Target="http://www.wikidata.org/entity/Q115834834" TargetMode="External"/><Relationship Id="rId170" Type="http://schemas.openxmlformats.org/officeDocument/2006/relationships/hyperlink" Target="http://www.wikidata.org/prop/direct/P108" TargetMode="External"/><Relationship Id="rId165" Type="http://schemas.openxmlformats.org/officeDocument/2006/relationships/hyperlink" Target="http://www.wikidata.org/entity/Q115818849" TargetMode="External"/><Relationship Id="rId164" Type="http://schemas.openxmlformats.org/officeDocument/2006/relationships/hyperlink" Target="http://www.wikidata.org/prop/direct/P108" TargetMode="External"/><Relationship Id="rId163" Type="http://schemas.openxmlformats.org/officeDocument/2006/relationships/hyperlink" Target="http://www.wikidata.org/entity/Q15882061" TargetMode="External"/><Relationship Id="rId162" Type="http://schemas.openxmlformats.org/officeDocument/2006/relationships/hyperlink" Target="http://www.wikidata.org/entity/Q115982548" TargetMode="External"/><Relationship Id="rId169" Type="http://schemas.openxmlformats.org/officeDocument/2006/relationships/hyperlink" Target="http://www.wikidata.org/entity/Q118369334" TargetMode="External"/><Relationship Id="rId168" Type="http://schemas.openxmlformats.org/officeDocument/2006/relationships/hyperlink" Target="http://www.wikidata.org/entity/Q115981938" TargetMode="External"/><Relationship Id="rId167" Type="http://schemas.openxmlformats.org/officeDocument/2006/relationships/hyperlink" Target="http://www.wikidata.org/prop/direct/P108" TargetMode="External"/><Relationship Id="rId166" Type="http://schemas.openxmlformats.org/officeDocument/2006/relationships/hyperlink" Target="http://www.wikidata.org/entity/Q2663876" TargetMode="External"/><Relationship Id="rId161" Type="http://schemas.openxmlformats.org/officeDocument/2006/relationships/hyperlink" Target="http://www.wikidata.org/prop/direct/P108" TargetMode="External"/><Relationship Id="rId160" Type="http://schemas.openxmlformats.org/officeDocument/2006/relationships/hyperlink" Target="http://www.wikidata.org/entity/Q2663876" TargetMode="External"/><Relationship Id="rId159" Type="http://schemas.openxmlformats.org/officeDocument/2006/relationships/hyperlink" Target="http://www.wikidata.org/entity/Q115979994" TargetMode="External"/><Relationship Id="rId154" Type="http://schemas.openxmlformats.org/officeDocument/2006/relationships/hyperlink" Target="http://www.wikidata.org/entity/Q1867263" TargetMode="External"/><Relationship Id="rId153" Type="http://schemas.openxmlformats.org/officeDocument/2006/relationships/hyperlink" Target="http://www.wikidata.org/entity/Q115819088" TargetMode="External"/><Relationship Id="rId152" Type="http://schemas.openxmlformats.org/officeDocument/2006/relationships/hyperlink" Target="http://www.wikidata.org/prop/direct/P108" TargetMode="External"/><Relationship Id="rId151" Type="http://schemas.openxmlformats.org/officeDocument/2006/relationships/hyperlink" Target="http://www.wikidata.org/entity/Q2018402" TargetMode="External"/><Relationship Id="rId158" Type="http://schemas.openxmlformats.org/officeDocument/2006/relationships/hyperlink" Target="http://www.wikidata.org/prop/direct/P108" TargetMode="External"/><Relationship Id="rId157" Type="http://schemas.openxmlformats.org/officeDocument/2006/relationships/hyperlink" Target="http://www.wikidata.org/entity/Q2663876" TargetMode="External"/><Relationship Id="rId156" Type="http://schemas.openxmlformats.org/officeDocument/2006/relationships/hyperlink" Target="http://www.wikidata.org/entity/Q115839360" TargetMode="External"/><Relationship Id="rId155" Type="http://schemas.openxmlformats.org/officeDocument/2006/relationships/hyperlink" Target="http://www.wikidata.org/prop/direct/P69" TargetMode="External"/><Relationship Id="rId2820" Type="http://schemas.openxmlformats.org/officeDocument/2006/relationships/hyperlink" Target="http://www.wikidata.org/entity/Q115811038" TargetMode="External"/><Relationship Id="rId2821" Type="http://schemas.openxmlformats.org/officeDocument/2006/relationships/hyperlink" Target="http://www.wikidata.org/entity/Q1867263" TargetMode="External"/><Relationship Id="rId2822" Type="http://schemas.openxmlformats.org/officeDocument/2006/relationships/hyperlink" Target="http://www.wikidata.org/prop/direct/P69" TargetMode="External"/><Relationship Id="rId2823" Type="http://schemas.openxmlformats.org/officeDocument/2006/relationships/hyperlink" Target="http://www.wikidata.org/entity/Q110039170" TargetMode="External"/><Relationship Id="rId2824" Type="http://schemas.openxmlformats.org/officeDocument/2006/relationships/hyperlink" Target="http://www.wikidata.org/entity/Q2663876" TargetMode="External"/><Relationship Id="rId2825" Type="http://schemas.openxmlformats.org/officeDocument/2006/relationships/hyperlink" Target="http://www.wikidata.org/prop/direct/P108" TargetMode="External"/><Relationship Id="rId2826" Type="http://schemas.openxmlformats.org/officeDocument/2006/relationships/hyperlink" Target="http://www.wikidata.org/entity/Q2770967" TargetMode="External"/><Relationship Id="rId2827" Type="http://schemas.openxmlformats.org/officeDocument/2006/relationships/hyperlink" Target="http://www.wikidata.org/entity/Q1867263" TargetMode="External"/><Relationship Id="rId2828" Type="http://schemas.openxmlformats.org/officeDocument/2006/relationships/hyperlink" Target="http://www.wikidata.org/prop/direct/P108" TargetMode="External"/><Relationship Id="rId2829" Type="http://schemas.openxmlformats.org/officeDocument/2006/relationships/hyperlink" Target="http://www.wikidata.org/entity/Q322106" TargetMode="External"/><Relationship Id="rId2810" Type="http://schemas.openxmlformats.org/officeDocument/2006/relationships/hyperlink" Target="http://www.wikidata.org/prop/direct/P69" TargetMode="External"/><Relationship Id="rId2811" Type="http://schemas.openxmlformats.org/officeDocument/2006/relationships/hyperlink" Target="http://www.wikidata.org/entity/Q110039361" TargetMode="External"/><Relationship Id="rId2812" Type="http://schemas.openxmlformats.org/officeDocument/2006/relationships/hyperlink" Target="http://www.wikidata.org/entity/Q125919486" TargetMode="External"/><Relationship Id="rId2813" Type="http://schemas.openxmlformats.org/officeDocument/2006/relationships/hyperlink" Target="http://www.wikidata.org/prop/direct/P108" TargetMode="External"/><Relationship Id="rId2814" Type="http://schemas.openxmlformats.org/officeDocument/2006/relationships/hyperlink" Target="http://www.wikidata.org/entity/Q115980044" TargetMode="External"/><Relationship Id="rId2815" Type="http://schemas.openxmlformats.org/officeDocument/2006/relationships/hyperlink" Target="http://www.wikidata.org/entity/Q2237527" TargetMode="External"/><Relationship Id="rId2816" Type="http://schemas.openxmlformats.org/officeDocument/2006/relationships/hyperlink" Target="http://www.wikidata.org/prop/direct/P69" TargetMode="External"/><Relationship Id="rId2817" Type="http://schemas.openxmlformats.org/officeDocument/2006/relationships/hyperlink" Target="http://www.wikidata.org/entity/Q110039361" TargetMode="External"/><Relationship Id="rId2818" Type="http://schemas.openxmlformats.org/officeDocument/2006/relationships/hyperlink" Target="http://www.wikidata.org/entity/Q95909676" TargetMode="External"/><Relationship Id="rId2819" Type="http://schemas.openxmlformats.org/officeDocument/2006/relationships/hyperlink" Target="http://www.wikidata.org/prop/direct/P108" TargetMode="External"/><Relationship Id="rId1510" Type="http://schemas.openxmlformats.org/officeDocument/2006/relationships/hyperlink" Target="http://www.wikidata.org/entity/Q118213723" TargetMode="External"/><Relationship Id="rId2841" Type="http://schemas.openxmlformats.org/officeDocument/2006/relationships/hyperlink" Target="http://www.wikidata.org/entity/Q115811038" TargetMode="External"/><Relationship Id="rId1511" Type="http://schemas.openxmlformats.org/officeDocument/2006/relationships/hyperlink" Target="http://www.wikidata.org/prop/direct/P108" TargetMode="External"/><Relationship Id="rId2842" Type="http://schemas.openxmlformats.org/officeDocument/2006/relationships/hyperlink" Target="http://www.wikidata.org/entity/Q119702334" TargetMode="External"/><Relationship Id="rId1512" Type="http://schemas.openxmlformats.org/officeDocument/2006/relationships/hyperlink" Target="http://www.wikidata.org/entity/Q118289639" TargetMode="External"/><Relationship Id="rId2843" Type="http://schemas.openxmlformats.org/officeDocument/2006/relationships/hyperlink" Target="http://www.wikidata.org/prop/direct/P463" TargetMode="External"/><Relationship Id="rId1513" Type="http://schemas.openxmlformats.org/officeDocument/2006/relationships/hyperlink" Target="http://www.wikidata.org/entity/Q118220602" TargetMode="External"/><Relationship Id="rId2844" Type="http://schemas.openxmlformats.org/officeDocument/2006/relationships/hyperlink" Target="http://www.wikidata.org/entity/Q2332586" TargetMode="External"/><Relationship Id="rId1514" Type="http://schemas.openxmlformats.org/officeDocument/2006/relationships/hyperlink" Target="http://www.wikidata.org/prop/direct/P108" TargetMode="External"/><Relationship Id="rId2845" Type="http://schemas.openxmlformats.org/officeDocument/2006/relationships/hyperlink" Target="http://www.wikidata.org/entity/Q114232670" TargetMode="External"/><Relationship Id="rId1515" Type="http://schemas.openxmlformats.org/officeDocument/2006/relationships/hyperlink" Target="http://www.wikidata.org/entity/Q115825488" TargetMode="External"/><Relationship Id="rId2846" Type="http://schemas.openxmlformats.org/officeDocument/2006/relationships/hyperlink" Target="http://www.wikidata.org/prop/direct/P69" TargetMode="External"/><Relationship Id="rId1516" Type="http://schemas.openxmlformats.org/officeDocument/2006/relationships/hyperlink" Target="http://www.wikidata.org/entity/Q2185331" TargetMode="External"/><Relationship Id="rId2847" Type="http://schemas.openxmlformats.org/officeDocument/2006/relationships/hyperlink" Target="http://www.wikidata.org/entity/Q110039361" TargetMode="External"/><Relationship Id="rId1517" Type="http://schemas.openxmlformats.org/officeDocument/2006/relationships/hyperlink" Target="http://www.wikidata.org/prop/direct/P69" TargetMode="External"/><Relationship Id="rId2848" Type="http://schemas.openxmlformats.org/officeDocument/2006/relationships/hyperlink" Target="http://www.wikidata.org/entity/Q2000918" TargetMode="External"/><Relationship Id="rId1518" Type="http://schemas.openxmlformats.org/officeDocument/2006/relationships/hyperlink" Target="http://www.wikidata.org/entity/Q115825488" TargetMode="External"/><Relationship Id="rId2849" Type="http://schemas.openxmlformats.org/officeDocument/2006/relationships/hyperlink" Target="http://www.wikidata.org/prop/direct/P108" TargetMode="External"/><Relationship Id="rId1519" Type="http://schemas.openxmlformats.org/officeDocument/2006/relationships/hyperlink" Target="http://www.wikidata.org/entity/Q2185331" TargetMode="External"/><Relationship Id="rId2840" Type="http://schemas.openxmlformats.org/officeDocument/2006/relationships/hyperlink" Target="http://www.wikidata.org/prop/direct/P108" TargetMode="External"/><Relationship Id="rId2830" Type="http://schemas.openxmlformats.org/officeDocument/2006/relationships/hyperlink" Target="http://www.wikidata.org/entity/Q35794" TargetMode="External"/><Relationship Id="rId1500" Type="http://schemas.openxmlformats.org/officeDocument/2006/relationships/hyperlink" Target="http://www.wikidata.org/entity/Q120999228" TargetMode="External"/><Relationship Id="rId2831" Type="http://schemas.openxmlformats.org/officeDocument/2006/relationships/hyperlink" Target="http://www.wikidata.org/prop/direct/P69" TargetMode="External"/><Relationship Id="rId1501" Type="http://schemas.openxmlformats.org/officeDocument/2006/relationships/hyperlink" Target="http://www.wikidata.org/entity/Q13924486" TargetMode="External"/><Relationship Id="rId2832" Type="http://schemas.openxmlformats.org/officeDocument/2006/relationships/hyperlink" Target="http://www.wikidata.org/entity/Q322106" TargetMode="External"/><Relationship Id="rId1502" Type="http://schemas.openxmlformats.org/officeDocument/2006/relationships/hyperlink" Target="http://www.wikidata.org/prop/direct/P108" TargetMode="External"/><Relationship Id="rId2833" Type="http://schemas.openxmlformats.org/officeDocument/2006/relationships/hyperlink" Target="http://www.wikidata.org/entity/Q35794" TargetMode="External"/><Relationship Id="rId1503" Type="http://schemas.openxmlformats.org/officeDocument/2006/relationships/hyperlink" Target="http://www.wikidata.org/entity/Q118289639" TargetMode="External"/><Relationship Id="rId2834" Type="http://schemas.openxmlformats.org/officeDocument/2006/relationships/hyperlink" Target="http://www.wikidata.org/prop/direct/P108" TargetMode="External"/><Relationship Id="rId1504" Type="http://schemas.openxmlformats.org/officeDocument/2006/relationships/hyperlink" Target="http://www.wikidata.org/entity/Q118192664" TargetMode="External"/><Relationship Id="rId2835" Type="http://schemas.openxmlformats.org/officeDocument/2006/relationships/hyperlink" Target="http://www.wikidata.org/entity/Q5580544" TargetMode="External"/><Relationship Id="rId1505" Type="http://schemas.openxmlformats.org/officeDocument/2006/relationships/hyperlink" Target="http://www.wikidata.org/prop/direct/P108" TargetMode="External"/><Relationship Id="rId2836" Type="http://schemas.openxmlformats.org/officeDocument/2006/relationships/hyperlink" Target="http://www.wikidata.org/entity/Q253439" TargetMode="External"/><Relationship Id="rId1506" Type="http://schemas.openxmlformats.org/officeDocument/2006/relationships/hyperlink" Target="http://www.wikidata.org/entity/Q118289639" TargetMode="External"/><Relationship Id="rId2837" Type="http://schemas.openxmlformats.org/officeDocument/2006/relationships/hyperlink" Target="http://www.wikidata.org/prop/direct/P463" TargetMode="External"/><Relationship Id="rId1507" Type="http://schemas.openxmlformats.org/officeDocument/2006/relationships/hyperlink" Target="http://www.wikidata.org/entity/Q118197697" TargetMode="External"/><Relationship Id="rId2838" Type="http://schemas.openxmlformats.org/officeDocument/2006/relationships/hyperlink" Target="http://www.wikidata.org/entity/Q115811038" TargetMode="External"/><Relationship Id="rId1508" Type="http://schemas.openxmlformats.org/officeDocument/2006/relationships/hyperlink" Target="http://www.wikidata.org/prop/direct/P108" TargetMode="External"/><Relationship Id="rId2839" Type="http://schemas.openxmlformats.org/officeDocument/2006/relationships/hyperlink" Target="http://www.wikidata.org/entity/Q2663876" TargetMode="External"/><Relationship Id="rId1509" Type="http://schemas.openxmlformats.org/officeDocument/2006/relationships/hyperlink" Target="http://www.wikidata.org/entity/Q118289639" TargetMode="External"/><Relationship Id="rId2800" Type="http://schemas.openxmlformats.org/officeDocument/2006/relationships/hyperlink" Target="http://www.wikidata.org/entity/Q1867263" TargetMode="External"/><Relationship Id="rId2801" Type="http://schemas.openxmlformats.org/officeDocument/2006/relationships/hyperlink" Target="http://www.wikidata.org/prop/direct/P69" TargetMode="External"/><Relationship Id="rId2802" Type="http://schemas.openxmlformats.org/officeDocument/2006/relationships/hyperlink" Target="http://www.wikidata.org/entity/Q2332586" TargetMode="External"/><Relationship Id="rId2803" Type="http://schemas.openxmlformats.org/officeDocument/2006/relationships/hyperlink" Target="http://www.wikidata.org/entity/Q1867263" TargetMode="External"/><Relationship Id="rId2804" Type="http://schemas.openxmlformats.org/officeDocument/2006/relationships/hyperlink" Target="http://www.wikidata.org/prop/direct/P108" TargetMode="External"/><Relationship Id="rId2805" Type="http://schemas.openxmlformats.org/officeDocument/2006/relationships/hyperlink" Target="http://www.wikidata.org/entity/Q120489194" TargetMode="External"/><Relationship Id="rId2806" Type="http://schemas.openxmlformats.org/officeDocument/2006/relationships/hyperlink" Target="http://www.wikidata.org/entity/Q52215729" TargetMode="External"/><Relationship Id="rId2807" Type="http://schemas.openxmlformats.org/officeDocument/2006/relationships/hyperlink" Target="http://www.wikidata.org/prop/direct/P108" TargetMode="External"/><Relationship Id="rId2808" Type="http://schemas.openxmlformats.org/officeDocument/2006/relationships/hyperlink" Target="http://www.wikidata.org/entity/Q2332586" TargetMode="External"/><Relationship Id="rId2809" Type="http://schemas.openxmlformats.org/officeDocument/2006/relationships/hyperlink" Target="http://www.wikidata.org/entity/Q2479554" TargetMode="External"/><Relationship Id="rId1576" Type="http://schemas.openxmlformats.org/officeDocument/2006/relationships/hyperlink" Target="http://www.wikidata.org/entity/Q28549650" TargetMode="External"/><Relationship Id="rId1577" Type="http://schemas.openxmlformats.org/officeDocument/2006/relationships/hyperlink" Target="http://www.wikidata.org/prop/direct/P108" TargetMode="External"/><Relationship Id="rId1578" Type="http://schemas.openxmlformats.org/officeDocument/2006/relationships/hyperlink" Target="http://www.wikidata.org/entity/Q13429634" TargetMode="External"/><Relationship Id="rId1579" Type="http://schemas.openxmlformats.org/officeDocument/2006/relationships/hyperlink" Target="http://www.wikidata.org/entity/Q2267896" TargetMode="External"/><Relationship Id="rId987" Type="http://schemas.openxmlformats.org/officeDocument/2006/relationships/hyperlink" Target="http://www.wikidata.org/entity/Q115815004" TargetMode="External"/><Relationship Id="rId986" Type="http://schemas.openxmlformats.org/officeDocument/2006/relationships/hyperlink" Target="http://www.wikidata.org/prop/direct/P108" TargetMode="External"/><Relationship Id="rId985" Type="http://schemas.openxmlformats.org/officeDocument/2006/relationships/hyperlink" Target="http://www.wikidata.org/entity/Q2936361" TargetMode="External"/><Relationship Id="rId984" Type="http://schemas.openxmlformats.org/officeDocument/2006/relationships/hyperlink" Target="http://www.wikidata.org/entity/Q18093100" TargetMode="External"/><Relationship Id="rId989" Type="http://schemas.openxmlformats.org/officeDocument/2006/relationships/hyperlink" Target="http://www.wikidata.org/prop/direct/P108" TargetMode="External"/><Relationship Id="rId988" Type="http://schemas.openxmlformats.org/officeDocument/2006/relationships/hyperlink" Target="http://www.wikidata.org/entity/Q118369334" TargetMode="External"/><Relationship Id="rId1570" Type="http://schemas.openxmlformats.org/officeDocument/2006/relationships/hyperlink" Target="http://www.wikidata.org/entity/Q2185331" TargetMode="External"/><Relationship Id="rId1571" Type="http://schemas.openxmlformats.org/officeDocument/2006/relationships/hyperlink" Target="http://www.wikidata.org/prop/direct/P108" TargetMode="External"/><Relationship Id="rId983" Type="http://schemas.openxmlformats.org/officeDocument/2006/relationships/hyperlink" Target="http://www.wikidata.org/prop/direct/P108" TargetMode="External"/><Relationship Id="rId1572" Type="http://schemas.openxmlformats.org/officeDocument/2006/relationships/hyperlink" Target="http://www.wikidata.org/entity/Q2524668" TargetMode="External"/><Relationship Id="rId982" Type="http://schemas.openxmlformats.org/officeDocument/2006/relationships/hyperlink" Target="http://www.wikidata.org/entity/Q2185331" TargetMode="External"/><Relationship Id="rId1573" Type="http://schemas.openxmlformats.org/officeDocument/2006/relationships/hyperlink" Target="http://www.wikidata.org/entity/Q118541114" TargetMode="External"/><Relationship Id="rId981" Type="http://schemas.openxmlformats.org/officeDocument/2006/relationships/hyperlink" Target="http://www.wikidata.org/entity/Q2426280" TargetMode="External"/><Relationship Id="rId1574" Type="http://schemas.openxmlformats.org/officeDocument/2006/relationships/hyperlink" Target="http://www.wikidata.org/prop/direct/P69" TargetMode="External"/><Relationship Id="rId980" Type="http://schemas.openxmlformats.org/officeDocument/2006/relationships/hyperlink" Target="http://www.wikidata.org/prop/direct/P108" TargetMode="External"/><Relationship Id="rId1575" Type="http://schemas.openxmlformats.org/officeDocument/2006/relationships/hyperlink" Target="http://www.wikidata.org/entity/Q87648661" TargetMode="External"/><Relationship Id="rId1565" Type="http://schemas.openxmlformats.org/officeDocument/2006/relationships/hyperlink" Target="http://www.wikidata.org/prop/direct/P69" TargetMode="External"/><Relationship Id="rId2896" Type="http://schemas.openxmlformats.org/officeDocument/2006/relationships/hyperlink" Target="http://www.wikidata.org/entity/Q118369334" TargetMode="External"/><Relationship Id="rId1566" Type="http://schemas.openxmlformats.org/officeDocument/2006/relationships/hyperlink" Target="http://www.wikidata.org/entity/Q115981931" TargetMode="External"/><Relationship Id="rId2897" Type="http://schemas.openxmlformats.org/officeDocument/2006/relationships/hyperlink" Target="http://www.wikidata.org/prop/direct/P69" TargetMode="External"/><Relationship Id="rId1567" Type="http://schemas.openxmlformats.org/officeDocument/2006/relationships/hyperlink" Target="http://www.wikidata.org/entity/Q119767161" TargetMode="External"/><Relationship Id="rId2898" Type="http://schemas.openxmlformats.org/officeDocument/2006/relationships/hyperlink" Target="http://www.wikidata.org/entity/Q120973922" TargetMode="External"/><Relationship Id="rId1568" Type="http://schemas.openxmlformats.org/officeDocument/2006/relationships/hyperlink" Target="http://www.wikidata.org/prop/direct/P108" TargetMode="External"/><Relationship Id="rId2899" Type="http://schemas.openxmlformats.org/officeDocument/2006/relationships/hyperlink" Target="http://www.wikidata.org/entity/Q2663876" TargetMode="External"/><Relationship Id="rId1569" Type="http://schemas.openxmlformats.org/officeDocument/2006/relationships/hyperlink" Target="http://www.wikidata.org/entity/Q110039191" TargetMode="External"/><Relationship Id="rId976" Type="http://schemas.openxmlformats.org/officeDocument/2006/relationships/hyperlink" Target="http://www.wikidata.org/entity/Q1867263" TargetMode="External"/><Relationship Id="rId975" Type="http://schemas.openxmlformats.org/officeDocument/2006/relationships/hyperlink" Target="http://www.wikidata.org/entity/Q115817390" TargetMode="External"/><Relationship Id="rId974" Type="http://schemas.openxmlformats.org/officeDocument/2006/relationships/hyperlink" Target="http://www.wikidata.org/prop/direct/P69" TargetMode="External"/><Relationship Id="rId973" Type="http://schemas.openxmlformats.org/officeDocument/2006/relationships/hyperlink" Target="http://www.wikidata.org/entity/Q1867263" TargetMode="External"/><Relationship Id="rId979" Type="http://schemas.openxmlformats.org/officeDocument/2006/relationships/hyperlink" Target="http://www.wikidata.org/entity/Q2663876" TargetMode="External"/><Relationship Id="rId978" Type="http://schemas.openxmlformats.org/officeDocument/2006/relationships/hyperlink" Target="http://www.wikidata.org/entity/Q115837633" TargetMode="External"/><Relationship Id="rId977" Type="http://schemas.openxmlformats.org/officeDocument/2006/relationships/hyperlink" Target="http://www.wikidata.org/prop/direct/P108" TargetMode="External"/><Relationship Id="rId2890" Type="http://schemas.openxmlformats.org/officeDocument/2006/relationships/hyperlink" Target="http://www.wikidata.org/entity/Q119702334" TargetMode="External"/><Relationship Id="rId1560" Type="http://schemas.openxmlformats.org/officeDocument/2006/relationships/hyperlink" Target="http://www.wikidata.org/entity/Q2524668" TargetMode="External"/><Relationship Id="rId2891" Type="http://schemas.openxmlformats.org/officeDocument/2006/relationships/hyperlink" Target="http://www.wikidata.org/prop/direct/P463" TargetMode="External"/><Relationship Id="rId972" Type="http://schemas.openxmlformats.org/officeDocument/2006/relationships/hyperlink" Target="http://www.wikidata.org/entity/Q115817390" TargetMode="External"/><Relationship Id="rId1561" Type="http://schemas.openxmlformats.org/officeDocument/2006/relationships/hyperlink" Target="http://www.wikidata.org/entity/Q118369084" TargetMode="External"/><Relationship Id="rId2892" Type="http://schemas.openxmlformats.org/officeDocument/2006/relationships/hyperlink" Target="http://www.wikidata.org/entity/Q120973922" TargetMode="External"/><Relationship Id="rId971" Type="http://schemas.openxmlformats.org/officeDocument/2006/relationships/hyperlink" Target="http://www.wikidata.org/prop/direct/P69" TargetMode="External"/><Relationship Id="rId1562" Type="http://schemas.openxmlformats.org/officeDocument/2006/relationships/hyperlink" Target="http://www.wikidata.org/prop/direct/P463" TargetMode="External"/><Relationship Id="rId2893" Type="http://schemas.openxmlformats.org/officeDocument/2006/relationships/hyperlink" Target="http://www.wikidata.org/entity/Q1867263" TargetMode="External"/><Relationship Id="rId970" Type="http://schemas.openxmlformats.org/officeDocument/2006/relationships/hyperlink" Target="http://www.wikidata.org/entity/Q1247373" TargetMode="External"/><Relationship Id="rId1563" Type="http://schemas.openxmlformats.org/officeDocument/2006/relationships/hyperlink" Target="http://www.wikidata.org/entity/Q115839975" TargetMode="External"/><Relationship Id="rId2894" Type="http://schemas.openxmlformats.org/officeDocument/2006/relationships/hyperlink" Target="http://www.wikidata.org/prop/direct/P69" TargetMode="External"/><Relationship Id="rId1564" Type="http://schemas.openxmlformats.org/officeDocument/2006/relationships/hyperlink" Target="http://www.wikidata.org/entity/Q644789" TargetMode="External"/><Relationship Id="rId2895" Type="http://schemas.openxmlformats.org/officeDocument/2006/relationships/hyperlink" Target="http://www.wikidata.org/entity/Q120727152" TargetMode="External"/><Relationship Id="rId1598" Type="http://schemas.openxmlformats.org/officeDocument/2006/relationships/hyperlink" Target="http://www.wikidata.org/prop/direct/P463" TargetMode="External"/><Relationship Id="rId1599" Type="http://schemas.openxmlformats.org/officeDocument/2006/relationships/hyperlink" Target="http://www.wikidata.org/entity/Q2658862" TargetMode="External"/><Relationship Id="rId1590" Type="http://schemas.openxmlformats.org/officeDocument/2006/relationships/hyperlink" Target="http://www.wikidata.org/entity/Q122903266" TargetMode="External"/><Relationship Id="rId1591" Type="http://schemas.openxmlformats.org/officeDocument/2006/relationships/hyperlink" Target="http://www.wikidata.org/entity/Q2048489" TargetMode="External"/><Relationship Id="rId1592" Type="http://schemas.openxmlformats.org/officeDocument/2006/relationships/hyperlink" Target="http://www.wikidata.org/prop/direct/P69" TargetMode="External"/><Relationship Id="rId1593" Type="http://schemas.openxmlformats.org/officeDocument/2006/relationships/hyperlink" Target="http://www.wikidata.org/entity/Q120718341" TargetMode="External"/><Relationship Id="rId1594" Type="http://schemas.openxmlformats.org/officeDocument/2006/relationships/hyperlink" Target="http://www.wikidata.org/entity/Q15882061" TargetMode="External"/><Relationship Id="rId1595" Type="http://schemas.openxmlformats.org/officeDocument/2006/relationships/hyperlink" Target="http://www.wikidata.org/prop/direct/P69" TargetMode="External"/><Relationship Id="rId1596" Type="http://schemas.openxmlformats.org/officeDocument/2006/relationships/hyperlink" Target="http://www.wikidata.org/entity/Q14331462" TargetMode="External"/><Relationship Id="rId1597" Type="http://schemas.openxmlformats.org/officeDocument/2006/relationships/hyperlink" Target="http://www.wikidata.org/entity/Q2690997" TargetMode="External"/><Relationship Id="rId1587" Type="http://schemas.openxmlformats.org/officeDocument/2006/relationships/hyperlink" Target="http://www.wikidata.org/entity/Q115825992" TargetMode="External"/><Relationship Id="rId1588" Type="http://schemas.openxmlformats.org/officeDocument/2006/relationships/hyperlink" Target="http://www.wikidata.org/entity/Q2663876" TargetMode="External"/><Relationship Id="rId1589" Type="http://schemas.openxmlformats.org/officeDocument/2006/relationships/hyperlink" Target="http://www.wikidata.org/prop/direct/P108" TargetMode="External"/><Relationship Id="rId998" Type="http://schemas.openxmlformats.org/officeDocument/2006/relationships/hyperlink" Target="http://www.wikidata.org/prop/direct/P463" TargetMode="External"/><Relationship Id="rId997" Type="http://schemas.openxmlformats.org/officeDocument/2006/relationships/hyperlink" Target="http://www.wikidata.org/entity/Q337580" TargetMode="External"/><Relationship Id="rId996" Type="http://schemas.openxmlformats.org/officeDocument/2006/relationships/hyperlink" Target="http://www.wikidata.org/entity/Q329468" TargetMode="External"/><Relationship Id="rId995" Type="http://schemas.openxmlformats.org/officeDocument/2006/relationships/hyperlink" Target="http://www.wikidata.org/prop/direct/P69" TargetMode="External"/><Relationship Id="rId999" Type="http://schemas.openxmlformats.org/officeDocument/2006/relationships/hyperlink" Target="http://www.wikidata.org/entity/Q2481707" TargetMode="External"/><Relationship Id="rId990" Type="http://schemas.openxmlformats.org/officeDocument/2006/relationships/hyperlink" Target="http://www.wikidata.org/entity/Q115834868" TargetMode="External"/><Relationship Id="rId1580" Type="http://schemas.openxmlformats.org/officeDocument/2006/relationships/hyperlink" Target="http://www.wikidata.org/prop/direct/P463" TargetMode="External"/><Relationship Id="rId1581" Type="http://schemas.openxmlformats.org/officeDocument/2006/relationships/hyperlink" Target="http://www.wikidata.org/entity/Q111342238" TargetMode="External"/><Relationship Id="rId1582" Type="http://schemas.openxmlformats.org/officeDocument/2006/relationships/hyperlink" Target="http://www.wikidata.org/entity/Q45262579" TargetMode="External"/><Relationship Id="rId994" Type="http://schemas.openxmlformats.org/officeDocument/2006/relationships/hyperlink" Target="http://www.wikidata.org/entity/Q156598" TargetMode="External"/><Relationship Id="rId1583" Type="http://schemas.openxmlformats.org/officeDocument/2006/relationships/hyperlink" Target="http://www.wikidata.org/prop/direct/P463" TargetMode="External"/><Relationship Id="rId993" Type="http://schemas.openxmlformats.org/officeDocument/2006/relationships/hyperlink" Target="http://www.wikidata.org/entity/Q18093100" TargetMode="External"/><Relationship Id="rId1584" Type="http://schemas.openxmlformats.org/officeDocument/2006/relationships/hyperlink" Target="http://www.wikidata.org/entity/Q2190493" TargetMode="External"/><Relationship Id="rId992" Type="http://schemas.openxmlformats.org/officeDocument/2006/relationships/hyperlink" Target="http://www.wikidata.org/prop/direct/P108" TargetMode="External"/><Relationship Id="rId1585" Type="http://schemas.openxmlformats.org/officeDocument/2006/relationships/hyperlink" Target="http://www.wikidata.org/entity/Q1867263" TargetMode="External"/><Relationship Id="rId991" Type="http://schemas.openxmlformats.org/officeDocument/2006/relationships/hyperlink" Target="http://www.wikidata.org/entity/Q125535800" TargetMode="External"/><Relationship Id="rId1586" Type="http://schemas.openxmlformats.org/officeDocument/2006/relationships/hyperlink" Target="http://www.wikidata.org/prop/direct/P69" TargetMode="External"/><Relationship Id="rId1532" Type="http://schemas.openxmlformats.org/officeDocument/2006/relationships/hyperlink" Target="http://www.wikidata.org/prop/direct/P69" TargetMode="External"/><Relationship Id="rId2863" Type="http://schemas.openxmlformats.org/officeDocument/2006/relationships/hyperlink" Target="http://www.wikidata.org/entity/Q6410900" TargetMode="External"/><Relationship Id="rId1533" Type="http://schemas.openxmlformats.org/officeDocument/2006/relationships/hyperlink" Target="http://www.wikidata.org/entity/Q115825992" TargetMode="External"/><Relationship Id="rId2864" Type="http://schemas.openxmlformats.org/officeDocument/2006/relationships/hyperlink" Target="http://www.wikidata.org/prop/direct/P69" TargetMode="External"/><Relationship Id="rId1534" Type="http://schemas.openxmlformats.org/officeDocument/2006/relationships/hyperlink" Target="http://www.wikidata.org/entity/Q2304374" TargetMode="External"/><Relationship Id="rId2865" Type="http://schemas.openxmlformats.org/officeDocument/2006/relationships/hyperlink" Target="http://www.wikidata.org/entity/Q322106" TargetMode="External"/><Relationship Id="rId1535" Type="http://schemas.openxmlformats.org/officeDocument/2006/relationships/hyperlink" Target="http://www.wikidata.org/prop/direct/P108" TargetMode="External"/><Relationship Id="rId2866" Type="http://schemas.openxmlformats.org/officeDocument/2006/relationships/hyperlink" Target="http://www.wikidata.org/entity/Q3560910" TargetMode="External"/><Relationship Id="rId1536" Type="http://schemas.openxmlformats.org/officeDocument/2006/relationships/hyperlink" Target="http://www.wikidata.org/entity/Q115821483" TargetMode="External"/><Relationship Id="rId2867" Type="http://schemas.openxmlformats.org/officeDocument/2006/relationships/hyperlink" Target="http://www.wikidata.org/prop/direct/P69" TargetMode="External"/><Relationship Id="rId1537" Type="http://schemas.openxmlformats.org/officeDocument/2006/relationships/hyperlink" Target="http://www.wikidata.org/entity/Q2185331" TargetMode="External"/><Relationship Id="rId2868" Type="http://schemas.openxmlformats.org/officeDocument/2006/relationships/hyperlink" Target="http://www.wikidata.org/entity/Q115980044" TargetMode="External"/><Relationship Id="rId1538" Type="http://schemas.openxmlformats.org/officeDocument/2006/relationships/hyperlink" Target="http://www.wikidata.org/prop/direct/P108" TargetMode="External"/><Relationship Id="rId2869" Type="http://schemas.openxmlformats.org/officeDocument/2006/relationships/hyperlink" Target="http://www.wikidata.org/entity/Q3151805" TargetMode="External"/><Relationship Id="rId1539" Type="http://schemas.openxmlformats.org/officeDocument/2006/relationships/hyperlink" Target="http://www.wikidata.org/entity/Q115981931" TargetMode="External"/><Relationship Id="rId949" Type="http://schemas.openxmlformats.org/officeDocument/2006/relationships/hyperlink" Target="http://www.wikidata.org/entity/Q1867263" TargetMode="External"/><Relationship Id="rId948" Type="http://schemas.openxmlformats.org/officeDocument/2006/relationships/hyperlink" Target="http://www.wikidata.org/entity/Q115837633" TargetMode="External"/><Relationship Id="rId943" Type="http://schemas.openxmlformats.org/officeDocument/2006/relationships/hyperlink" Target="http://www.wikidata.org/entity/Q118369334" TargetMode="External"/><Relationship Id="rId942" Type="http://schemas.openxmlformats.org/officeDocument/2006/relationships/hyperlink" Target="http://www.wikidata.org/entity/Q115818151" TargetMode="External"/><Relationship Id="rId941" Type="http://schemas.openxmlformats.org/officeDocument/2006/relationships/hyperlink" Target="http://www.wikidata.org/prop/direct/P108" TargetMode="External"/><Relationship Id="rId940" Type="http://schemas.openxmlformats.org/officeDocument/2006/relationships/hyperlink" Target="http://www.wikidata.org/entity/Q118369361" TargetMode="External"/><Relationship Id="rId947" Type="http://schemas.openxmlformats.org/officeDocument/2006/relationships/hyperlink" Target="http://www.wikidata.org/prop/direct/P69" TargetMode="External"/><Relationship Id="rId946" Type="http://schemas.openxmlformats.org/officeDocument/2006/relationships/hyperlink" Target="http://www.wikidata.org/entity/Q644789" TargetMode="External"/><Relationship Id="rId945" Type="http://schemas.openxmlformats.org/officeDocument/2006/relationships/hyperlink" Target="http://www.wikidata.org/entity/Q114081509" TargetMode="External"/><Relationship Id="rId944" Type="http://schemas.openxmlformats.org/officeDocument/2006/relationships/hyperlink" Target="http://www.wikidata.org/prop/direct/P108" TargetMode="External"/><Relationship Id="rId2860" Type="http://schemas.openxmlformats.org/officeDocument/2006/relationships/hyperlink" Target="http://www.wikidata.org/entity/Q2018402" TargetMode="External"/><Relationship Id="rId1530" Type="http://schemas.openxmlformats.org/officeDocument/2006/relationships/hyperlink" Target="http://www.wikidata.org/entity/Q2524668" TargetMode="External"/><Relationship Id="rId2861" Type="http://schemas.openxmlformats.org/officeDocument/2006/relationships/hyperlink" Target="http://www.wikidata.org/prop/direct/P108" TargetMode="External"/><Relationship Id="rId1531" Type="http://schemas.openxmlformats.org/officeDocument/2006/relationships/hyperlink" Target="http://www.wikidata.org/entity/Q15882061" TargetMode="External"/><Relationship Id="rId2862" Type="http://schemas.openxmlformats.org/officeDocument/2006/relationships/hyperlink" Target="http://www.wikidata.org/entity/Q322106" TargetMode="External"/><Relationship Id="rId1521" Type="http://schemas.openxmlformats.org/officeDocument/2006/relationships/hyperlink" Target="http://www.wikidata.org/entity/Q115808465" TargetMode="External"/><Relationship Id="rId2852" Type="http://schemas.openxmlformats.org/officeDocument/2006/relationships/hyperlink" Target="http://www.wikidata.org/prop/direct/P108" TargetMode="External"/><Relationship Id="rId1522" Type="http://schemas.openxmlformats.org/officeDocument/2006/relationships/hyperlink" Target="http://www.wikidata.org/entity/Q1867263" TargetMode="External"/><Relationship Id="rId2853" Type="http://schemas.openxmlformats.org/officeDocument/2006/relationships/hyperlink" Target="http://www.wikidata.org/entity/Q115980044" TargetMode="External"/><Relationship Id="rId1523" Type="http://schemas.openxmlformats.org/officeDocument/2006/relationships/hyperlink" Target="http://www.wikidata.org/prop/direct/P108" TargetMode="External"/><Relationship Id="rId2854" Type="http://schemas.openxmlformats.org/officeDocument/2006/relationships/hyperlink" Target="http://www.wikidata.org/entity/Q49425918" TargetMode="External"/><Relationship Id="rId1524" Type="http://schemas.openxmlformats.org/officeDocument/2006/relationships/hyperlink" Target="http://www.wikidata.org/entity/Q115308515" TargetMode="External"/><Relationship Id="rId2855" Type="http://schemas.openxmlformats.org/officeDocument/2006/relationships/hyperlink" Target="http://www.wikidata.org/prop/direct/P69" TargetMode="External"/><Relationship Id="rId1525" Type="http://schemas.openxmlformats.org/officeDocument/2006/relationships/hyperlink" Target="http://www.wikidata.org/entity/Q2018402" TargetMode="External"/><Relationship Id="rId2856" Type="http://schemas.openxmlformats.org/officeDocument/2006/relationships/hyperlink" Target="http://www.wikidata.org/entity/Q110039170" TargetMode="External"/><Relationship Id="rId1526" Type="http://schemas.openxmlformats.org/officeDocument/2006/relationships/hyperlink" Target="http://www.wikidata.org/prop/direct/P108" TargetMode="External"/><Relationship Id="rId2857" Type="http://schemas.openxmlformats.org/officeDocument/2006/relationships/hyperlink" Target="http://www.wikidata.org/entity/Q2690997" TargetMode="External"/><Relationship Id="rId1527" Type="http://schemas.openxmlformats.org/officeDocument/2006/relationships/hyperlink" Target="http://www.wikidata.org/entity/Q115813555" TargetMode="External"/><Relationship Id="rId2858" Type="http://schemas.openxmlformats.org/officeDocument/2006/relationships/hyperlink" Target="http://www.wikidata.org/prop/direct/P463" TargetMode="External"/><Relationship Id="rId1528" Type="http://schemas.openxmlformats.org/officeDocument/2006/relationships/hyperlink" Target="http://www.wikidata.org/entity/Q49425918" TargetMode="External"/><Relationship Id="rId2859" Type="http://schemas.openxmlformats.org/officeDocument/2006/relationships/hyperlink" Target="http://www.wikidata.org/entity/Q115806479" TargetMode="External"/><Relationship Id="rId1529" Type="http://schemas.openxmlformats.org/officeDocument/2006/relationships/hyperlink" Target="http://www.wikidata.org/prop/direct/P69" TargetMode="External"/><Relationship Id="rId939" Type="http://schemas.openxmlformats.org/officeDocument/2006/relationships/hyperlink" Target="http://www.wikidata.org/entity/Q115818151" TargetMode="External"/><Relationship Id="rId938" Type="http://schemas.openxmlformats.org/officeDocument/2006/relationships/hyperlink" Target="http://www.wikidata.org/prop/direct/P108" TargetMode="External"/><Relationship Id="rId937" Type="http://schemas.openxmlformats.org/officeDocument/2006/relationships/hyperlink" Target="http://www.wikidata.org/entity/Q2663876" TargetMode="External"/><Relationship Id="rId932" Type="http://schemas.openxmlformats.org/officeDocument/2006/relationships/hyperlink" Target="http://www.wikidata.org/prop/direct/P69" TargetMode="External"/><Relationship Id="rId931" Type="http://schemas.openxmlformats.org/officeDocument/2006/relationships/hyperlink" Target="http://www.wikidata.org/entity/Q49595150" TargetMode="External"/><Relationship Id="rId930" Type="http://schemas.openxmlformats.org/officeDocument/2006/relationships/hyperlink" Target="http://www.wikidata.org/entity/Q2306925" TargetMode="External"/><Relationship Id="rId936" Type="http://schemas.openxmlformats.org/officeDocument/2006/relationships/hyperlink" Target="http://www.wikidata.org/entity/Q2684959" TargetMode="External"/><Relationship Id="rId935" Type="http://schemas.openxmlformats.org/officeDocument/2006/relationships/hyperlink" Target="http://www.wikidata.org/prop/direct/P108" TargetMode="External"/><Relationship Id="rId934" Type="http://schemas.openxmlformats.org/officeDocument/2006/relationships/hyperlink" Target="http://www.wikidata.org/entity/Q119853947" TargetMode="External"/><Relationship Id="rId933" Type="http://schemas.openxmlformats.org/officeDocument/2006/relationships/hyperlink" Target="http://www.wikidata.org/entity/Q101627274" TargetMode="External"/><Relationship Id="rId2850" Type="http://schemas.openxmlformats.org/officeDocument/2006/relationships/hyperlink" Target="http://www.wikidata.org/entity/Q2770967" TargetMode="External"/><Relationship Id="rId1520" Type="http://schemas.openxmlformats.org/officeDocument/2006/relationships/hyperlink" Target="http://www.wikidata.org/prop/direct/P108" TargetMode="External"/><Relationship Id="rId2851" Type="http://schemas.openxmlformats.org/officeDocument/2006/relationships/hyperlink" Target="http://www.wikidata.org/entity/Q2479554" TargetMode="External"/><Relationship Id="rId1554" Type="http://schemas.openxmlformats.org/officeDocument/2006/relationships/hyperlink" Target="http://www.wikidata.org/entity/Q115813555" TargetMode="External"/><Relationship Id="rId2885" Type="http://schemas.openxmlformats.org/officeDocument/2006/relationships/hyperlink" Target="http://www.wikidata.org/prop/direct/P108" TargetMode="External"/><Relationship Id="rId1555" Type="http://schemas.openxmlformats.org/officeDocument/2006/relationships/hyperlink" Target="http://www.wikidata.org/entity/Q120706320" TargetMode="External"/><Relationship Id="rId2886" Type="http://schemas.openxmlformats.org/officeDocument/2006/relationships/hyperlink" Target="http://www.wikidata.org/entity/Q115837593" TargetMode="External"/><Relationship Id="rId1556" Type="http://schemas.openxmlformats.org/officeDocument/2006/relationships/hyperlink" Target="http://www.wikidata.org/prop/direct/P108" TargetMode="External"/><Relationship Id="rId2887" Type="http://schemas.openxmlformats.org/officeDocument/2006/relationships/hyperlink" Target="http://www.wikidata.org/entity/Q2480833" TargetMode="External"/><Relationship Id="rId1557" Type="http://schemas.openxmlformats.org/officeDocument/2006/relationships/hyperlink" Target="http://www.wikidata.org/entity/Q2658862" TargetMode="External"/><Relationship Id="rId2888" Type="http://schemas.openxmlformats.org/officeDocument/2006/relationships/hyperlink" Target="http://www.wikidata.org/prop/direct/P108" TargetMode="External"/><Relationship Id="rId1558" Type="http://schemas.openxmlformats.org/officeDocument/2006/relationships/hyperlink" Target="http://www.wikidata.org/entity/Q792369" TargetMode="External"/><Relationship Id="rId2889" Type="http://schemas.openxmlformats.org/officeDocument/2006/relationships/hyperlink" Target="http://www.wikidata.org/entity/Q125472922" TargetMode="External"/><Relationship Id="rId1559" Type="http://schemas.openxmlformats.org/officeDocument/2006/relationships/hyperlink" Target="http://www.wikidata.org/prop/direct/P108" TargetMode="External"/><Relationship Id="rId965" Type="http://schemas.openxmlformats.org/officeDocument/2006/relationships/hyperlink" Target="http://www.wikidata.org/prop/direct/P463" TargetMode="External"/><Relationship Id="rId964" Type="http://schemas.openxmlformats.org/officeDocument/2006/relationships/hyperlink" Target="http://www.wikidata.org/entity/Q1268453" TargetMode="External"/><Relationship Id="rId963" Type="http://schemas.openxmlformats.org/officeDocument/2006/relationships/hyperlink" Target="http://www.wikidata.org/entity/Q2638823" TargetMode="External"/><Relationship Id="rId962" Type="http://schemas.openxmlformats.org/officeDocument/2006/relationships/hyperlink" Target="http://www.wikidata.org/prop/direct/P108" TargetMode="External"/><Relationship Id="rId969" Type="http://schemas.openxmlformats.org/officeDocument/2006/relationships/hyperlink" Target="http://www.wikidata.org/entity/Q7343011" TargetMode="External"/><Relationship Id="rId968" Type="http://schemas.openxmlformats.org/officeDocument/2006/relationships/hyperlink" Target="http://www.wikidata.org/prop/direct/P108" TargetMode="External"/><Relationship Id="rId967" Type="http://schemas.openxmlformats.org/officeDocument/2006/relationships/hyperlink" Target="http://www.wikidata.org/entity/Q119767161" TargetMode="External"/><Relationship Id="rId966" Type="http://schemas.openxmlformats.org/officeDocument/2006/relationships/hyperlink" Target="http://www.wikidata.org/entity/Q2675588" TargetMode="External"/><Relationship Id="rId2880" Type="http://schemas.openxmlformats.org/officeDocument/2006/relationships/hyperlink" Target="http://www.wikidata.org/entity/Q122872579" TargetMode="External"/><Relationship Id="rId961" Type="http://schemas.openxmlformats.org/officeDocument/2006/relationships/hyperlink" Target="http://www.wikidata.org/entity/Q2480833" TargetMode="External"/><Relationship Id="rId1550" Type="http://schemas.openxmlformats.org/officeDocument/2006/relationships/hyperlink" Target="http://www.wikidata.org/prop/direct/P108" TargetMode="External"/><Relationship Id="rId2881" Type="http://schemas.openxmlformats.org/officeDocument/2006/relationships/hyperlink" Target="http://www.wikidata.org/entity/Q763499" TargetMode="External"/><Relationship Id="rId960" Type="http://schemas.openxmlformats.org/officeDocument/2006/relationships/hyperlink" Target="http://www.wikidata.org/entity/Q115837633" TargetMode="External"/><Relationship Id="rId1551" Type="http://schemas.openxmlformats.org/officeDocument/2006/relationships/hyperlink" Target="http://www.wikidata.org/entity/Q115829884" TargetMode="External"/><Relationship Id="rId2882" Type="http://schemas.openxmlformats.org/officeDocument/2006/relationships/hyperlink" Target="http://www.wikidata.org/prop/direct/P69" TargetMode="External"/><Relationship Id="rId1552" Type="http://schemas.openxmlformats.org/officeDocument/2006/relationships/hyperlink" Target="http://www.wikidata.org/entity/Q120831037" TargetMode="External"/><Relationship Id="rId2883" Type="http://schemas.openxmlformats.org/officeDocument/2006/relationships/hyperlink" Target="http://www.wikidata.org/entity/Q115840228" TargetMode="External"/><Relationship Id="rId1553" Type="http://schemas.openxmlformats.org/officeDocument/2006/relationships/hyperlink" Target="http://www.wikidata.org/prop/direct/P108" TargetMode="External"/><Relationship Id="rId2884" Type="http://schemas.openxmlformats.org/officeDocument/2006/relationships/hyperlink" Target="http://www.wikidata.org/entity/Q120787149" TargetMode="External"/><Relationship Id="rId1543" Type="http://schemas.openxmlformats.org/officeDocument/2006/relationships/hyperlink" Target="http://www.wikidata.org/entity/Q2690997" TargetMode="External"/><Relationship Id="rId2874" Type="http://schemas.openxmlformats.org/officeDocument/2006/relationships/hyperlink" Target="http://www.wikidata.org/entity/Q120727152" TargetMode="External"/><Relationship Id="rId1544" Type="http://schemas.openxmlformats.org/officeDocument/2006/relationships/hyperlink" Target="http://www.wikidata.org/prop/direct/P463" TargetMode="External"/><Relationship Id="rId2875" Type="http://schemas.openxmlformats.org/officeDocument/2006/relationships/hyperlink" Target="http://www.wikidata.org/entity/Q50492927" TargetMode="External"/><Relationship Id="rId1545" Type="http://schemas.openxmlformats.org/officeDocument/2006/relationships/hyperlink" Target="http://www.wikidata.org/entity/Q118175361" TargetMode="External"/><Relationship Id="rId2876" Type="http://schemas.openxmlformats.org/officeDocument/2006/relationships/hyperlink" Target="http://www.wikidata.org/prop/direct/P463" TargetMode="External"/><Relationship Id="rId1546" Type="http://schemas.openxmlformats.org/officeDocument/2006/relationships/hyperlink" Target="http://www.wikidata.org/entity/Q118395385" TargetMode="External"/><Relationship Id="rId2877" Type="http://schemas.openxmlformats.org/officeDocument/2006/relationships/hyperlink" Target="http://www.wikidata.org/entity/Q115839380" TargetMode="External"/><Relationship Id="rId1547" Type="http://schemas.openxmlformats.org/officeDocument/2006/relationships/hyperlink" Target="http://www.wikidata.org/prop/direct/P108" TargetMode="External"/><Relationship Id="rId2878" Type="http://schemas.openxmlformats.org/officeDocument/2006/relationships/hyperlink" Target="http://www.wikidata.org/entity/Q114232670" TargetMode="External"/><Relationship Id="rId1548" Type="http://schemas.openxmlformats.org/officeDocument/2006/relationships/hyperlink" Target="http://www.wikidata.org/entity/Q87648661" TargetMode="External"/><Relationship Id="rId2879" Type="http://schemas.openxmlformats.org/officeDocument/2006/relationships/hyperlink" Target="http://www.wikidata.org/prop/direct/P108" TargetMode="External"/><Relationship Id="rId1549" Type="http://schemas.openxmlformats.org/officeDocument/2006/relationships/hyperlink" Target="http://www.wikidata.org/entity/Q12995" TargetMode="External"/><Relationship Id="rId959" Type="http://schemas.openxmlformats.org/officeDocument/2006/relationships/hyperlink" Target="http://www.wikidata.org/prop/direct/P463" TargetMode="External"/><Relationship Id="rId954" Type="http://schemas.openxmlformats.org/officeDocument/2006/relationships/hyperlink" Target="http://www.wikidata.org/entity/Q115833316" TargetMode="External"/><Relationship Id="rId953" Type="http://schemas.openxmlformats.org/officeDocument/2006/relationships/hyperlink" Target="http://www.wikidata.org/prop/direct/P69" TargetMode="External"/><Relationship Id="rId952" Type="http://schemas.openxmlformats.org/officeDocument/2006/relationships/hyperlink" Target="http://www.wikidata.org/entity/Q2061988" TargetMode="External"/><Relationship Id="rId951" Type="http://schemas.openxmlformats.org/officeDocument/2006/relationships/hyperlink" Target="http://www.wikidata.org/entity/Q4423628" TargetMode="External"/><Relationship Id="rId958" Type="http://schemas.openxmlformats.org/officeDocument/2006/relationships/hyperlink" Target="http://www.wikidata.org/entity/Q253439" TargetMode="External"/><Relationship Id="rId957" Type="http://schemas.openxmlformats.org/officeDocument/2006/relationships/hyperlink" Target="http://www.wikidata.org/entity/Q18093100" TargetMode="External"/><Relationship Id="rId956" Type="http://schemas.openxmlformats.org/officeDocument/2006/relationships/hyperlink" Target="http://www.wikidata.org/prop/direct/P69" TargetMode="External"/><Relationship Id="rId955" Type="http://schemas.openxmlformats.org/officeDocument/2006/relationships/hyperlink" Target="http://www.wikidata.org/entity/Q1867263" TargetMode="External"/><Relationship Id="rId950" Type="http://schemas.openxmlformats.org/officeDocument/2006/relationships/hyperlink" Target="http://www.wikidata.org/prop/direct/P108" TargetMode="External"/><Relationship Id="rId2870" Type="http://schemas.openxmlformats.org/officeDocument/2006/relationships/hyperlink" Target="http://www.wikidata.org/prop/direct/P108" TargetMode="External"/><Relationship Id="rId1540" Type="http://schemas.openxmlformats.org/officeDocument/2006/relationships/hyperlink" Target="http://www.wikidata.org/entity/Q1867263" TargetMode="External"/><Relationship Id="rId2871" Type="http://schemas.openxmlformats.org/officeDocument/2006/relationships/hyperlink" Target="http://www.wikidata.org/entity/Q120727152" TargetMode="External"/><Relationship Id="rId1541" Type="http://schemas.openxmlformats.org/officeDocument/2006/relationships/hyperlink" Target="http://www.wikidata.org/prop/direct/P108" TargetMode="External"/><Relationship Id="rId2872" Type="http://schemas.openxmlformats.org/officeDocument/2006/relationships/hyperlink" Target="http://www.wikidata.org/entity/Q644789" TargetMode="External"/><Relationship Id="rId1542" Type="http://schemas.openxmlformats.org/officeDocument/2006/relationships/hyperlink" Target="http://www.wikidata.org/entity/Q115829884" TargetMode="External"/><Relationship Id="rId2873" Type="http://schemas.openxmlformats.org/officeDocument/2006/relationships/hyperlink" Target="http://www.wikidata.org/prop/direct/P69" TargetMode="External"/><Relationship Id="rId2027" Type="http://schemas.openxmlformats.org/officeDocument/2006/relationships/hyperlink" Target="http://www.wikidata.org/prop/direct/P463" TargetMode="External"/><Relationship Id="rId2028" Type="http://schemas.openxmlformats.org/officeDocument/2006/relationships/hyperlink" Target="http://www.wikidata.org/entity/Q3032807" TargetMode="External"/><Relationship Id="rId2029" Type="http://schemas.openxmlformats.org/officeDocument/2006/relationships/hyperlink" Target="http://www.wikidata.org/entity/Q644789" TargetMode="External"/><Relationship Id="rId107" Type="http://schemas.openxmlformats.org/officeDocument/2006/relationships/hyperlink" Target="http://www.wikidata.org/prop/direct/P108" TargetMode="External"/><Relationship Id="rId106" Type="http://schemas.openxmlformats.org/officeDocument/2006/relationships/hyperlink" Target="http://www.wikidata.org/entity/Q2663876" TargetMode="External"/><Relationship Id="rId105" Type="http://schemas.openxmlformats.org/officeDocument/2006/relationships/hyperlink" Target="http://www.wikidata.org/entity/Q115979130" TargetMode="External"/><Relationship Id="rId104" Type="http://schemas.openxmlformats.org/officeDocument/2006/relationships/hyperlink" Target="http://www.wikidata.org/prop/direct/P108" TargetMode="External"/><Relationship Id="rId109" Type="http://schemas.openxmlformats.org/officeDocument/2006/relationships/hyperlink" Target="http://www.wikidata.org/entity/Q2663876" TargetMode="External"/><Relationship Id="rId108" Type="http://schemas.openxmlformats.org/officeDocument/2006/relationships/hyperlink" Target="http://www.wikidata.org/entity/Q115979140" TargetMode="External"/><Relationship Id="rId2020" Type="http://schemas.openxmlformats.org/officeDocument/2006/relationships/hyperlink" Target="http://www.wikidata.org/entity/Q214341" TargetMode="External"/><Relationship Id="rId2021" Type="http://schemas.openxmlformats.org/officeDocument/2006/relationships/hyperlink" Target="http://www.wikidata.org/prop/direct/P69" TargetMode="External"/><Relationship Id="rId2022" Type="http://schemas.openxmlformats.org/officeDocument/2006/relationships/hyperlink" Target="http://www.wikidata.org/entity/Q2319173" TargetMode="External"/><Relationship Id="rId103" Type="http://schemas.openxmlformats.org/officeDocument/2006/relationships/hyperlink" Target="http://www.wikidata.org/entity/Q118390369" TargetMode="External"/><Relationship Id="rId2023" Type="http://schemas.openxmlformats.org/officeDocument/2006/relationships/hyperlink" Target="http://www.wikidata.org/entity/Q1268453" TargetMode="External"/><Relationship Id="rId102" Type="http://schemas.openxmlformats.org/officeDocument/2006/relationships/hyperlink" Target="http://www.wikidata.org/entity/Q115840234" TargetMode="External"/><Relationship Id="rId2024" Type="http://schemas.openxmlformats.org/officeDocument/2006/relationships/hyperlink" Target="http://www.wikidata.org/prop/direct/P463" TargetMode="External"/><Relationship Id="rId101" Type="http://schemas.openxmlformats.org/officeDocument/2006/relationships/hyperlink" Target="http://www.wikidata.org/prop/direct/P108" TargetMode="External"/><Relationship Id="rId2025" Type="http://schemas.openxmlformats.org/officeDocument/2006/relationships/hyperlink" Target="http://www.wikidata.org/entity/Q2457997" TargetMode="External"/><Relationship Id="rId100" Type="http://schemas.openxmlformats.org/officeDocument/2006/relationships/hyperlink" Target="http://www.wikidata.org/entity/Q118369334" TargetMode="External"/><Relationship Id="rId2026" Type="http://schemas.openxmlformats.org/officeDocument/2006/relationships/hyperlink" Target="http://www.wikidata.org/entity/Q1268453" TargetMode="External"/><Relationship Id="rId2016" Type="http://schemas.openxmlformats.org/officeDocument/2006/relationships/hyperlink" Target="http://www.wikidata.org/entity/Q13769746" TargetMode="External"/><Relationship Id="rId2017" Type="http://schemas.openxmlformats.org/officeDocument/2006/relationships/hyperlink" Target="http://www.wikidata.org/entity/Q1137665" TargetMode="External"/><Relationship Id="rId2018" Type="http://schemas.openxmlformats.org/officeDocument/2006/relationships/hyperlink" Target="http://www.wikidata.org/prop/direct/P69" TargetMode="External"/><Relationship Id="rId2019" Type="http://schemas.openxmlformats.org/officeDocument/2006/relationships/hyperlink" Target="http://www.wikidata.org/entity/Q2319173" TargetMode="External"/><Relationship Id="rId2010" Type="http://schemas.openxmlformats.org/officeDocument/2006/relationships/hyperlink" Target="http://www.wikidata.org/entity/Q3538623" TargetMode="External"/><Relationship Id="rId2011" Type="http://schemas.openxmlformats.org/officeDocument/2006/relationships/hyperlink" Target="http://www.wikidata.org/entity/Q1867263" TargetMode="External"/><Relationship Id="rId2012" Type="http://schemas.openxmlformats.org/officeDocument/2006/relationships/hyperlink" Target="http://www.wikidata.org/prop/direct/P69" TargetMode="External"/><Relationship Id="rId2013" Type="http://schemas.openxmlformats.org/officeDocument/2006/relationships/hyperlink" Target="http://www.wikidata.org/entity/Q120729903" TargetMode="External"/><Relationship Id="rId2014" Type="http://schemas.openxmlformats.org/officeDocument/2006/relationships/hyperlink" Target="http://www.wikidata.org/entity/Q119702334" TargetMode="External"/><Relationship Id="rId2015" Type="http://schemas.openxmlformats.org/officeDocument/2006/relationships/hyperlink" Target="http://www.wikidata.org/prop/direct/P463" TargetMode="External"/><Relationship Id="rId2049" Type="http://schemas.openxmlformats.org/officeDocument/2006/relationships/hyperlink" Target="http://www.wikidata.org/entity/Q2627945" TargetMode="External"/><Relationship Id="rId129" Type="http://schemas.openxmlformats.org/officeDocument/2006/relationships/hyperlink" Target="http://www.wikidata.org/entity/Q115818849" TargetMode="External"/><Relationship Id="rId128" Type="http://schemas.openxmlformats.org/officeDocument/2006/relationships/hyperlink" Target="http://www.wikidata.org/prop/direct/P463" TargetMode="External"/><Relationship Id="rId127" Type="http://schemas.openxmlformats.org/officeDocument/2006/relationships/hyperlink" Target="http://www.wikidata.org/entity/Q119702334" TargetMode="External"/><Relationship Id="rId126" Type="http://schemas.openxmlformats.org/officeDocument/2006/relationships/hyperlink" Target="http://www.wikidata.org/entity/Q115829623" TargetMode="External"/><Relationship Id="rId2040" Type="http://schemas.openxmlformats.org/officeDocument/2006/relationships/hyperlink" Target="http://www.wikidata.org/entity/Q3166510" TargetMode="External"/><Relationship Id="rId121" Type="http://schemas.openxmlformats.org/officeDocument/2006/relationships/hyperlink" Target="http://www.wikidata.org/entity/Q1867263" TargetMode="External"/><Relationship Id="rId2041" Type="http://schemas.openxmlformats.org/officeDocument/2006/relationships/hyperlink" Target="http://www.wikidata.org/entity/Q644789" TargetMode="External"/><Relationship Id="rId120" Type="http://schemas.openxmlformats.org/officeDocument/2006/relationships/hyperlink" Target="http://www.wikidata.org/entity/Q115839360" TargetMode="External"/><Relationship Id="rId2042" Type="http://schemas.openxmlformats.org/officeDocument/2006/relationships/hyperlink" Target="http://www.wikidata.org/prop/direct/P69" TargetMode="External"/><Relationship Id="rId2043" Type="http://schemas.openxmlformats.org/officeDocument/2006/relationships/hyperlink" Target="http://www.wikidata.org/entity/Q120733873" TargetMode="External"/><Relationship Id="rId2044" Type="http://schemas.openxmlformats.org/officeDocument/2006/relationships/hyperlink" Target="http://www.wikidata.org/entity/Q2690997" TargetMode="External"/><Relationship Id="rId125" Type="http://schemas.openxmlformats.org/officeDocument/2006/relationships/hyperlink" Target="http://www.wikidata.org/prop/direct/P108" TargetMode="External"/><Relationship Id="rId2045" Type="http://schemas.openxmlformats.org/officeDocument/2006/relationships/hyperlink" Target="http://www.wikidata.org/prop/direct/P463" TargetMode="External"/><Relationship Id="rId124" Type="http://schemas.openxmlformats.org/officeDocument/2006/relationships/hyperlink" Target="http://www.wikidata.org/entity/Q2663876" TargetMode="External"/><Relationship Id="rId2046" Type="http://schemas.openxmlformats.org/officeDocument/2006/relationships/hyperlink" Target="http://www.wikidata.org/entity/Q123399443" TargetMode="External"/><Relationship Id="rId123" Type="http://schemas.openxmlformats.org/officeDocument/2006/relationships/hyperlink" Target="http://www.wikidata.org/entity/Q115818424" TargetMode="External"/><Relationship Id="rId2047" Type="http://schemas.openxmlformats.org/officeDocument/2006/relationships/hyperlink" Target="http://www.wikidata.org/entity/Q118464951" TargetMode="External"/><Relationship Id="rId122" Type="http://schemas.openxmlformats.org/officeDocument/2006/relationships/hyperlink" Target="http://www.wikidata.org/prop/direct/P108" TargetMode="External"/><Relationship Id="rId2048" Type="http://schemas.openxmlformats.org/officeDocument/2006/relationships/hyperlink" Target="http://www.wikidata.org/prop/direct/P108" TargetMode="External"/><Relationship Id="rId2038" Type="http://schemas.openxmlformats.org/officeDocument/2006/relationships/hyperlink" Target="http://www.wikidata.org/entity/Q120835988" TargetMode="External"/><Relationship Id="rId2039" Type="http://schemas.openxmlformats.org/officeDocument/2006/relationships/hyperlink" Target="http://www.wikidata.org/prop/direct/P108" TargetMode="External"/><Relationship Id="rId118" Type="http://schemas.openxmlformats.org/officeDocument/2006/relationships/hyperlink" Target="http://www.wikidata.org/entity/Q1867263" TargetMode="External"/><Relationship Id="rId117" Type="http://schemas.openxmlformats.org/officeDocument/2006/relationships/hyperlink" Target="http://www.wikidata.org/entity/Q115839360" TargetMode="External"/><Relationship Id="rId116" Type="http://schemas.openxmlformats.org/officeDocument/2006/relationships/hyperlink" Target="http://www.wikidata.org/prop/direct/P463" TargetMode="External"/><Relationship Id="rId115" Type="http://schemas.openxmlformats.org/officeDocument/2006/relationships/hyperlink" Target="http://www.wikidata.org/entity/Q119702334" TargetMode="External"/><Relationship Id="rId119" Type="http://schemas.openxmlformats.org/officeDocument/2006/relationships/hyperlink" Target="http://www.wikidata.org/prop/direct/P69" TargetMode="External"/><Relationship Id="rId110" Type="http://schemas.openxmlformats.org/officeDocument/2006/relationships/hyperlink" Target="http://www.wikidata.org/prop/direct/P108" TargetMode="External"/><Relationship Id="rId2030" Type="http://schemas.openxmlformats.org/officeDocument/2006/relationships/hyperlink" Target="http://www.wikidata.org/prop/direct/P69" TargetMode="External"/><Relationship Id="rId2031" Type="http://schemas.openxmlformats.org/officeDocument/2006/relationships/hyperlink" Target="http://www.wikidata.org/entity/Q120733873" TargetMode="External"/><Relationship Id="rId2032" Type="http://schemas.openxmlformats.org/officeDocument/2006/relationships/hyperlink" Target="http://www.wikidata.org/entity/Q50492927" TargetMode="External"/><Relationship Id="rId2033" Type="http://schemas.openxmlformats.org/officeDocument/2006/relationships/hyperlink" Target="http://www.wikidata.org/prop/direct/P463" TargetMode="External"/><Relationship Id="rId114" Type="http://schemas.openxmlformats.org/officeDocument/2006/relationships/hyperlink" Target="http://www.wikidata.org/entity/Q115979418" TargetMode="External"/><Relationship Id="rId2034" Type="http://schemas.openxmlformats.org/officeDocument/2006/relationships/hyperlink" Target="http://www.wikidata.org/entity/Q115811334" TargetMode="External"/><Relationship Id="rId113" Type="http://schemas.openxmlformats.org/officeDocument/2006/relationships/hyperlink" Target="http://www.wikidata.org/prop/direct/P108" TargetMode="External"/><Relationship Id="rId2035" Type="http://schemas.openxmlformats.org/officeDocument/2006/relationships/hyperlink" Target="http://www.wikidata.org/entity/Q120835965" TargetMode="External"/><Relationship Id="rId112" Type="http://schemas.openxmlformats.org/officeDocument/2006/relationships/hyperlink" Target="http://www.wikidata.org/entity/Q2663876" TargetMode="External"/><Relationship Id="rId2036" Type="http://schemas.openxmlformats.org/officeDocument/2006/relationships/hyperlink" Target="http://www.wikidata.org/prop/direct/P108" TargetMode="External"/><Relationship Id="rId111" Type="http://schemas.openxmlformats.org/officeDocument/2006/relationships/hyperlink" Target="http://www.wikidata.org/entity/Q115979418" TargetMode="External"/><Relationship Id="rId2037" Type="http://schemas.openxmlformats.org/officeDocument/2006/relationships/hyperlink" Target="http://www.wikidata.org/entity/Q115811334" TargetMode="External"/><Relationship Id="rId2005" Type="http://schemas.openxmlformats.org/officeDocument/2006/relationships/hyperlink" Target="http://www.wikidata.org/entity/Q157575" TargetMode="External"/><Relationship Id="rId2006" Type="http://schemas.openxmlformats.org/officeDocument/2006/relationships/hyperlink" Target="http://www.wikidata.org/prop/direct/P69" TargetMode="External"/><Relationship Id="rId2007" Type="http://schemas.openxmlformats.org/officeDocument/2006/relationships/hyperlink" Target="http://www.wikidata.org/entity/Q2457997" TargetMode="External"/><Relationship Id="rId2008" Type="http://schemas.openxmlformats.org/officeDocument/2006/relationships/hyperlink" Target="http://www.wikidata.org/entity/Q33100553" TargetMode="External"/><Relationship Id="rId2009" Type="http://schemas.openxmlformats.org/officeDocument/2006/relationships/hyperlink" Target="http://www.wikidata.org/prop/direct/P69" TargetMode="External"/><Relationship Id="rId2000" Type="http://schemas.openxmlformats.org/officeDocument/2006/relationships/hyperlink" Target="http://www.wikidata.org/prop/direct/P463" TargetMode="External"/><Relationship Id="rId2001" Type="http://schemas.openxmlformats.org/officeDocument/2006/relationships/hyperlink" Target="http://www.wikidata.org/entity/Q17428533" TargetMode="External"/><Relationship Id="rId2002" Type="http://schemas.openxmlformats.org/officeDocument/2006/relationships/hyperlink" Target="http://www.wikidata.org/entity/Q1137665" TargetMode="External"/><Relationship Id="rId2003" Type="http://schemas.openxmlformats.org/officeDocument/2006/relationships/hyperlink" Target="http://www.wikidata.org/prop/direct/P69" TargetMode="External"/><Relationship Id="rId2004" Type="http://schemas.openxmlformats.org/officeDocument/2006/relationships/hyperlink" Target="http://www.wikidata.org/entity/Q13769746" TargetMode="External"/><Relationship Id="rId2090" Type="http://schemas.openxmlformats.org/officeDocument/2006/relationships/hyperlink" Target="http://www.wikidata.org/prop/direct/P69" TargetMode="External"/><Relationship Id="rId2091" Type="http://schemas.openxmlformats.org/officeDocument/2006/relationships/hyperlink" Target="http://www.wikidata.org/entity/Q2754460" TargetMode="External"/><Relationship Id="rId2092" Type="http://schemas.openxmlformats.org/officeDocument/2006/relationships/hyperlink" Target="http://www.wikidata.org/entity/Q644789" TargetMode="External"/><Relationship Id="rId2093" Type="http://schemas.openxmlformats.org/officeDocument/2006/relationships/hyperlink" Target="http://www.wikidata.org/prop/direct/P69" TargetMode="External"/><Relationship Id="rId2094" Type="http://schemas.openxmlformats.org/officeDocument/2006/relationships/hyperlink" Target="http://www.wikidata.org/entity/Q2539969" TargetMode="External"/><Relationship Id="rId2095" Type="http://schemas.openxmlformats.org/officeDocument/2006/relationships/hyperlink" Target="http://www.wikidata.org/entity/Q1864590" TargetMode="External"/><Relationship Id="rId2096" Type="http://schemas.openxmlformats.org/officeDocument/2006/relationships/hyperlink" Target="http://www.wikidata.org/prop/direct/P69" TargetMode="External"/><Relationship Id="rId2097" Type="http://schemas.openxmlformats.org/officeDocument/2006/relationships/hyperlink" Target="http://www.wikidata.org/entity/Q115979812" TargetMode="External"/><Relationship Id="rId2098" Type="http://schemas.openxmlformats.org/officeDocument/2006/relationships/hyperlink" Target="http://www.wikidata.org/entity/Q118369334" TargetMode="External"/><Relationship Id="rId2099" Type="http://schemas.openxmlformats.org/officeDocument/2006/relationships/hyperlink" Target="http://www.wikidata.org/prop/direct/P108" TargetMode="External"/><Relationship Id="rId2060" Type="http://schemas.openxmlformats.org/officeDocument/2006/relationships/hyperlink" Target="http://www.wikidata.org/prop/direct/P108" TargetMode="External"/><Relationship Id="rId2061" Type="http://schemas.openxmlformats.org/officeDocument/2006/relationships/hyperlink" Target="http://www.wikidata.org/entity/Q961180" TargetMode="External"/><Relationship Id="rId2062" Type="http://schemas.openxmlformats.org/officeDocument/2006/relationships/hyperlink" Target="http://www.wikidata.org/entity/Q253439" TargetMode="External"/><Relationship Id="rId2063" Type="http://schemas.openxmlformats.org/officeDocument/2006/relationships/hyperlink" Target="http://www.wikidata.org/prop/direct/P463" TargetMode="External"/><Relationship Id="rId2064" Type="http://schemas.openxmlformats.org/officeDocument/2006/relationships/hyperlink" Target="http://www.wikidata.org/entity/Q2496044" TargetMode="External"/><Relationship Id="rId2065" Type="http://schemas.openxmlformats.org/officeDocument/2006/relationships/hyperlink" Target="http://www.wikidata.org/entity/Q1867263" TargetMode="External"/><Relationship Id="rId2066" Type="http://schemas.openxmlformats.org/officeDocument/2006/relationships/hyperlink" Target="http://www.wikidata.org/prop/direct/P69" TargetMode="External"/><Relationship Id="rId2067" Type="http://schemas.openxmlformats.org/officeDocument/2006/relationships/hyperlink" Target="http://www.wikidata.org/entity/Q2496044" TargetMode="External"/><Relationship Id="rId2068" Type="http://schemas.openxmlformats.org/officeDocument/2006/relationships/hyperlink" Target="http://www.wikidata.org/entity/Q1867263" TargetMode="External"/><Relationship Id="rId2069" Type="http://schemas.openxmlformats.org/officeDocument/2006/relationships/hyperlink" Target="http://www.wikidata.org/prop/direct/P108" TargetMode="External"/><Relationship Id="rId2050" Type="http://schemas.openxmlformats.org/officeDocument/2006/relationships/hyperlink" Target="http://www.wikidata.org/entity/Q120837774" TargetMode="External"/><Relationship Id="rId2051" Type="http://schemas.openxmlformats.org/officeDocument/2006/relationships/hyperlink" Target="http://www.wikidata.org/prop/direct/P69" TargetMode="External"/><Relationship Id="rId2052" Type="http://schemas.openxmlformats.org/officeDocument/2006/relationships/hyperlink" Target="http://www.wikidata.org/entity/Q42596" TargetMode="External"/><Relationship Id="rId2053" Type="http://schemas.openxmlformats.org/officeDocument/2006/relationships/hyperlink" Target="http://www.wikidata.org/entity/Q21592577" TargetMode="External"/><Relationship Id="rId2054" Type="http://schemas.openxmlformats.org/officeDocument/2006/relationships/hyperlink" Target="http://www.wikidata.org/prop/direct/P69" TargetMode="External"/><Relationship Id="rId2055" Type="http://schemas.openxmlformats.org/officeDocument/2006/relationships/hyperlink" Target="http://www.wikidata.org/entity/Q2627945" TargetMode="External"/><Relationship Id="rId2056" Type="http://schemas.openxmlformats.org/officeDocument/2006/relationships/hyperlink" Target="http://www.wikidata.org/entity/Q3380726" TargetMode="External"/><Relationship Id="rId2057" Type="http://schemas.openxmlformats.org/officeDocument/2006/relationships/hyperlink" Target="http://www.wikidata.org/prop/direct/P108" TargetMode="External"/><Relationship Id="rId2058" Type="http://schemas.openxmlformats.org/officeDocument/2006/relationships/hyperlink" Target="http://www.wikidata.org/entity/Q2496044" TargetMode="External"/><Relationship Id="rId2059" Type="http://schemas.openxmlformats.org/officeDocument/2006/relationships/hyperlink" Target="http://www.wikidata.org/entity/Q3465633" TargetMode="External"/><Relationship Id="rId2080" Type="http://schemas.openxmlformats.org/officeDocument/2006/relationships/hyperlink" Target="http://www.wikidata.org/entity/Q118388831" TargetMode="External"/><Relationship Id="rId2081" Type="http://schemas.openxmlformats.org/officeDocument/2006/relationships/hyperlink" Target="http://www.wikidata.org/prop/direct/P108" TargetMode="External"/><Relationship Id="rId2082" Type="http://schemas.openxmlformats.org/officeDocument/2006/relationships/hyperlink" Target="http://www.wikidata.org/entity/Q2266893" TargetMode="External"/><Relationship Id="rId2083" Type="http://schemas.openxmlformats.org/officeDocument/2006/relationships/hyperlink" Target="http://www.wikidata.org/entity/Q1268453" TargetMode="External"/><Relationship Id="rId2084" Type="http://schemas.openxmlformats.org/officeDocument/2006/relationships/hyperlink" Target="http://www.wikidata.org/prop/direct/P463" TargetMode="External"/><Relationship Id="rId2085" Type="http://schemas.openxmlformats.org/officeDocument/2006/relationships/hyperlink" Target="http://www.wikidata.org/entity/Q2779054" TargetMode="External"/><Relationship Id="rId2086" Type="http://schemas.openxmlformats.org/officeDocument/2006/relationships/hyperlink" Target="http://www.wikidata.org/entity/Q2479554" TargetMode="External"/><Relationship Id="rId2087" Type="http://schemas.openxmlformats.org/officeDocument/2006/relationships/hyperlink" Target="http://www.wikidata.org/prop/direct/P69" TargetMode="External"/><Relationship Id="rId2088" Type="http://schemas.openxmlformats.org/officeDocument/2006/relationships/hyperlink" Target="http://www.wikidata.org/entity/Q2496044" TargetMode="External"/><Relationship Id="rId2089" Type="http://schemas.openxmlformats.org/officeDocument/2006/relationships/hyperlink" Target="http://www.wikidata.org/entity/Q2663876" TargetMode="External"/><Relationship Id="rId2070" Type="http://schemas.openxmlformats.org/officeDocument/2006/relationships/hyperlink" Target="http://www.wikidata.org/entity/Q115811334" TargetMode="External"/><Relationship Id="rId2071" Type="http://schemas.openxmlformats.org/officeDocument/2006/relationships/hyperlink" Target="http://www.wikidata.org/entity/Q118369084" TargetMode="External"/><Relationship Id="rId2072" Type="http://schemas.openxmlformats.org/officeDocument/2006/relationships/hyperlink" Target="http://www.wikidata.org/prop/direct/P463" TargetMode="External"/><Relationship Id="rId2073" Type="http://schemas.openxmlformats.org/officeDocument/2006/relationships/hyperlink" Target="http://www.wikidata.org/entity/Q29019503" TargetMode="External"/><Relationship Id="rId2074" Type="http://schemas.openxmlformats.org/officeDocument/2006/relationships/hyperlink" Target="http://www.wikidata.org/entity/Q1137665" TargetMode="External"/><Relationship Id="rId2075" Type="http://schemas.openxmlformats.org/officeDocument/2006/relationships/hyperlink" Target="http://www.wikidata.org/prop/direct/P69" TargetMode="External"/><Relationship Id="rId2076" Type="http://schemas.openxmlformats.org/officeDocument/2006/relationships/hyperlink" Target="http://www.wikidata.org/entity/Q29019503" TargetMode="External"/><Relationship Id="rId2077" Type="http://schemas.openxmlformats.org/officeDocument/2006/relationships/hyperlink" Target="http://www.wikidata.org/entity/Q1137665" TargetMode="External"/><Relationship Id="rId2078" Type="http://schemas.openxmlformats.org/officeDocument/2006/relationships/hyperlink" Target="http://www.wikidata.org/prop/direct/P108" TargetMode="External"/><Relationship Id="rId2079" Type="http://schemas.openxmlformats.org/officeDocument/2006/relationships/hyperlink" Target="http://www.wikidata.org/entity/Q115811334" TargetMode="External"/><Relationship Id="rId1610" Type="http://schemas.openxmlformats.org/officeDocument/2006/relationships/hyperlink" Target="http://www.wikidata.org/prop/direct/P463" TargetMode="External"/><Relationship Id="rId1611" Type="http://schemas.openxmlformats.org/officeDocument/2006/relationships/hyperlink" Target="http://www.wikidata.org/entity/Q3557112" TargetMode="External"/><Relationship Id="rId1612" Type="http://schemas.openxmlformats.org/officeDocument/2006/relationships/hyperlink" Target="http://www.wikidata.org/entity/Q33100553" TargetMode="External"/><Relationship Id="rId1613" Type="http://schemas.openxmlformats.org/officeDocument/2006/relationships/hyperlink" Target="http://www.wikidata.org/prop/direct/P69" TargetMode="External"/><Relationship Id="rId1614" Type="http://schemas.openxmlformats.org/officeDocument/2006/relationships/hyperlink" Target="http://www.wikidata.org/entity/Q2524668" TargetMode="External"/><Relationship Id="rId1615" Type="http://schemas.openxmlformats.org/officeDocument/2006/relationships/hyperlink" Target="http://www.wikidata.org/entity/Q1867263" TargetMode="External"/><Relationship Id="rId1616" Type="http://schemas.openxmlformats.org/officeDocument/2006/relationships/hyperlink" Target="http://www.wikidata.org/prop/direct/P69" TargetMode="External"/><Relationship Id="rId907" Type="http://schemas.openxmlformats.org/officeDocument/2006/relationships/hyperlink" Target="http://www.wikidata.org/entity/Q121047069" TargetMode="External"/><Relationship Id="rId1617" Type="http://schemas.openxmlformats.org/officeDocument/2006/relationships/hyperlink" Target="http://www.wikidata.org/entity/Q115829884" TargetMode="External"/><Relationship Id="rId906" Type="http://schemas.openxmlformats.org/officeDocument/2006/relationships/hyperlink" Target="http://www.wikidata.org/entity/Q115839443" TargetMode="External"/><Relationship Id="rId1618" Type="http://schemas.openxmlformats.org/officeDocument/2006/relationships/hyperlink" Target="http://www.wikidata.org/entity/Q2237527" TargetMode="External"/><Relationship Id="rId905" Type="http://schemas.openxmlformats.org/officeDocument/2006/relationships/hyperlink" Target="http://www.wikidata.org/prop/direct/P69" TargetMode="External"/><Relationship Id="rId1619" Type="http://schemas.openxmlformats.org/officeDocument/2006/relationships/hyperlink" Target="http://www.wikidata.org/prop/direct/P108" TargetMode="External"/><Relationship Id="rId904" Type="http://schemas.openxmlformats.org/officeDocument/2006/relationships/hyperlink" Target="http://www.wikidata.org/entity/Q2479554" TargetMode="External"/><Relationship Id="rId909" Type="http://schemas.openxmlformats.org/officeDocument/2006/relationships/hyperlink" Target="http://www.wikidata.org/entity/Q111744944" TargetMode="External"/><Relationship Id="rId908" Type="http://schemas.openxmlformats.org/officeDocument/2006/relationships/hyperlink" Target="http://www.wikidata.org/prop/direct/P108" TargetMode="External"/><Relationship Id="rId903" Type="http://schemas.openxmlformats.org/officeDocument/2006/relationships/hyperlink" Target="http://www.wikidata.org/entity/Q115840920" TargetMode="External"/><Relationship Id="rId902" Type="http://schemas.openxmlformats.org/officeDocument/2006/relationships/hyperlink" Target="http://www.wikidata.org/prop/direct/P463" TargetMode="External"/><Relationship Id="rId901" Type="http://schemas.openxmlformats.org/officeDocument/2006/relationships/hyperlink" Target="http://www.wikidata.org/entity/Q2985460" TargetMode="External"/><Relationship Id="rId900" Type="http://schemas.openxmlformats.org/officeDocument/2006/relationships/hyperlink" Target="http://www.wikidata.org/entity/Q101627274" TargetMode="External"/><Relationship Id="rId1600" Type="http://schemas.openxmlformats.org/officeDocument/2006/relationships/hyperlink" Target="http://www.wikidata.org/entity/Q2267896" TargetMode="External"/><Relationship Id="rId1601" Type="http://schemas.openxmlformats.org/officeDocument/2006/relationships/hyperlink" Target="http://www.wikidata.org/prop/direct/P463" TargetMode="External"/><Relationship Id="rId1602" Type="http://schemas.openxmlformats.org/officeDocument/2006/relationships/hyperlink" Target="http://www.wikidata.org/entity/Q110039191" TargetMode="External"/><Relationship Id="rId1603" Type="http://schemas.openxmlformats.org/officeDocument/2006/relationships/hyperlink" Target="http://www.wikidata.org/entity/Q2480833" TargetMode="External"/><Relationship Id="rId1604" Type="http://schemas.openxmlformats.org/officeDocument/2006/relationships/hyperlink" Target="http://www.wikidata.org/prop/direct/P108" TargetMode="External"/><Relationship Id="rId1605" Type="http://schemas.openxmlformats.org/officeDocument/2006/relationships/hyperlink" Target="http://www.wikidata.org/entity/Q123416074" TargetMode="External"/><Relationship Id="rId1606" Type="http://schemas.openxmlformats.org/officeDocument/2006/relationships/hyperlink" Target="http://www.wikidata.org/entity/Q1867263" TargetMode="External"/><Relationship Id="rId1607" Type="http://schemas.openxmlformats.org/officeDocument/2006/relationships/hyperlink" Target="http://www.wikidata.org/prop/direct/P69" TargetMode="External"/><Relationship Id="rId1608" Type="http://schemas.openxmlformats.org/officeDocument/2006/relationships/hyperlink" Target="http://www.wikidata.org/entity/Q13429634" TargetMode="External"/><Relationship Id="rId1609" Type="http://schemas.openxmlformats.org/officeDocument/2006/relationships/hyperlink" Target="http://www.wikidata.org/entity/Q42197335" TargetMode="External"/><Relationship Id="rId1631" Type="http://schemas.openxmlformats.org/officeDocument/2006/relationships/hyperlink" Target="http://www.wikidata.org/prop/direct/P69" TargetMode="External"/><Relationship Id="rId1632" Type="http://schemas.openxmlformats.org/officeDocument/2006/relationships/hyperlink" Target="http://www.wikidata.org/entity/Q118175361" TargetMode="External"/><Relationship Id="rId1633" Type="http://schemas.openxmlformats.org/officeDocument/2006/relationships/hyperlink" Target="http://www.wikidata.org/entity/Q2663876" TargetMode="External"/><Relationship Id="rId1634" Type="http://schemas.openxmlformats.org/officeDocument/2006/relationships/hyperlink" Target="http://www.wikidata.org/prop/direct/P108" TargetMode="External"/><Relationship Id="rId1635" Type="http://schemas.openxmlformats.org/officeDocument/2006/relationships/hyperlink" Target="http://www.wikidata.org/entity/Q13429634" TargetMode="External"/><Relationship Id="rId1636" Type="http://schemas.openxmlformats.org/officeDocument/2006/relationships/hyperlink" Target="http://www.wikidata.org/entity/Q119626889" TargetMode="External"/><Relationship Id="rId1637" Type="http://schemas.openxmlformats.org/officeDocument/2006/relationships/hyperlink" Target="http://www.wikidata.org/prop/direct/P463" TargetMode="External"/><Relationship Id="rId1638" Type="http://schemas.openxmlformats.org/officeDocument/2006/relationships/hyperlink" Target="http://www.wikidata.org/entity/Q2524668" TargetMode="External"/><Relationship Id="rId929" Type="http://schemas.openxmlformats.org/officeDocument/2006/relationships/hyperlink" Target="http://www.wikidata.org/prop/direct/P69" TargetMode="External"/><Relationship Id="rId1639" Type="http://schemas.openxmlformats.org/officeDocument/2006/relationships/hyperlink" Target="http://www.wikidata.org/entity/Q2663876" TargetMode="External"/><Relationship Id="rId928" Type="http://schemas.openxmlformats.org/officeDocument/2006/relationships/hyperlink" Target="http://www.wikidata.org/entity/Q644789" TargetMode="External"/><Relationship Id="rId927" Type="http://schemas.openxmlformats.org/officeDocument/2006/relationships/hyperlink" Target="http://www.wikidata.org/entity/Q118151362" TargetMode="External"/><Relationship Id="rId926" Type="http://schemas.openxmlformats.org/officeDocument/2006/relationships/hyperlink" Target="http://www.wikidata.org/prop/direct/P69" TargetMode="External"/><Relationship Id="rId921" Type="http://schemas.openxmlformats.org/officeDocument/2006/relationships/hyperlink" Target="http://www.wikidata.org/entity/Q2675588" TargetMode="External"/><Relationship Id="rId920" Type="http://schemas.openxmlformats.org/officeDocument/2006/relationships/hyperlink" Target="http://www.wikidata.org/prop/direct/P69" TargetMode="External"/><Relationship Id="rId925" Type="http://schemas.openxmlformats.org/officeDocument/2006/relationships/hyperlink" Target="http://www.wikidata.org/entity/Q1864590" TargetMode="External"/><Relationship Id="rId924" Type="http://schemas.openxmlformats.org/officeDocument/2006/relationships/hyperlink" Target="http://www.wikidata.org/entity/Q118998340" TargetMode="External"/><Relationship Id="rId923" Type="http://schemas.openxmlformats.org/officeDocument/2006/relationships/hyperlink" Target="http://www.wikidata.org/prop/direct/P69" TargetMode="External"/><Relationship Id="rId922" Type="http://schemas.openxmlformats.org/officeDocument/2006/relationships/hyperlink" Target="http://www.wikidata.org/entity/Q1867263" TargetMode="External"/><Relationship Id="rId1630" Type="http://schemas.openxmlformats.org/officeDocument/2006/relationships/hyperlink" Target="http://www.wikidata.org/entity/Q1867263" TargetMode="External"/><Relationship Id="rId1620" Type="http://schemas.openxmlformats.org/officeDocument/2006/relationships/hyperlink" Target="http://www.wikidata.org/entity/Q110039191" TargetMode="External"/><Relationship Id="rId1621" Type="http://schemas.openxmlformats.org/officeDocument/2006/relationships/hyperlink" Target="http://www.wikidata.org/entity/Q2663876" TargetMode="External"/><Relationship Id="rId1622" Type="http://schemas.openxmlformats.org/officeDocument/2006/relationships/hyperlink" Target="http://www.wikidata.org/prop/direct/P108" TargetMode="External"/><Relationship Id="rId1623" Type="http://schemas.openxmlformats.org/officeDocument/2006/relationships/hyperlink" Target="http://www.wikidata.org/entity/Q75320317" TargetMode="External"/><Relationship Id="rId1624" Type="http://schemas.openxmlformats.org/officeDocument/2006/relationships/hyperlink" Target="http://www.wikidata.org/entity/Q925942" TargetMode="External"/><Relationship Id="rId1625" Type="http://schemas.openxmlformats.org/officeDocument/2006/relationships/hyperlink" Target="http://www.wikidata.org/prop/direct/P69" TargetMode="External"/><Relationship Id="rId1626" Type="http://schemas.openxmlformats.org/officeDocument/2006/relationships/hyperlink" Target="http://www.wikidata.org/entity/Q3557112" TargetMode="External"/><Relationship Id="rId1627" Type="http://schemas.openxmlformats.org/officeDocument/2006/relationships/hyperlink" Target="http://www.wikidata.org/entity/Q1268453" TargetMode="External"/><Relationship Id="rId918" Type="http://schemas.openxmlformats.org/officeDocument/2006/relationships/hyperlink" Target="http://www.wikidata.org/entity/Q115835763" TargetMode="External"/><Relationship Id="rId1628" Type="http://schemas.openxmlformats.org/officeDocument/2006/relationships/hyperlink" Target="http://www.wikidata.org/prop/direct/P463" TargetMode="External"/><Relationship Id="rId917" Type="http://schemas.openxmlformats.org/officeDocument/2006/relationships/hyperlink" Target="http://www.wikidata.org/prop/direct/P463" TargetMode="External"/><Relationship Id="rId1629" Type="http://schemas.openxmlformats.org/officeDocument/2006/relationships/hyperlink" Target="http://www.wikidata.org/entity/Q119041387" TargetMode="External"/><Relationship Id="rId916" Type="http://schemas.openxmlformats.org/officeDocument/2006/relationships/hyperlink" Target="http://www.wikidata.org/entity/Q1268453" TargetMode="External"/><Relationship Id="rId915" Type="http://schemas.openxmlformats.org/officeDocument/2006/relationships/hyperlink" Target="http://www.wikidata.org/entity/Q56036018" TargetMode="External"/><Relationship Id="rId919" Type="http://schemas.openxmlformats.org/officeDocument/2006/relationships/hyperlink" Target="http://www.wikidata.org/entity/Q644789" TargetMode="External"/><Relationship Id="rId910" Type="http://schemas.openxmlformats.org/officeDocument/2006/relationships/hyperlink" Target="http://www.wikidata.org/entity/Q109663038" TargetMode="External"/><Relationship Id="rId914" Type="http://schemas.openxmlformats.org/officeDocument/2006/relationships/hyperlink" Target="http://www.wikidata.org/prop/direct/P69" TargetMode="External"/><Relationship Id="rId913" Type="http://schemas.openxmlformats.org/officeDocument/2006/relationships/hyperlink" Target="http://www.wikidata.org/entity/Q1867263" TargetMode="External"/><Relationship Id="rId912" Type="http://schemas.openxmlformats.org/officeDocument/2006/relationships/hyperlink" Target="http://www.wikidata.org/entity/Q2306925" TargetMode="External"/><Relationship Id="rId911" Type="http://schemas.openxmlformats.org/officeDocument/2006/relationships/hyperlink" Target="http://www.wikidata.org/prop/direct/P108" TargetMode="External"/><Relationship Id="rId2900" Type="http://schemas.openxmlformats.org/officeDocument/2006/relationships/hyperlink" Target="http://www.wikidata.org/prop/direct/P69" TargetMode="External"/><Relationship Id="rId2901" Type="http://schemas.openxmlformats.org/officeDocument/2006/relationships/hyperlink" Target="http://www.wikidata.org/entity/Q115837593" TargetMode="External"/><Relationship Id="rId2902" Type="http://schemas.openxmlformats.org/officeDocument/2006/relationships/hyperlink" Target="http://www.wikidata.org/entity/Q2018402" TargetMode="External"/><Relationship Id="rId2903" Type="http://schemas.openxmlformats.org/officeDocument/2006/relationships/hyperlink" Target="http://www.wikidata.org/prop/direct/P108" TargetMode="External"/><Relationship Id="rId2904" Type="http://schemas.openxmlformats.org/officeDocument/2006/relationships/hyperlink" Target="http://www.wikidata.org/entity/Q115837593" TargetMode="External"/><Relationship Id="rId2905" Type="http://schemas.openxmlformats.org/officeDocument/2006/relationships/hyperlink" Target="http://www.wikidata.org/entity/Q120330461" TargetMode="External"/><Relationship Id="rId2906" Type="http://schemas.openxmlformats.org/officeDocument/2006/relationships/hyperlink" Target="http://www.wikidata.org/prop/direct/P108" TargetMode="External"/><Relationship Id="rId2907" Type="http://schemas.openxmlformats.org/officeDocument/2006/relationships/hyperlink" Target="http://www.wikidata.org/entity/Q120651810" TargetMode="External"/><Relationship Id="rId2908" Type="http://schemas.openxmlformats.org/officeDocument/2006/relationships/hyperlink" Target="http://www.wikidata.org/entity/Q115762138" TargetMode="External"/><Relationship Id="rId2909" Type="http://schemas.openxmlformats.org/officeDocument/2006/relationships/hyperlink" Target="http://www.wikidata.org/prop/direct/P463" TargetMode="External"/><Relationship Id="rId2920" Type="http://schemas.openxmlformats.org/officeDocument/2006/relationships/hyperlink" Target="http://www.wikidata.org/entity/Q467025" TargetMode="External"/><Relationship Id="rId2921" Type="http://schemas.openxmlformats.org/officeDocument/2006/relationships/hyperlink" Target="http://www.wikidata.org/prop/direct/P69" TargetMode="External"/><Relationship Id="rId2922" Type="http://schemas.openxmlformats.org/officeDocument/2006/relationships/hyperlink" Target="http://www.wikidata.org/entity/Q120651810" TargetMode="External"/><Relationship Id="rId2923" Type="http://schemas.openxmlformats.org/officeDocument/2006/relationships/hyperlink" Target="http://www.wikidata.org/entity/Q2985460" TargetMode="External"/><Relationship Id="rId2924" Type="http://schemas.openxmlformats.org/officeDocument/2006/relationships/hyperlink" Target="http://www.wikidata.org/prop/direct/P463" TargetMode="External"/><Relationship Id="rId2925" Type="http://schemas.openxmlformats.org/officeDocument/2006/relationships/hyperlink" Target="http://www.wikidata.org/entity/Q115836962" TargetMode="External"/><Relationship Id="rId2926" Type="http://schemas.openxmlformats.org/officeDocument/2006/relationships/hyperlink" Target="http://www.wikidata.org/entity/Q118369084" TargetMode="External"/><Relationship Id="rId2927" Type="http://schemas.openxmlformats.org/officeDocument/2006/relationships/hyperlink" Target="http://www.wikidata.org/prop/direct/P463" TargetMode="External"/><Relationship Id="rId2928" Type="http://schemas.openxmlformats.org/officeDocument/2006/relationships/drawing" Target="../drawings/drawing3.xml"/><Relationship Id="rId2910" Type="http://schemas.openxmlformats.org/officeDocument/2006/relationships/hyperlink" Target="http://www.wikidata.org/entity/Q115980136" TargetMode="External"/><Relationship Id="rId2911" Type="http://schemas.openxmlformats.org/officeDocument/2006/relationships/hyperlink" Target="http://www.wikidata.org/entity/Q1867263" TargetMode="External"/><Relationship Id="rId2912" Type="http://schemas.openxmlformats.org/officeDocument/2006/relationships/hyperlink" Target="http://www.wikidata.org/prop/direct/P69" TargetMode="External"/><Relationship Id="rId2913" Type="http://schemas.openxmlformats.org/officeDocument/2006/relationships/hyperlink" Target="http://www.wikidata.org/entity/Q115980136" TargetMode="External"/><Relationship Id="rId2914" Type="http://schemas.openxmlformats.org/officeDocument/2006/relationships/hyperlink" Target="http://www.wikidata.org/entity/Q1867263" TargetMode="External"/><Relationship Id="rId2915" Type="http://schemas.openxmlformats.org/officeDocument/2006/relationships/hyperlink" Target="http://www.wikidata.org/prop/direct/P108" TargetMode="External"/><Relationship Id="rId2916" Type="http://schemas.openxmlformats.org/officeDocument/2006/relationships/hyperlink" Target="http://www.wikidata.org/entity/Q115980136" TargetMode="External"/><Relationship Id="rId2917" Type="http://schemas.openxmlformats.org/officeDocument/2006/relationships/hyperlink" Target="http://www.wikidata.org/entity/Q119702334" TargetMode="External"/><Relationship Id="rId2918" Type="http://schemas.openxmlformats.org/officeDocument/2006/relationships/hyperlink" Target="http://www.wikidata.org/prop/direct/P463" TargetMode="External"/><Relationship Id="rId2919" Type="http://schemas.openxmlformats.org/officeDocument/2006/relationships/hyperlink" Target="http://www.wikidata.org/entity/Q122872579" TargetMode="External"/><Relationship Id="rId1697" Type="http://schemas.openxmlformats.org/officeDocument/2006/relationships/hyperlink" Target="http://www.wikidata.org/prop/direct/P108" TargetMode="External"/><Relationship Id="rId1698" Type="http://schemas.openxmlformats.org/officeDocument/2006/relationships/hyperlink" Target="http://www.wikidata.org/entity/Q75320317" TargetMode="External"/><Relationship Id="rId1699" Type="http://schemas.openxmlformats.org/officeDocument/2006/relationships/hyperlink" Target="http://www.wikidata.org/entity/Q193196" TargetMode="External"/><Relationship Id="rId866" Type="http://schemas.openxmlformats.org/officeDocument/2006/relationships/hyperlink" Target="http://www.wikidata.org/prop/direct/P108" TargetMode="External"/><Relationship Id="rId865" Type="http://schemas.openxmlformats.org/officeDocument/2006/relationships/hyperlink" Target="http://www.wikidata.org/entity/Q2663876" TargetMode="External"/><Relationship Id="rId864" Type="http://schemas.openxmlformats.org/officeDocument/2006/relationships/hyperlink" Target="http://www.wikidata.org/entity/Q118151362" TargetMode="External"/><Relationship Id="rId863" Type="http://schemas.openxmlformats.org/officeDocument/2006/relationships/hyperlink" Target="http://www.wikidata.org/prop/direct/P463" TargetMode="External"/><Relationship Id="rId869" Type="http://schemas.openxmlformats.org/officeDocument/2006/relationships/hyperlink" Target="http://www.wikidata.org/prop/direct/P463" TargetMode="External"/><Relationship Id="rId868" Type="http://schemas.openxmlformats.org/officeDocument/2006/relationships/hyperlink" Target="http://www.wikidata.org/entity/Q119702334" TargetMode="External"/><Relationship Id="rId867" Type="http://schemas.openxmlformats.org/officeDocument/2006/relationships/hyperlink" Target="http://www.wikidata.org/entity/Q118792556" TargetMode="External"/><Relationship Id="rId1690" Type="http://schemas.openxmlformats.org/officeDocument/2006/relationships/hyperlink" Target="http://www.wikidata.org/entity/Q2237527" TargetMode="External"/><Relationship Id="rId1691" Type="http://schemas.openxmlformats.org/officeDocument/2006/relationships/hyperlink" Target="http://www.wikidata.org/prop/direct/P108" TargetMode="External"/><Relationship Id="rId1692" Type="http://schemas.openxmlformats.org/officeDocument/2006/relationships/hyperlink" Target="http://www.wikidata.org/entity/Q5026719" TargetMode="External"/><Relationship Id="rId862" Type="http://schemas.openxmlformats.org/officeDocument/2006/relationships/hyperlink" Target="http://www.wikidata.org/entity/Q2267896" TargetMode="External"/><Relationship Id="rId1693" Type="http://schemas.openxmlformats.org/officeDocument/2006/relationships/hyperlink" Target="http://www.wikidata.org/entity/Q2479554" TargetMode="External"/><Relationship Id="rId861" Type="http://schemas.openxmlformats.org/officeDocument/2006/relationships/hyperlink" Target="http://www.wikidata.org/entity/Q2684959" TargetMode="External"/><Relationship Id="rId1694" Type="http://schemas.openxmlformats.org/officeDocument/2006/relationships/hyperlink" Target="http://www.wikidata.org/prop/direct/P69" TargetMode="External"/><Relationship Id="rId860" Type="http://schemas.openxmlformats.org/officeDocument/2006/relationships/hyperlink" Target="http://www.wikidata.org/prop/direct/P463" TargetMode="External"/><Relationship Id="rId1695" Type="http://schemas.openxmlformats.org/officeDocument/2006/relationships/hyperlink" Target="http://www.wikidata.org/entity/Q120884878" TargetMode="External"/><Relationship Id="rId1696" Type="http://schemas.openxmlformats.org/officeDocument/2006/relationships/hyperlink" Target="http://www.wikidata.org/entity/Q118369334" TargetMode="External"/><Relationship Id="rId1686" Type="http://schemas.openxmlformats.org/officeDocument/2006/relationships/hyperlink" Target="http://www.wikidata.org/entity/Q119794240" TargetMode="External"/><Relationship Id="rId1687" Type="http://schemas.openxmlformats.org/officeDocument/2006/relationships/hyperlink" Target="http://www.wikidata.org/entity/Q119702334" TargetMode="External"/><Relationship Id="rId1688" Type="http://schemas.openxmlformats.org/officeDocument/2006/relationships/hyperlink" Target="http://www.wikidata.org/prop/direct/P463" TargetMode="External"/><Relationship Id="rId1689" Type="http://schemas.openxmlformats.org/officeDocument/2006/relationships/hyperlink" Target="http://www.wikidata.org/entity/Q115813555" TargetMode="External"/><Relationship Id="rId855" Type="http://schemas.openxmlformats.org/officeDocument/2006/relationships/hyperlink" Target="http://www.wikidata.org/entity/Q2617184" TargetMode="External"/><Relationship Id="rId854" Type="http://schemas.openxmlformats.org/officeDocument/2006/relationships/hyperlink" Target="http://www.wikidata.org/prop/direct/P69" TargetMode="External"/><Relationship Id="rId853" Type="http://schemas.openxmlformats.org/officeDocument/2006/relationships/hyperlink" Target="http://www.wikidata.org/entity/Q1867263" TargetMode="External"/><Relationship Id="rId852" Type="http://schemas.openxmlformats.org/officeDocument/2006/relationships/hyperlink" Target="http://www.wikidata.org/entity/Q115840920" TargetMode="External"/><Relationship Id="rId859" Type="http://schemas.openxmlformats.org/officeDocument/2006/relationships/hyperlink" Target="http://www.wikidata.org/entity/Q2267896" TargetMode="External"/><Relationship Id="rId858" Type="http://schemas.openxmlformats.org/officeDocument/2006/relationships/hyperlink" Target="http://www.wikidata.org/entity/Q2306925" TargetMode="External"/><Relationship Id="rId857" Type="http://schemas.openxmlformats.org/officeDocument/2006/relationships/hyperlink" Target="http://www.wikidata.org/prop/direct/P463" TargetMode="External"/><Relationship Id="rId856" Type="http://schemas.openxmlformats.org/officeDocument/2006/relationships/hyperlink" Target="http://www.wikidata.org/entity/Q1268453" TargetMode="External"/><Relationship Id="rId1680" Type="http://schemas.openxmlformats.org/officeDocument/2006/relationships/hyperlink" Target="http://www.wikidata.org/entity/Q110039191" TargetMode="External"/><Relationship Id="rId1681" Type="http://schemas.openxmlformats.org/officeDocument/2006/relationships/hyperlink" Target="http://www.wikidata.org/entity/Q2018402" TargetMode="External"/><Relationship Id="rId851" Type="http://schemas.openxmlformats.org/officeDocument/2006/relationships/hyperlink" Target="http://www.wikidata.org/prop/direct/P69" TargetMode="External"/><Relationship Id="rId1682" Type="http://schemas.openxmlformats.org/officeDocument/2006/relationships/hyperlink" Target="http://www.wikidata.org/prop/direct/P108" TargetMode="External"/><Relationship Id="rId850" Type="http://schemas.openxmlformats.org/officeDocument/2006/relationships/hyperlink" Target="http://www.wikidata.org/entity/Q118501218" TargetMode="External"/><Relationship Id="rId1683" Type="http://schemas.openxmlformats.org/officeDocument/2006/relationships/hyperlink" Target="http://www.wikidata.org/entity/Q123416074" TargetMode="External"/><Relationship Id="rId1684" Type="http://schemas.openxmlformats.org/officeDocument/2006/relationships/hyperlink" Target="http://www.wikidata.org/entity/Q2005895" TargetMode="External"/><Relationship Id="rId1685" Type="http://schemas.openxmlformats.org/officeDocument/2006/relationships/hyperlink" Target="http://www.wikidata.org/prop/direct/P69" TargetMode="External"/><Relationship Id="rId888" Type="http://schemas.openxmlformats.org/officeDocument/2006/relationships/hyperlink" Target="http://www.wikidata.org/entity/Q115835156" TargetMode="External"/><Relationship Id="rId887" Type="http://schemas.openxmlformats.org/officeDocument/2006/relationships/hyperlink" Target="http://www.wikidata.org/prop/direct/P69" TargetMode="External"/><Relationship Id="rId886" Type="http://schemas.openxmlformats.org/officeDocument/2006/relationships/hyperlink" Target="http://www.wikidata.org/entity/Q644789" TargetMode="External"/><Relationship Id="rId885" Type="http://schemas.openxmlformats.org/officeDocument/2006/relationships/hyperlink" Target="http://www.wikidata.org/entity/Q329468" TargetMode="External"/><Relationship Id="rId889" Type="http://schemas.openxmlformats.org/officeDocument/2006/relationships/hyperlink" Target="http://www.wikidata.org/entity/Q644789" TargetMode="External"/><Relationship Id="rId880" Type="http://schemas.openxmlformats.org/officeDocument/2006/relationships/hyperlink" Target="http://www.wikidata.org/entity/Q2663876" TargetMode="External"/><Relationship Id="rId884" Type="http://schemas.openxmlformats.org/officeDocument/2006/relationships/hyperlink" Target="http://www.wikidata.org/prop/direct/P463" TargetMode="External"/><Relationship Id="rId883" Type="http://schemas.openxmlformats.org/officeDocument/2006/relationships/hyperlink" Target="http://www.wikidata.org/entity/Q2985460" TargetMode="External"/><Relationship Id="rId882" Type="http://schemas.openxmlformats.org/officeDocument/2006/relationships/hyperlink" Target="http://www.wikidata.org/entity/Q56036018" TargetMode="External"/><Relationship Id="rId881" Type="http://schemas.openxmlformats.org/officeDocument/2006/relationships/hyperlink" Target="http://www.wikidata.org/prop/direct/P108" TargetMode="External"/><Relationship Id="rId877" Type="http://schemas.openxmlformats.org/officeDocument/2006/relationships/hyperlink" Target="http://www.wikidata.org/entity/Q2479554" TargetMode="External"/><Relationship Id="rId876" Type="http://schemas.openxmlformats.org/officeDocument/2006/relationships/hyperlink" Target="http://www.wikidata.org/entity/Q115835763" TargetMode="External"/><Relationship Id="rId875" Type="http://schemas.openxmlformats.org/officeDocument/2006/relationships/hyperlink" Target="http://www.wikidata.org/prop/direct/P69" TargetMode="External"/><Relationship Id="rId874" Type="http://schemas.openxmlformats.org/officeDocument/2006/relationships/hyperlink" Target="http://www.wikidata.org/entity/Q2479554" TargetMode="External"/><Relationship Id="rId879" Type="http://schemas.openxmlformats.org/officeDocument/2006/relationships/hyperlink" Target="http://www.wikidata.org/entity/Q118142378" TargetMode="External"/><Relationship Id="rId878" Type="http://schemas.openxmlformats.org/officeDocument/2006/relationships/hyperlink" Target="http://www.wikidata.org/prop/direct/P108" TargetMode="External"/><Relationship Id="rId873" Type="http://schemas.openxmlformats.org/officeDocument/2006/relationships/hyperlink" Target="http://www.wikidata.org/entity/Q115835763" TargetMode="External"/><Relationship Id="rId872" Type="http://schemas.openxmlformats.org/officeDocument/2006/relationships/hyperlink" Target="http://www.wikidata.org/prop/direct/P69" TargetMode="External"/><Relationship Id="rId871" Type="http://schemas.openxmlformats.org/officeDocument/2006/relationships/hyperlink" Target="http://www.wikidata.org/entity/Q2496094" TargetMode="External"/><Relationship Id="rId870" Type="http://schemas.openxmlformats.org/officeDocument/2006/relationships/hyperlink" Target="http://www.wikidata.org/entity/Q76019711" TargetMode="External"/><Relationship Id="rId1653" Type="http://schemas.openxmlformats.org/officeDocument/2006/relationships/hyperlink" Target="http://www.wikidata.org/entity/Q122903266" TargetMode="External"/><Relationship Id="rId1654" Type="http://schemas.openxmlformats.org/officeDocument/2006/relationships/hyperlink" Target="http://www.wikidata.org/entity/Q13924486" TargetMode="External"/><Relationship Id="rId1655" Type="http://schemas.openxmlformats.org/officeDocument/2006/relationships/hyperlink" Target="http://www.wikidata.org/prop/direct/P69" TargetMode="External"/><Relationship Id="rId1656" Type="http://schemas.openxmlformats.org/officeDocument/2006/relationships/hyperlink" Target="http://www.wikidata.org/entity/Q119794240" TargetMode="External"/><Relationship Id="rId1657" Type="http://schemas.openxmlformats.org/officeDocument/2006/relationships/hyperlink" Target="http://www.wikidata.org/entity/Q1867263" TargetMode="External"/><Relationship Id="rId1658" Type="http://schemas.openxmlformats.org/officeDocument/2006/relationships/hyperlink" Target="http://www.wikidata.org/prop/direct/P69" TargetMode="External"/><Relationship Id="rId1659" Type="http://schemas.openxmlformats.org/officeDocument/2006/relationships/hyperlink" Target="http://www.wikidata.org/entity/Q2190493" TargetMode="External"/><Relationship Id="rId829" Type="http://schemas.openxmlformats.org/officeDocument/2006/relationships/hyperlink" Target="http://www.wikidata.org/entity/Q1268453" TargetMode="External"/><Relationship Id="rId828" Type="http://schemas.openxmlformats.org/officeDocument/2006/relationships/hyperlink" Target="http://www.wikidata.org/entity/Q1978794" TargetMode="External"/><Relationship Id="rId827" Type="http://schemas.openxmlformats.org/officeDocument/2006/relationships/hyperlink" Target="http://www.wikidata.org/prop/direct/P463" TargetMode="External"/><Relationship Id="rId822" Type="http://schemas.openxmlformats.org/officeDocument/2006/relationships/hyperlink" Target="http://www.wikidata.org/entity/Q1894475" TargetMode="External"/><Relationship Id="rId821" Type="http://schemas.openxmlformats.org/officeDocument/2006/relationships/hyperlink" Target="http://www.wikidata.org/prop/direct/P69" TargetMode="External"/><Relationship Id="rId820" Type="http://schemas.openxmlformats.org/officeDocument/2006/relationships/hyperlink" Target="http://www.wikidata.org/entity/Q209842" TargetMode="External"/><Relationship Id="rId826" Type="http://schemas.openxmlformats.org/officeDocument/2006/relationships/hyperlink" Target="http://www.wikidata.org/entity/Q2985460" TargetMode="External"/><Relationship Id="rId825" Type="http://schemas.openxmlformats.org/officeDocument/2006/relationships/hyperlink" Target="http://www.wikidata.org/entity/Q2203619" TargetMode="External"/><Relationship Id="rId824" Type="http://schemas.openxmlformats.org/officeDocument/2006/relationships/hyperlink" Target="http://www.wikidata.org/prop/direct/P69" TargetMode="External"/><Relationship Id="rId823" Type="http://schemas.openxmlformats.org/officeDocument/2006/relationships/hyperlink" Target="http://www.wikidata.org/entity/Q2663876" TargetMode="External"/><Relationship Id="rId1650" Type="http://schemas.openxmlformats.org/officeDocument/2006/relationships/hyperlink" Target="http://www.wikidata.org/entity/Q111342238" TargetMode="External"/><Relationship Id="rId1651" Type="http://schemas.openxmlformats.org/officeDocument/2006/relationships/hyperlink" Target="http://www.wikidata.org/entity/Q2663876" TargetMode="External"/><Relationship Id="rId1652" Type="http://schemas.openxmlformats.org/officeDocument/2006/relationships/hyperlink" Target="http://www.wikidata.org/prop/direct/P69" TargetMode="External"/><Relationship Id="rId1642" Type="http://schemas.openxmlformats.org/officeDocument/2006/relationships/hyperlink" Target="http://www.wikidata.org/entity/Q183231" TargetMode="External"/><Relationship Id="rId1643" Type="http://schemas.openxmlformats.org/officeDocument/2006/relationships/hyperlink" Target="http://www.wikidata.org/prop/direct/P108" TargetMode="External"/><Relationship Id="rId1644" Type="http://schemas.openxmlformats.org/officeDocument/2006/relationships/hyperlink" Target="http://www.wikidata.org/entity/Q115821483" TargetMode="External"/><Relationship Id="rId1645" Type="http://schemas.openxmlformats.org/officeDocument/2006/relationships/hyperlink" Target="http://www.wikidata.org/entity/Q120462060" TargetMode="External"/><Relationship Id="rId1646" Type="http://schemas.openxmlformats.org/officeDocument/2006/relationships/hyperlink" Target="http://www.wikidata.org/prop/direct/P108" TargetMode="External"/><Relationship Id="rId1647" Type="http://schemas.openxmlformats.org/officeDocument/2006/relationships/hyperlink" Target="http://www.wikidata.org/entity/Q2524668" TargetMode="External"/><Relationship Id="rId1648" Type="http://schemas.openxmlformats.org/officeDocument/2006/relationships/hyperlink" Target="http://www.wikidata.org/entity/Q119767161" TargetMode="External"/><Relationship Id="rId1649" Type="http://schemas.openxmlformats.org/officeDocument/2006/relationships/hyperlink" Target="http://www.wikidata.org/prop/direct/P108" TargetMode="External"/><Relationship Id="rId819" Type="http://schemas.openxmlformats.org/officeDocument/2006/relationships/hyperlink" Target="http://www.wikidata.org/entity/Q2203619" TargetMode="External"/><Relationship Id="rId818" Type="http://schemas.openxmlformats.org/officeDocument/2006/relationships/hyperlink" Target="http://www.wikidata.org/prop/direct/P69" TargetMode="External"/><Relationship Id="rId817" Type="http://schemas.openxmlformats.org/officeDocument/2006/relationships/hyperlink" Target="http://www.wikidata.org/entity/Q1477551" TargetMode="External"/><Relationship Id="rId816" Type="http://schemas.openxmlformats.org/officeDocument/2006/relationships/hyperlink" Target="http://www.wikidata.org/entity/Q2203619" TargetMode="External"/><Relationship Id="rId811" Type="http://schemas.openxmlformats.org/officeDocument/2006/relationships/hyperlink" Target="http://www.wikidata.org/entity/Q2921791" TargetMode="External"/><Relationship Id="rId810" Type="http://schemas.openxmlformats.org/officeDocument/2006/relationships/hyperlink" Target="http://www.wikidata.org/entity/Q13576607" TargetMode="External"/><Relationship Id="rId815" Type="http://schemas.openxmlformats.org/officeDocument/2006/relationships/hyperlink" Target="http://www.wikidata.org/prop/direct/P463" TargetMode="External"/><Relationship Id="rId814" Type="http://schemas.openxmlformats.org/officeDocument/2006/relationships/hyperlink" Target="http://www.wikidata.org/entity/Q1268453" TargetMode="External"/><Relationship Id="rId813" Type="http://schemas.openxmlformats.org/officeDocument/2006/relationships/hyperlink" Target="http://www.wikidata.org/entity/Q975292" TargetMode="External"/><Relationship Id="rId812" Type="http://schemas.openxmlformats.org/officeDocument/2006/relationships/hyperlink" Target="http://www.wikidata.org/prop/direct/P108" TargetMode="External"/><Relationship Id="rId1640" Type="http://schemas.openxmlformats.org/officeDocument/2006/relationships/hyperlink" Target="http://www.wikidata.org/prop/direct/P69" TargetMode="External"/><Relationship Id="rId1641" Type="http://schemas.openxmlformats.org/officeDocument/2006/relationships/hyperlink" Target="http://www.wikidata.org/entity/Q122903266" TargetMode="External"/><Relationship Id="rId1675" Type="http://schemas.openxmlformats.org/officeDocument/2006/relationships/hyperlink" Target="http://www.wikidata.org/entity/Q2185331" TargetMode="External"/><Relationship Id="rId1676" Type="http://schemas.openxmlformats.org/officeDocument/2006/relationships/hyperlink" Target="http://www.wikidata.org/prop/direct/P108" TargetMode="External"/><Relationship Id="rId1677" Type="http://schemas.openxmlformats.org/officeDocument/2006/relationships/hyperlink" Target="http://www.wikidata.org/entity/Q115829884" TargetMode="External"/><Relationship Id="rId1678" Type="http://schemas.openxmlformats.org/officeDocument/2006/relationships/hyperlink" Target="http://www.wikidata.org/entity/Q42197335" TargetMode="External"/><Relationship Id="rId1679" Type="http://schemas.openxmlformats.org/officeDocument/2006/relationships/hyperlink" Target="http://www.wikidata.org/prop/direct/P463" TargetMode="External"/><Relationship Id="rId849" Type="http://schemas.openxmlformats.org/officeDocument/2006/relationships/hyperlink" Target="http://www.wikidata.org/entity/Q2638823" TargetMode="External"/><Relationship Id="rId844" Type="http://schemas.openxmlformats.org/officeDocument/2006/relationships/hyperlink" Target="http://www.wikidata.org/entity/Q1268453" TargetMode="External"/><Relationship Id="rId843" Type="http://schemas.openxmlformats.org/officeDocument/2006/relationships/hyperlink" Target="http://www.wikidata.org/entity/Q329468" TargetMode="External"/><Relationship Id="rId842" Type="http://schemas.openxmlformats.org/officeDocument/2006/relationships/hyperlink" Target="http://www.wikidata.org/prop/direct/P108" TargetMode="External"/><Relationship Id="rId841" Type="http://schemas.openxmlformats.org/officeDocument/2006/relationships/hyperlink" Target="http://www.wikidata.org/entity/Q1867263" TargetMode="External"/><Relationship Id="rId848" Type="http://schemas.openxmlformats.org/officeDocument/2006/relationships/hyperlink" Target="http://www.wikidata.org/prop/direct/P108" TargetMode="External"/><Relationship Id="rId847" Type="http://schemas.openxmlformats.org/officeDocument/2006/relationships/hyperlink" Target="http://www.wikidata.org/entity/Q2663876" TargetMode="External"/><Relationship Id="rId846" Type="http://schemas.openxmlformats.org/officeDocument/2006/relationships/hyperlink" Target="http://www.wikidata.org/entity/Q115815004" TargetMode="External"/><Relationship Id="rId845" Type="http://schemas.openxmlformats.org/officeDocument/2006/relationships/hyperlink" Target="http://www.wikidata.org/prop/direct/P463" TargetMode="External"/><Relationship Id="rId1670" Type="http://schemas.openxmlformats.org/officeDocument/2006/relationships/hyperlink" Target="http://www.wikidata.org/prop/direct/P463" TargetMode="External"/><Relationship Id="rId840" Type="http://schemas.openxmlformats.org/officeDocument/2006/relationships/hyperlink" Target="http://www.wikidata.org/entity/Q13576607" TargetMode="External"/><Relationship Id="rId1671" Type="http://schemas.openxmlformats.org/officeDocument/2006/relationships/hyperlink" Target="http://www.wikidata.org/entity/Q115834690" TargetMode="External"/><Relationship Id="rId1672" Type="http://schemas.openxmlformats.org/officeDocument/2006/relationships/hyperlink" Target="http://www.wikidata.org/entity/Q1867263" TargetMode="External"/><Relationship Id="rId1673" Type="http://schemas.openxmlformats.org/officeDocument/2006/relationships/hyperlink" Target="http://www.wikidata.org/prop/direct/P108" TargetMode="External"/><Relationship Id="rId1674" Type="http://schemas.openxmlformats.org/officeDocument/2006/relationships/hyperlink" Target="http://www.wikidata.org/entity/Q115839975" TargetMode="External"/><Relationship Id="rId1664" Type="http://schemas.openxmlformats.org/officeDocument/2006/relationships/hyperlink" Target="http://www.wikidata.org/prop/direct/P108" TargetMode="External"/><Relationship Id="rId1665" Type="http://schemas.openxmlformats.org/officeDocument/2006/relationships/hyperlink" Target="http://www.wikidata.org/entity/Q2524668" TargetMode="External"/><Relationship Id="rId1666" Type="http://schemas.openxmlformats.org/officeDocument/2006/relationships/hyperlink" Target="http://www.wikidata.org/entity/Q2479554" TargetMode="External"/><Relationship Id="rId1667" Type="http://schemas.openxmlformats.org/officeDocument/2006/relationships/hyperlink" Target="http://www.wikidata.org/prop/direct/P69" TargetMode="External"/><Relationship Id="rId1668" Type="http://schemas.openxmlformats.org/officeDocument/2006/relationships/hyperlink" Target="http://www.wikidata.org/entity/Q2183646" TargetMode="External"/><Relationship Id="rId1669" Type="http://schemas.openxmlformats.org/officeDocument/2006/relationships/hyperlink" Target="http://www.wikidata.org/entity/Q118744262" TargetMode="External"/><Relationship Id="rId839" Type="http://schemas.openxmlformats.org/officeDocument/2006/relationships/hyperlink" Target="http://www.wikidata.org/prop/direct/P69" TargetMode="External"/><Relationship Id="rId838" Type="http://schemas.openxmlformats.org/officeDocument/2006/relationships/hyperlink" Target="http://www.wikidata.org/entity/Q1867263" TargetMode="External"/><Relationship Id="rId833" Type="http://schemas.openxmlformats.org/officeDocument/2006/relationships/hyperlink" Target="http://www.wikidata.org/prop/direct/P108" TargetMode="External"/><Relationship Id="rId832" Type="http://schemas.openxmlformats.org/officeDocument/2006/relationships/hyperlink" Target="http://www.wikidata.org/entity/Q50973665" TargetMode="External"/><Relationship Id="rId831" Type="http://schemas.openxmlformats.org/officeDocument/2006/relationships/hyperlink" Target="http://www.wikidata.org/entity/Q115826830" TargetMode="External"/><Relationship Id="rId830" Type="http://schemas.openxmlformats.org/officeDocument/2006/relationships/hyperlink" Target="http://www.wikidata.org/prop/direct/P463" TargetMode="External"/><Relationship Id="rId837" Type="http://schemas.openxmlformats.org/officeDocument/2006/relationships/hyperlink" Target="http://www.wikidata.org/entity/Q13576607" TargetMode="External"/><Relationship Id="rId836" Type="http://schemas.openxmlformats.org/officeDocument/2006/relationships/hyperlink" Target="http://www.wikidata.org/prop/direct/P69" TargetMode="External"/><Relationship Id="rId835" Type="http://schemas.openxmlformats.org/officeDocument/2006/relationships/hyperlink" Target="http://www.wikidata.org/entity/Q644789" TargetMode="External"/><Relationship Id="rId834" Type="http://schemas.openxmlformats.org/officeDocument/2006/relationships/hyperlink" Target="http://www.wikidata.org/entity/Q1280942" TargetMode="External"/><Relationship Id="rId1660" Type="http://schemas.openxmlformats.org/officeDocument/2006/relationships/hyperlink" Target="http://www.wikidata.org/entity/Q644789" TargetMode="External"/><Relationship Id="rId1661" Type="http://schemas.openxmlformats.org/officeDocument/2006/relationships/hyperlink" Target="http://www.wikidata.org/prop/direct/P69" TargetMode="External"/><Relationship Id="rId1662" Type="http://schemas.openxmlformats.org/officeDocument/2006/relationships/hyperlink" Target="http://www.wikidata.org/entity/Q2190493" TargetMode="External"/><Relationship Id="rId1663" Type="http://schemas.openxmlformats.org/officeDocument/2006/relationships/hyperlink" Target="http://www.wikidata.org/entity/Q644789" TargetMode="External"/><Relationship Id="rId2148" Type="http://schemas.openxmlformats.org/officeDocument/2006/relationships/hyperlink" Target="http://www.wikidata.org/entity/Q122971209" TargetMode="External"/><Relationship Id="rId2149" Type="http://schemas.openxmlformats.org/officeDocument/2006/relationships/hyperlink" Target="http://www.wikidata.org/entity/Q82133" TargetMode="External"/><Relationship Id="rId2140" Type="http://schemas.openxmlformats.org/officeDocument/2006/relationships/hyperlink" Target="http://www.wikidata.org/entity/Q2556138" TargetMode="External"/><Relationship Id="rId2141" Type="http://schemas.openxmlformats.org/officeDocument/2006/relationships/hyperlink" Target="http://www.wikidata.org/prop/direct/P463" TargetMode="External"/><Relationship Id="rId2142" Type="http://schemas.openxmlformats.org/officeDocument/2006/relationships/hyperlink" Target="http://www.wikidata.org/entity/Q2496044" TargetMode="External"/><Relationship Id="rId2143" Type="http://schemas.openxmlformats.org/officeDocument/2006/relationships/hyperlink" Target="http://www.wikidata.org/entity/Q2018402" TargetMode="External"/><Relationship Id="rId2144" Type="http://schemas.openxmlformats.org/officeDocument/2006/relationships/hyperlink" Target="http://www.wikidata.org/prop/direct/P108" TargetMode="External"/><Relationship Id="rId2145" Type="http://schemas.openxmlformats.org/officeDocument/2006/relationships/hyperlink" Target="http://www.wikidata.org/entity/Q42596" TargetMode="External"/><Relationship Id="rId2146" Type="http://schemas.openxmlformats.org/officeDocument/2006/relationships/hyperlink" Target="http://www.wikidata.org/entity/Q1165363" TargetMode="External"/><Relationship Id="rId2147" Type="http://schemas.openxmlformats.org/officeDocument/2006/relationships/hyperlink" Target="http://www.wikidata.org/prop/direct/P463" TargetMode="External"/><Relationship Id="rId2137" Type="http://schemas.openxmlformats.org/officeDocument/2006/relationships/hyperlink" Target="http://www.wikidata.org/entity/Q17626118" TargetMode="External"/><Relationship Id="rId2138" Type="http://schemas.openxmlformats.org/officeDocument/2006/relationships/hyperlink" Target="http://www.wikidata.org/prop/direct/P463" TargetMode="External"/><Relationship Id="rId2139" Type="http://schemas.openxmlformats.org/officeDocument/2006/relationships/hyperlink" Target="http://www.wikidata.org/entity/Q29019503" TargetMode="External"/><Relationship Id="rId2130" Type="http://schemas.openxmlformats.org/officeDocument/2006/relationships/hyperlink" Target="http://www.wikidata.org/entity/Q115979812" TargetMode="External"/><Relationship Id="rId2131" Type="http://schemas.openxmlformats.org/officeDocument/2006/relationships/hyperlink" Target="http://www.wikidata.org/entity/Q2185331" TargetMode="External"/><Relationship Id="rId2132" Type="http://schemas.openxmlformats.org/officeDocument/2006/relationships/hyperlink" Target="http://www.wikidata.org/prop/direct/P108" TargetMode="External"/><Relationship Id="rId2133" Type="http://schemas.openxmlformats.org/officeDocument/2006/relationships/hyperlink" Target="http://www.wikidata.org/entity/Q2832059" TargetMode="External"/><Relationship Id="rId2134" Type="http://schemas.openxmlformats.org/officeDocument/2006/relationships/hyperlink" Target="http://www.wikidata.org/entity/Q644789" TargetMode="External"/><Relationship Id="rId2135" Type="http://schemas.openxmlformats.org/officeDocument/2006/relationships/hyperlink" Target="http://www.wikidata.org/prop/direct/P69" TargetMode="External"/><Relationship Id="rId2136" Type="http://schemas.openxmlformats.org/officeDocument/2006/relationships/hyperlink" Target="http://www.wikidata.org/entity/Q42596" TargetMode="External"/><Relationship Id="rId2160" Type="http://schemas.openxmlformats.org/officeDocument/2006/relationships/hyperlink" Target="http://www.wikidata.org/entity/Q961180" TargetMode="External"/><Relationship Id="rId2161" Type="http://schemas.openxmlformats.org/officeDocument/2006/relationships/hyperlink" Target="http://www.wikidata.org/entity/Q1268453" TargetMode="External"/><Relationship Id="rId2162" Type="http://schemas.openxmlformats.org/officeDocument/2006/relationships/hyperlink" Target="http://www.wikidata.org/prop/direct/P463" TargetMode="External"/><Relationship Id="rId2163" Type="http://schemas.openxmlformats.org/officeDocument/2006/relationships/hyperlink" Target="http://www.wikidata.org/entity/Q115811334" TargetMode="External"/><Relationship Id="rId2164" Type="http://schemas.openxmlformats.org/officeDocument/2006/relationships/hyperlink" Target="http://www.wikidata.org/entity/Q2985460" TargetMode="External"/><Relationship Id="rId2165" Type="http://schemas.openxmlformats.org/officeDocument/2006/relationships/hyperlink" Target="http://www.wikidata.org/prop/direct/P463" TargetMode="External"/><Relationship Id="rId2166" Type="http://schemas.openxmlformats.org/officeDocument/2006/relationships/hyperlink" Target="http://www.wikidata.org/entity/Q136703696" TargetMode="External"/><Relationship Id="rId2167" Type="http://schemas.openxmlformats.org/officeDocument/2006/relationships/hyperlink" Target="http://www.wikidata.org/entity/Q47113423" TargetMode="External"/><Relationship Id="rId2168" Type="http://schemas.openxmlformats.org/officeDocument/2006/relationships/hyperlink" Target="http://www.wikidata.org/prop/direct/P108" TargetMode="External"/><Relationship Id="rId2169" Type="http://schemas.openxmlformats.org/officeDocument/2006/relationships/hyperlink" Target="http://www.wikidata.org/entity/Q377071" TargetMode="External"/><Relationship Id="rId2159" Type="http://schemas.openxmlformats.org/officeDocument/2006/relationships/hyperlink" Target="http://www.wikidata.org/prop/direct/P108" TargetMode="External"/><Relationship Id="rId2150" Type="http://schemas.openxmlformats.org/officeDocument/2006/relationships/hyperlink" Target="http://www.wikidata.org/prop/direct/P108" TargetMode="External"/><Relationship Id="rId2151" Type="http://schemas.openxmlformats.org/officeDocument/2006/relationships/hyperlink" Target="http://www.wikidata.org/entity/Q115982585" TargetMode="External"/><Relationship Id="rId2152" Type="http://schemas.openxmlformats.org/officeDocument/2006/relationships/hyperlink" Target="http://www.wikidata.org/entity/Q1867263" TargetMode="External"/><Relationship Id="rId2153" Type="http://schemas.openxmlformats.org/officeDocument/2006/relationships/hyperlink" Target="http://www.wikidata.org/prop/direct/P69" TargetMode="External"/><Relationship Id="rId2154" Type="http://schemas.openxmlformats.org/officeDocument/2006/relationships/hyperlink" Target="http://www.wikidata.org/entity/Q961180" TargetMode="External"/><Relationship Id="rId2155" Type="http://schemas.openxmlformats.org/officeDocument/2006/relationships/hyperlink" Target="http://www.wikidata.org/entity/Q214341" TargetMode="External"/><Relationship Id="rId2156" Type="http://schemas.openxmlformats.org/officeDocument/2006/relationships/hyperlink" Target="http://www.wikidata.org/prop/direct/P108" TargetMode="External"/><Relationship Id="rId2157" Type="http://schemas.openxmlformats.org/officeDocument/2006/relationships/hyperlink" Target="http://www.wikidata.org/entity/Q115811334" TargetMode="External"/><Relationship Id="rId2158" Type="http://schemas.openxmlformats.org/officeDocument/2006/relationships/hyperlink" Target="http://www.wikidata.org/entity/Q2480833" TargetMode="External"/><Relationship Id="rId2104" Type="http://schemas.openxmlformats.org/officeDocument/2006/relationships/hyperlink" Target="http://www.wikidata.org/entity/Q1268453" TargetMode="External"/><Relationship Id="rId2105" Type="http://schemas.openxmlformats.org/officeDocument/2006/relationships/hyperlink" Target="http://www.wikidata.org/prop/direct/P463" TargetMode="External"/><Relationship Id="rId2106" Type="http://schemas.openxmlformats.org/officeDocument/2006/relationships/hyperlink" Target="http://www.wikidata.org/entity/Q136703696" TargetMode="External"/><Relationship Id="rId2107" Type="http://schemas.openxmlformats.org/officeDocument/2006/relationships/hyperlink" Target="http://www.wikidata.org/entity/Q49595150" TargetMode="External"/><Relationship Id="rId2108" Type="http://schemas.openxmlformats.org/officeDocument/2006/relationships/hyperlink" Target="http://www.wikidata.org/prop/direct/P69" TargetMode="External"/><Relationship Id="rId2109" Type="http://schemas.openxmlformats.org/officeDocument/2006/relationships/hyperlink" Target="http://www.wikidata.org/entity/Q29019503" TargetMode="External"/><Relationship Id="rId2100" Type="http://schemas.openxmlformats.org/officeDocument/2006/relationships/hyperlink" Target="http://www.wikidata.org/entity/Q120733873" TargetMode="External"/><Relationship Id="rId2101" Type="http://schemas.openxmlformats.org/officeDocument/2006/relationships/hyperlink" Target="http://www.wikidata.org/entity/Q118369084" TargetMode="External"/><Relationship Id="rId2102" Type="http://schemas.openxmlformats.org/officeDocument/2006/relationships/hyperlink" Target="http://www.wikidata.org/prop/direct/P463" TargetMode="External"/><Relationship Id="rId2103" Type="http://schemas.openxmlformats.org/officeDocument/2006/relationships/hyperlink" Target="http://www.wikidata.org/entity/Q29019503" TargetMode="External"/><Relationship Id="rId899" Type="http://schemas.openxmlformats.org/officeDocument/2006/relationships/hyperlink" Target="http://www.wikidata.org/prop/direct/P463" TargetMode="External"/><Relationship Id="rId898" Type="http://schemas.openxmlformats.org/officeDocument/2006/relationships/hyperlink" Target="http://www.wikidata.org/entity/Q1268453" TargetMode="External"/><Relationship Id="rId897" Type="http://schemas.openxmlformats.org/officeDocument/2006/relationships/hyperlink" Target="http://www.wikidata.org/entity/Q2481707" TargetMode="External"/><Relationship Id="rId896" Type="http://schemas.openxmlformats.org/officeDocument/2006/relationships/hyperlink" Target="http://www.wikidata.org/prop/direct/P69" TargetMode="External"/><Relationship Id="rId891" Type="http://schemas.openxmlformats.org/officeDocument/2006/relationships/hyperlink" Target="http://www.wikidata.org/entity/Q4423628" TargetMode="External"/><Relationship Id="rId890" Type="http://schemas.openxmlformats.org/officeDocument/2006/relationships/hyperlink" Target="http://www.wikidata.org/prop/direct/P69" TargetMode="External"/><Relationship Id="rId895" Type="http://schemas.openxmlformats.org/officeDocument/2006/relationships/hyperlink" Target="http://www.wikidata.org/entity/Q981752" TargetMode="External"/><Relationship Id="rId894" Type="http://schemas.openxmlformats.org/officeDocument/2006/relationships/hyperlink" Target="http://www.wikidata.org/entity/Q7790140" TargetMode="External"/><Relationship Id="rId893" Type="http://schemas.openxmlformats.org/officeDocument/2006/relationships/hyperlink" Target="http://www.wikidata.org/prop/direct/P69" TargetMode="External"/><Relationship Id="rId892" Type="http://schemas.openxmlformats.org/officeDocument/2006/relationships/hyperlink" Target="http://www.wikidata.org/entity/Q119853947" TargetMode="External"/><Relationship Id="rId2126" Type="http://schemas.openxmlformats.org/officeDocument/2006/relationships/hyperlink" Target="http://www.wikidata.org/prop/direct/P69" TargetMode="External"/><Relationship Id="rId2127" Type="http://schemas.openxmlformats.org/officeDocument/2006/relationships/hyperlink" Target="http://www.wikidata.org/entity/Q961180" TargetMode="External"/><Relationship Id="rId2128" Type="http://schemas.openxmlformats.org/officeDocument/2006/relationships/hyperlink" Target="http://www.wikidata.org/entity/Q156598" TargetMode="External"/><Relationship Id="rId2129" Type="http://schemas.openxmlformats.org/officeDocument/2006/relationships/hyperlink" Target="http://www.wikidata.org/prop/direct/P108" TargetMode="External"/><Relationship Id="rId2120" Type="http://schemas.openxmlformats.org/officeDocument/2006/relationships/hyperlink" Target="http://www.wikidata.org/prop/direct/P69" TargetMode="External"/><Relationship Id="rId2121" Type="http://schemas.openxmlformats.org/officeDocument/2006/relationships/hyperlink" Target="http://www.wikidata.org/entity/Q42596" TargetMode="External"/><Relationship Id="rId2122" Type="http://schemas.openxmlformats.org/officeDocument/2006/relationships/hyperlink" Target="http://www.wikidata.org/entity/Q19952814" TargetMode="External"/><Relationship Id="rId2123" Type="http://schemas.openxmlformats.org/officeDocument/2006/relationships/hyperlink" Target="http://www.wikidata.org/prop/direct/P463" TargetMode="External"/><Relationship Id="rId2124" Type="http://schemas.openxmlformats.org/officeDocument/2006/relationships/hyperlink" Target="http://www.wikidata.org/entity/Q961180" TargetMode="External"/><Relationship Id="rId2125" Type="http://schemas.openxmlformats.org/officeDocument/2006/relationships/hyperlink" Target="http://www.wikidata.org/entity/Q156598" TargetMode="External"/><Relationship Id="rId2115" Type="http://schemas.openxmlformats.org/officeDocument/2006/relationships/hyperlink" Target="http://www.wikidata.org/entity/Q2496044" TargetMode="External"/><Relationship Id="rId2116" Type="http://schemas.openxmlformats.org/officeDocument/2006/relationships/hyperlink" Target="http://www.wikidata.org/entity/Q2479554" TargetMode="External"/><Relationship Id="rId2117" Type="http://schemas.openxmlformats.org/officeDocument/2006/relationships/hyperlink" Target="http://www.wikidata.org/prop/direct/P69" TargetMode="External"/><Relationship Id="rId2118" Type="http://schemas.openxmlformats.org/officeDocument/2006/relationships/hyperlink" Target="http://www.wikidata.org/entity/Q29019503" TargetMode="External"/><Relationship Id="rId2119" Type="http://schemas.openxmlformats.org/officeDocument/2006/relationships/hyperlink" Target="http://www.wikidata.org/entity/Q2499618" TargetMode="External"/><Relationship Id="rId2110" Type="http://schemas.openxmlformats.org/officeDocument/2006/relationships/hyperlink" Target="http://www.wikidata.org/entity/Q59962242" TargetMode="External"/><Relationship Id="rId2111" Type="http://schemas.openxmlformats.org/officeDocument/2006/relationships/hyperlink" Target="http://www.wikidata.org/prop/direct/P108" TargetMode="External"/><Relationship Id="rId2112" Type="http://schemas.openxmlformats.org/officeDocument/2006/relationships/hyperlink" Target="http://www.wikidata.org/entity/Q2539969" TargetMode="External"/><Relationship Id="rId2113" Type="http://schemas.openxmlformats.org/officeDocument/2006/relationships/hyperlink" Target="http://www.wikidata.org/entity/Q1137665" TargetMode="External"/><Relationship Id="rId2114" Type="http://schemas.openxmlformats.org/officeDocument/2006/relationships/hyperlink" Target="http://www.wikidata.org/prop/direct/P69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commons.wikimedia.org/wiki/Special:FilePath/De%20Potter%20Frans%20070512.png" TargetMode="External"/><Relationship Id="rId42" Type="http://schemas.openxmlformats.org/officeDocument/2006/relationships/hyperlink" Target="http://commons.wikimedia.org/wiki/Special:FilePath/Portret%20van%20Edmond%20Van%20der%20Straeten%201895%20barcode%20910000105444.jpg" TargetMode="External"/><Relationship Id="rId41" Type="http://schemas.openxmlformats.org/officeDocument/2006/relationships/hyperlink" Target="http://commons.wikimedia.org/wiki/Special:FilePath/Johan%20Winkler.jpg" TargetMode="External"/><Relationship Id="rId44" Type="http://schemas.openxmlformats.org/officeDocument/2006/relationships/hyperlink" Target="http://commons.wikimedia.org/wiki/Special:FilePath/Bishop%20Camillus%20Paul%20Maes.jpg" TargetMode="External"/><Relationship Id="rId43" Type="http://schemas.openxmlformats.org/officeDocument/2006/relationships/hyperlink" Target="http://commons.wikimedia.org/wiki/Special:FilePath/Bartholomew%20Woodlock%2C%20portrait.png" TargetMode="External"/><Relationship Id="rId46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45" Type="http://schemas.openxmlformats.org/officeDocument/2006/relationships/hyperlink" Target="http://commons.wikimedia.org/wiki/Special:FilePath/Wiseman.jpg" TargetMode="External"/><Relationship Id="rId48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47" Type="http://schemas.openxmlformats.org/officeDocument/2006/relationships/hyperlink" Target="http://commons.wikimedia.org/wiki/Special:FilePath/Max%20Rooses.jpg" TargetMode="External"/><Relationship Id="rId49" Type="http://schemas.openxmlformats.org/officeDocument/2006/relationships/hyperlink" Target="http://commons.wikimedia.org/wiki/Special:FilePath/Canon%20Camille%20Looten.jpg" TargetMode="External"/><Relationship Id="rId31" Type="http://schemas.openxmlformats.org/officeDocument/2006/relationships/hyperlink" Target="http://commons.wikimedia.org/wiki/Special:FilePath/Portrait%20of%20Walter%20William%20Skeat.jpg" TargetMode="External"/><Relationship Id="rId30" Type="http://schemas.openxmlformats.org/officeDocument/2006/relationships/hyperlink" Target="http://commons.wikimedia.org/wiki/Special:FilePath/PieterWillems.png" TargetMode="External"/><Relationship Id="rId33" Type="http://schemas.openxmlformats.org/officeDocument/2006/relationships/hyperlink" Target="http://commons.wikimedia.org/wiki/Special:FilePath/WLvanHelten.jpg" TargetMode="External"/><Relationship Id="rId32" Type="http://schemas.openxmlformats.org/officeDocument/2006/relationships/hyperlink" Target="http://commons.wikimedia.org/wiki/Special:FilePath/WillemDeVreese.jpg" TargetMode="External"/><Relationship Id="rId35" Type="http://schemas.openxmlformats.org/officeDocument/2006/relationships/hyperlink" Target="http://commons.wikimedia.org/wiki/Special:FilePath/Foto%20Marie%20Sophie%20Bruneel-Delva.jpg" TargetMode="External"/><Relationship Id="rId34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37" Type="http://schemas.openxmlformats.org/officeDocument/2006/relationships/hyperlink" Target="http://commons.wikimedia.org/wiki/Special:FilePath/Alexandre%20Bonvarlet%20by%20Michel%20Berthaud.jpg" TargetMode="External"/><Relationship Id="rId36" Type="http://schemas.openxmlformats.org/officeDocument/2006/relationships/hyperlink" Target="http://commons.wikimedia.org/wiki/Special:FilePath/Joseph%20van%20den%20Gheyn%20%281854-1913%29.jpg" TargetMode="External"/><Relationship Id="rId39" Type="http://schemas.openxmlformats.org/officeDocument/2006/relationships/hyperlink" Target="http://commons.wikimedia.org/wiki/Special:FilePath/Frederick%20William%20Faber.jpg" TargetMode="External"/><Relationship Id="rId38" Type="http://schemas.openxmlformats.org/officeDocument/2006/relationships/hyperlink" Target="http://commons.wikimedia.org/wiki/Special:FilePath/Portret%20van%20Paul%20Alberdingk%20Thijm.jpg" TargetMode="External"/><Relationship Id="rId20" Type="http://schemas.openxmlformats.org/officeDocument/2006/relationships/hyperlink" Target="http://commons.wikimedia.org/wiki/Special:FilePath/Amaat%20Vyncke.jpg" TargetMode="External"/><Relationship Id="rId22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21" Type="http://schemas.openxmlformats.org/officeDocument/2006/relationships/hyperlink" Target="http://commons.wikimedia.org/wiki/Special:FilePath/Charles%20Carton.jpg" TargetMode="External"/><Relationship Id="rId24" Type="http://schemas.openxmlformats.org/officeDocument/2006/relationships/hyperlink" Target="http://commons.wikimedia.org/wiki/Special:FilePath/Edward%20De%20Gryse%20-%20priester-deken%20-%20Kortrijk.jpg" TargetMode="External"/><Relationship Id="rId23" Type="http://schemas.openxmlformats.org/officeDocument/2006/relationships/hyperlink" Target="http://commons.wikimedia.org/wiki/Special:FilePath/Adolf%20Karel%20vader%20Petrus%20moeder%20Carolina%20Verriest%20in%201861.jpg" TargetMode="External"/><Relationship Id="rId26" Type="http://schemas.openxmlformats.org/officeDocument/2006/relationships/hyperlink" Target="http://commons.wikimedia.org/wiki/Special:FilePath/Doodsprentje%20Mathilde%20Catteeuw.tif" TargetMode="External"/><Relationship Id="rId25" Type="http://schemas.openxmlformats.org/officeDocument/2006/relationships/hyperlink" Target="http://commons.wikimedia.org/wiki/Special:FilePath/Langendonck.jpg" TargetMode="External"/><Relationship Id="rId28" Type="http://schemas.openxmlformats.org/officeDocument/2006/relationships/hyperlink" Target="http://commons.wikimedia.org/wiki/Special:FilePath/Wytterick%2023.JPG" TargetMode="External"/><Relationship Id="rId27" Type="http://schemas.openxmlformats.org/officeDocument/2006/relationships/hyperlink" Target="http://commons.wikimedia.org/wiki/Special:FilePath/Theophiel%20Coopman%20%281852-1915%29.jpg" TargetMode="External"/><Relationship Id="rId29" Type="http://schemas.openxmlformats.org/officeDocument/2006/relationships/hyperlink" Target="http://commons.wikimedia.org/wiki/Special:FilePath/%D0%A0%D0%B8%D1%85%D0%B0%D1%80%D0%B4%20%D0%90%D0%BD%D0%B4%D1%80%D0%B5.jpg" TargetMode="External"/><Relationship Id="rId11" Type="http://schemas.openxmlformats.org/officeDocument/2006/relationships/hyperlink" Target="http://commons.wikimedia.org/wiki/Special:FilePath/Wazenaar%20Amand%20de%20Vos.jpg" TargetMode="External"/><Relationship Id="rId10" Type="http://schemas.openxmlformats.org/officeDocument/2006/relationships/hyperlink" Target="http://commons.wikimedia.org/wiki/Special:FilePath/Adolf%20Duclos001.jpg" TargetMode="External"/><Relationship Id="rId13" Type="http://schemas.openxmlformats.org/officeDocument/2006/relationships/hyperlink" Target="http://commons.wikimedia.org/wiki/Special:FilePath/Gustaaf%20Louise%20Oda%20Hugo%20Verriest%20in%201861.jpg" TargetMode="External"/><Relationship Id="rId12" Type="http://schemas.openxmlformats.org/officeDocument/2006/relationships/hyperlink" Target="http://commons.wikimedia.org/wiki/Special:FilePath/Eugeen%20van%20Oye%20-%20Statue%20in%20Gistel.jpg" TargetMode="External"/><Relationship Id="rId15" Type="http://schemas.openxmlformats.org/officeDocument/2006/relationships/hyperlink" Target="http://commons.wikimedia.org/wiki/Special:FilePath/Eerwaarde%20Heer%20pastoor%20Dani%C3%ABls%2C%20PA04467.jpg" TargetMode="External"/><Relationship Id="rId14" Type="http://schemas.openxmlformats.org/officeDocument/2006/relationships/hyperlink" Target="http://commons.wikimedia.org/wiki/Special:FilePath/Foto%20Caesar%20Gezelle%2C%20Philomena%20De%20Smet%20en%20Elisa%20Lateur.jpg" TargetMode="External"/><Relationship Id="rId17" Type="http://schemas.openxmlformats.org/officeDocument/2006/relationships/hyperlink" Target="http://commons.wikimedia.org/wiki/Special:FilePath/EdwardVanEven.jpg" TargetMode="External"/><Relationship Id="rId16" Type="http://schemas.openxmlformats.org/officeDocument/2006/relationships/hyperlink" Target="http://commons.wikimedia.org/wiki/Special:FilePath/Ferdinand%20Vander%20Haeghen.jpg" TargetMode="External"/><Relationship Id="rId19" Type="http://schemas.openxmlformats.org/officeDocument/2006/relationships/hyperlink" Target="http://commons.wikimedia.org/wiki/Special:FilePath/PieterG%C3%A9nard.jpg" TargetMode="External"/><Relationship Id="rId18" Type="http://schemas.openxmlformats.org/officeDocument/2006/relationships/hyperlink" Target="http://commons.wikimedia.org/wiki/Special:FilePath/Joannes%20Baptista%20Malou%20-%20Bishop%20of%20Bruges.jpg" TargetMode="External"/><Relationship Id="rId84" Type="http://schemas.openxmlformats.org/officeDocument/2006/relationships/hyperlink" Target="http://commons.wikimedia.org/wiki/Special:FilePath/Raf%20Verhulst.jpg" TargetMode="External"/><Relationship Id="rId83" Type="http://schemas.openxmlformats.org/officeDocument/2006/relationships/hyperlink" Target="http://commons.wikimedia.org/wiki/Special:FilePath/JBBethune%20par%20Raoux.jpg" TargetMode="External"/><Relationship Id="rId86" Type="http://schemas.openxmlformats.org/officeDocument/2006/relationships/hyperlink" Target="http://commons.wikimedia.org/wiki/Special:FilePath/Johan%20Hendrik%20Caspar%20Kern.jpg" TargetMode="External"/><Relationship Id="rId85" Type="http://schemas.openxmlformats.org/officeDocument/2006/relationships/hyperlink" Target="http://commons.wikimedia.org/wiki/Special:FilePath/Amaat%20Joos.jpg" TargetMode="External"/><Relationship Id="rId88" Type="http://schemas.openxmlformats.org/officeDocument/2006/relationships/hyperlink" Target="http://commons.wikimedia.org/wiki/Special:FilePath/Edgar%20Tinel%201911.jpg" TargetMode="External"/><Relationship Id="rId87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89" Type="http://schemas.openxmlformats.org/officeDocument/2006/relationships/hyperlink" Target="http://commons.wikimedia.org/wiki/Special:FilePath/Joseph%20Ryelandt.jpg" TargetMode="External"/><Relationship Id="rId80" Type="http://schemas.openxmlformats.org/officeDocument/2006/relationships/hyperlink" Target="http://commons.wikimedia.org/wiki/Special:FilePath/Emiel%20Lauwers%20-%20Kortrijk%20-%20Belgi%C3%AB.jpg" TargetMode="External"/><Relationship Id="rId82" Type="http://schemas.openxmlformats.org/officeDocument/2006/relationships/hyperlink" Target="http://commons.wikimedia.org/wiki/Special:FilePath/Portret%20van%20Jean%20Casier%201880%20barcode%20910000105033.jpg" TargetMode="External"/><Relationship Id="rId81" Type="http://schemas.openxmlformats.org/officeDocument/2006/relationships/hyperlink" Target="http://commons.wikimedia.org/wiki/Special:FilePath/Hendrik%20Conscience.jpg" TargetMode="External"/><Relationship Id="rId73" Type="http://schemas.openxmlformats.org/officeDocument/2006/relationships/hyperlink" Target="http://commons.wikimedia.org/wiki/Special:FilePath/Alfons%20Siffer%201850-1941.jpg" TargetMode="External"/><Relationship Id="rId72" Type="http://schemas.openxmlformats.org/officeDocument/2006/relationships/hyperlink" Target="http://commons.wikimedia.org/wiki/Special:FilePath/Alfons%20Janssens.jpg" TargetMode="External"/><Relationship Id="rId75" Type="http://schemas.openxmlformats.org/officeDocument/2006/relationships/hyperlink" Target="http://commons.wikimedia.org/wiki/Special:FilePath/AugustVermeylen2.jpg" TargetMode="External"/><Relationship Id="rId74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77" Type="http://schemas.openxmlformats.org/officeDocument/2006/relationships/hyperlink" Target="http://commons.wikimedia.org/wiki/Special:FilePath/Membres%20du%20Minist%C3%A8re%20%28Delcour%29.jpg" TargetMode="External"/><Relationship Id="rId76" Type="http://schemas.openxmlformats.org/officeDocument/2006/relationships/hyperlink" Target="http://commons.wikimedia.org/wiki/Special:FilePath/Kortrijk%20Astridpark-11.JPG" TargetMode="External"/><Relationship Id="rId79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78" Type="http://schemas.openxmlformats.org/officeDocument/2006/relationships/hyperlink" Target="http://commons.wikimedia.org/wiki/Special:FilePath/PM%20161806%20B%20Loppem%20%28Charles%20van%20Caloen%29.jpg" TargetMode="External"/><Relationship Id="rId71" Type="http://schemas.openxmlformats.org/officeDocument/2006/relationships/hyperlink" Target="http://commons.wikimedia.org/wiki/Special:FilePath/Weekblad%20Pallieter%20-%20voorpagina%201924%2023%20baron%20ruzette.jpg" TargetMode="External"/><Relationship Id="rId70" Type="http://schemas.openxmlformats.org/officeDocument/2006/relationships/hyperlink" Target="http://commons.wikimedia.org/wiki/Special:FilePath/J%20O%20Andries%201836.jpg" TargetMode="External"/><Relationship Id="rId62" Type="http://schemas.openxmlformats.org/officeDocument/2006/relationships/hyperlink" Target="http://commons.wikimedia.org/wiki/Special:FilePath/Foto%20van%20Florence%20Gezelle.jpg" TargetMode="External"/><Relationship Id="rId61" Type="http://schemas.openxmlformats.org/officeDocument/2006/relationships/hyperlink" Target="http://commons.wikimedia.org/wiki/Special:FilePath/Schilderij%20Henri%20Dobbelaere%20Engelendale.jpg" TargetMode="External"/><Relationship Id="rId64" Type="http://schemas.openxmlformats.org/officeDocument/2006/relationships/hyperlink" Target="http://commons.wikimedia.org/wiki/Special:FilePath/James%20Weale.jpg" TargetMode="External"/><Relationship Id="rId63" Type="http://schemas.openxmlformats.org/officeDocument/2006/relationships/hyperlink" Target="http://commons.wikimedia.org/wiki/Special:FilePath/Foto%20van%20Hortense%20Gezelle.jpg" TargetMode="External"/><Relationship Id="rId66" Type="http://schemas.openxmlformats.org/officeDocument/2006/relationships/hyperlink" Target="http://commons.wikimedia.org/wiki/Special:FilePath/Foto%20Dymphna%20Gezelle%20%282%29.jpg" TargetMode="External"/><Relationship Id="rId65" Type="http://schemas.openxmlformats.org/officeDocument/2006/relationships/hyperlink" Target="http://commons.wikimedia.org/wiki/Special:FilePath/Portret%20van%20Clementia%20Hiers%20%28Hendrik%20De%20Pondt%2C%201878%29.jpg" TargetMode="External"/><Relationship Id="rId68" Type="http://schemas.openxmlformats.org/officeDocument/2006/relationships/hyperlink" Target="http://commons.wikimedia.org/wiki/Special:FilePath/HugoVerriest.jpg" TargetMode="External"/><Relationship Id="rId67" Type="http://schemas.openxmlformats.org/officeDocument/2006/relationships/hyperlink" Target="http://commons.wikimedia.org/wiki/Special:FilePath/Ferdinand%20Van%20de%20Putte.jpg" TargetMode="External"/><Relationship Id="rId60" Type="http://schemas.openxmlformats.org/officeDocument/2006/relationships/hyperlink" Target="http://commons.wikimedia.org/wiki/Special:FilePath/Foto%20van%20Louise%20Gezelle%20en%20Stijn%20Streuvels.jpg" TargetMode="External"/><Relationship Id="rId69" Type="http://schemas.openxmlformats.org/officeDocument/2006/relationships/hyperlink" Target="http://commons.wikimedia.org/wiki/Special:FilePath/Jan%20Bols%2C%20borststuk%20door%20E.%20Fabronius.tif" TargetMode="External"/><Relationship Id="rId51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50" Type="http://schemas.openxmlformats.org/officeDocument/2006/relationships/hyperlink" Target="http://commons.wikimedia.org/wiki/Special:FilePath/Hendrik%20Pickery%20gedenkteken%20R03.jpg" TargetMode="External"/><Relationship Id="rId53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52" Type="http://schemas.openxmlformats.org/officeDocument/2006/relationships/hyperlink" Target="http://commons.wikimedia.org/wiki/Special:FilePath/Leonard%20Lodewijk%20De%20Bo.jpg" TargetMode="External"/><Relationship Id="rId55" Type="http://schemas.openxmlformats.org/officeDocument/2006/relationships/hyperlink" Target="http://commons.wikimedia.org/wiki/Special:FilePath/Portret%20van%20Jan%20Nolet%20de%20Brauwere%20van%20Steeland%2C%20RP-P-1906-1206.jpg" TargetMode="External"/><Relationship Id="rId54" Type="http://schemas.openxmlformats.org/officeDocument/2006/relationships/hyperlink" Target="http://commons.wikimedia.org/wiki/Special:FilePath/Pierre%20Nicolas%20Croquison.jpg" TargetMode="External"/><Relationship Id="rId57" Type="http://schemas.openxmlformats.org/officeDocument/2006/relationships/hyperlink" Target="http://commons.wikimedia.org/wiki/Special:FilePath/NapoleonDePauw.jpg" TargetMode="External"/><Relationship Id="rId56" Type="http://schemas.openxmlformats.org/officeDocument/2006/relationships/hyperlink" Target="http://commons.wikimedia.org/wiki/Special:FilePath/G%C3%A9rard%20van%20Caloen%20%28detail%29.jpg" TargetMode="External"/><Relationship Id="rId59" Type="http://schemas.openxmlformats.org/officeDocument/2006/relationships/hyperlink" Target="http://commons.wikimedia.org/wiki/Special:FilePath/%28Baumg1889%29%20Bernard%20Bernard%20%28Kathol.%20Missionar%20auf%20Island%29.jpg" TargetMode="External"/><Relationship Id="rId58" Type="http://schemas.openxmlformats.org/officeDocument/2006/relationships/hyperlink" Target="http://commons.wikimedia.org/wiki/Special:FilePath/Jules%20Lagae%20%281862-1931%29.jpg" TargetMode="External"/><Relationship Id="rId95" Type="http://schemas.openxmlformats.org/officeDocument/2006/relationships/hyperlink" Target="http://commons.wikimedia.org/wiki/Special:FilePath/Rubio%20i%20ors.jpg" TargetMode="External"/><Relationship Id="rId94" Type="http://schemas.openxmlformats.org/officeDocument/2006/relationships/hyperlink" Target="http://commons.wikimedia.org/wiki/Special:FilePath/Frederic%20Mistral%20portrait%20photo.jpg" TargetMode="External"/><Relationship Id="rId97" Type="http://schemas.openxmlformats.org/officeDocument/2006/relationships/hyperlink" Target="http://commons.wikimedia.org/wiki/Special:FilePath/Bidprentje%20Monica%20De%20Vriese.jpg" TargetMode="External"/><Relationship Id="rId96" Type="http://schemas.openxmlformats.org/officeDocument/2006/relationships/hyperlink" Target="http://commons.wikimedia.org/wiki/Special:FilePath/Pol%20de%20Mont%201896.jpg" TargetMode="External"/><Relationship Id="rId99" Type="http://schemas.openxmlformats.org/officeDocument/2006/relationships/hyperlink" Target="http://commons.wikimedia.org/wiki/Special:FilePath/Josephus%20Alberdingk%20Thijm%20portret%20%281864-1889%29.png" TargetMode="External"/><Relationship Id="rId98" Type="http://schemas.openxmlformats.org/officeDocument/2006/relationships/hyperlink" Target="http://commons.wikimedia.org/wiki/Special:FilePath/Jan%20Van%20Beers.jpg" TargetMode="External"/><Relationship Id="rId91" Type="http://schemas.openxmlformats.org/officeDocument/2006/relationships/hyperlink" Target="http://commons.wikimedia.org/wiki/Special:FilePath/BoekenoogenGJ.jpg" TargetMode="External"/><Relationship Id="rId90" Type="http://schemas.openxmlformats.org/officeDocument/2006/relationships/hyperlink" Target="http://commons.wikimedia.org/wiki/Special:FilePath/Pieter%20Lansens.jpg" TargetMode="External"/><Relationship Id="rId93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92" Type="http://schemas.openxmlformats.org/officeDocument/2006/relationships/hyperlink" Target="http://commons.wikimedia.org/wiki/Special:FilePath/Stijn%20Streuvels%20by%20Modest%20Huys.jpg" TargetMode="External"/><Relationship Id="rId1" Type="http://schemas.openxmlformats.org/officeDocument/2006/relationships/hyperlink" Target="http://commons.wikimedia.org/wiki/Special:FilePath/Jan%20Baptist%20David%20-%20lithograph%20by%20Louis%20Tuerlinckx.jpg" TargetMode="External"/><Relationship Id="rId2" Type="http://schemas.openxmlformats.org/officeDocument/2006/relationships/hyperlink" Target="http://commons.wikimedia.org/wiki/Special:FilePath/GlasraamLodewijkScharpe.jpg" TargetMode="External"/><Relationship Id="rId3" Type="http://schemas.openxmlformats.org/officeDocument/2006/relationships/hyperlink" Target="http://commons.wikimedia.org/wiki/Special:FilePath/Adrianus%20Bogaers.jpg" TargetMode="External"/><Relationship Id="rId4" Type="http://schemas.openxmlformats.org/officeDocument/2006/relationships/hyperlink" Target="http://commons.wikimedia.org/wiki/Special:FilePath/Frans%20Schollaert.jpg" TargetMode="External"/><Relationship Id="rId9" Type="http://schemas.openxmlformats.org/officeDocument/2006/relationships/hyperlink" Target="http://commons.wikimedia.org/wiki/Special:FilePath/Alfons%20de%20Cock%2C%20PA05233.jpg" TargetMode="External"/><Relationship Id="rId5" Type="http://schemas.openxmlformats.org/officeDocument/2006/relationships/hyperlink" Target="http://commons.wikimedia.org/wiki/Special:FilePath/Jules%20van%20den%20Peereboom.jpg" TargetMode="External"/><Relationship Id="rId6" Type="http://schemas.openxmlformats.org/officeDocument/2006/relationships/hyperlink" Target="http://commons.wikimedia.org/wiki/Special:FilePath/Jan%20van%20Wageningen%20thoe%20Dekema.jpg" TargetMode="External"/><Relationship Id="rId7" Type="http://schemas.openxmlformats.org/officeDocument/2006/relationships/hyperlink" Target="http://commons.wikimedia.org/wiki/Special:FilePath/KarelFransStallaert.jpg" TargetMode="External"/><Relationship Id="rId8" Type="http://schemas.openxmlformats.org/officeDocument/2006/relationships/hyperlink" Target="http://commons.wikimedia.org/wiki/Special:FilePath/Victor%20De%20la%20Montagne.png" TargetMode="External"/><Relationship Id="rId107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106" Type="http://schemas.openxmlformats.org/officeDocument/2006/relationships/hyperlink" Target="http://commons.wikimedia.org/wiki/Special:FilePath/Bidprentje%20Justine%20Van%20de%20Velde.jpg" TargetMode="External"/><Relationship Id="rId105" Type="http://schemas.openxmlformats.org/officeDocument/2006/relationships/hyperlink" Target="http://commons.wikimedia.org/wiki/Special:FilePath/Portretfoto%20Anna%20Demets.jpg" TargetMode="External"/><Relationship Id="rId104" Type="http://schemas.openxmlformats.org/officeDocument/2006/relationships/hyperlink" Target="http://commons.wikimedia.org/wiki/Special:FilePath/Portret%20Sophie%20Peeters.jpg" TargetMode="External"/><Relationship Id="rId109" Type="http://schemas.openxmlformats.org/officeDocument/2006/relationships/hyperlink" Target="http://commons.wikimedia.org/wiki/Special:FilePath/Foto%20Savina%20Van%20Caloen.tif" TargetMode="External"/><Relationship Id="rId108" Type="http://schemas.openxmlformats.org/officeDocument/2006/relationships/hyperlink" Target="http://commons.wikimedia.org/wiki/Special:FilePath/Foto%20Mary%20Clifford.jpg" TargetMode="External"/><Relationship Id="rId103" Type="http://schemas.openxmlformats.org/officeDocument/2006/relationships/hyperlink" Target="http://commons.wikimedia.org/wiki/Special:FilePath/Brugge%20-%20Bisschop%20Faict%20%281864-1894%29%20-%20Brugge%20-%20Belgi%C3%AB.jpg" TargetMode="External"/><Relationship Id="rId102" Type="http://schemas.openxmlformats.org/officeDocument/2006/relationships/hyperlink" Target="http://commons.wikimedia.org/wiki/Special:FilePath/Cordelia%20Van%20de%20Wiele%20-%20secretaresse%20Guido%20Gezelle.jpg" TargetMode="External"/><Relationship Id="rId101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100" Type="http://schemas.openxmlformats.org/officeDocument/2006/relationships/hyperlink" Target="http://commons.wikimedia.org/wiki/Special:FilePath/Portret%20van%20Albert%20Verwey%20Rijksmuseum%20SK-C-1680.jpeg" TargetMode="External"/><Relationship Id="rId110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2" t="s">
        <v>7</v>
      </c>
      <c r="D2" s="1" t="s">
        <v>8</v>
      </c>
      <c r="E2" s="2" t="s">
        <v>9</v>
      </c>
    </row>
    <row r="3">
      <c r="A3" s="2" t="s">
        <v>10</v>
      </c>
      <c r="B3" s="1" t="s">
        <v>11</v>
      </c>
      <c r="C3" s="2" t="s">
        <v>12</v>
      </c>
      <c r="D3" s="1" t="s">
        <v>13</v>
      </c>
      <c r="E3" s="2" t="s">
        <v>14</v>
      </c>
    </row>
    <row r="4">
      <c r="A4" s="2" t="s">
        <v>15</v>
      </c>
      <c r="B4" s="1" t="s">
        <v>16</v>
      </c>
      <c r="C4" s="2" t="s">
        <v>17</v>
      </c>
      <c r="D4" s="1" t="s">
        <v>18</v>
      </c>
      <c r="E4" s="2" t="s">
        <v>19</v>
      </c>
    </row>
    <row r="5">
      <c r="A5" s="2" t="s">
        <v>20</v>
      </c>
      <c r="B5" s="1" t="s">
        <v>21</v>
      </c>
      <c r="C5" s="2" t="s">
        <v>22</v>
      </c>
      <c r="D5" s="1" t="s">
        <v>23</v>
      </c>
      <c r="E5" s="2" t="s">
        <v>24</v>
      </c>
    </row>
    <row r="6">
      <c r="A6" s="2" t="s">
        <v>20</v>
      </c>
      <c r="B6" s="1" t="s">
        <v>21</v>
      </c>
      <c r="C6" s="2" t="s">
        <v>25</v>
      </c>
      <c r="D6" s="1" t="s">
        <v>26</v>
      </c>
      <c r="E6" s="2" t="s">
        <v>24</v>
      </c>
    </row>
    <row r="7">
      <c r="A7" s="2" t="s">
        <v>27</v>
      </c>
      <c r="B7" s="1" t="s">
        <v>28</v>
      </c>
      <c r="C7" s="2" t="s">
        <v>29</v>
      </c>
      <c r="D7" s="1" t="s">
        <v>30</v>
      </c>
      <c r="E7" s="2" t="s">
        <v>31</v>
      </c>
    </row>
    <row r="8">
      <c r="A8" s="2" t="s">
        <v>27</v>
      </c>
      <c r="B8" s="1" t="s">
        <v>28</v>
      </c>
      <c r="C8" s="2" t="s">
        <v>29</v>
      </c>
      <c r="D8" s="1" t="s">
        <v>30</v>
      </c>
      <c r="E8" s="2" t="s">
        <v>32</v>
      </c>
    </row>
    <row r="9">
      <c r="A9" s="2" t="s">
        <v>33</v>
      </c>
      <c r="B9" s="1" t="s">
        <v>34</v>
      </c>
      <c r="C9" s="2" t="s">
        <v>12</v>
      </c>
      <c r="D9" s="1" t="s">
        <v>13</v>
      </c>
    </row>
    <row r="10">
      <c r="A10" s="2" t="s">
        <v>33</v>
      </c>
      <c r="B10" s="1" t="s">
        <v>34</v>
      </c>
      <c r="C10" s="2" t="s">
        <v>35</v>
      </c>
      <c r="D10" s="1" t="s">
        <v>36</v>
      </c>
    </row>
    <row r="11">
      <c r="A11" s="2" t="s">
        <v>27</v>
      </c>
      <c r="B11" s="1" t="s">
        <v>28</v>
      </c>
      <c r="C11" s="2" t="s">
        <v>37</v>
      </c>
      <c r="D11" s="1" t="s">
        <v>38</v>
      </c>
      <c r="E11" s="2" t="s">
        <v>31</v>
      </c>
    </row>
    <row r="12">
      <c r="A12" s="2" t="s">
        <v>27</v>
      </c>
      <c r="B12" s="1" t="s">
        <v>28</v>
      </c>
      <c r="C12" s="2" t="s">
        <v>37</v>
      </c>
      <c r="D12" s="1" t="s">
        <v>38</v>
      </c>
      <c r="E12" s="2" t="s">
        <v>32</v>
      </c>
    </row>
    <row r="13">
      <c r="A13" s="2" t="s">
        <v>39</v>
      </c>
      <c r="B13" s="1" t="s">
        <v>40</v>
      </c>
      <c r="C13" s="2" t="s">
        <v>41</v>
      </c>
      <c r="D13" s="1" t="s">
        <v>42</v>
      </c>
    </row>
    <row r="14">
      <c r="A14" s="2" t="s">
        <v>39</v>
      </c>
      <c r="B14" s="1" t="s">
        <v>40</v>
      </c>
      <c r="C14" s="2" t="s">
        <v>43</v>
      </c>
      <c r="D14" s="1" t="s">
        <v>44</v>
      </c>
    </row>
    <row r="15">
      <c r="A15" s="2" t="s">
        <v>45</v>
      </c>
      <c r="B15" s="1" t="s">
        <v>46</v>
      </c>
      <c r="C15" s="2" t="s">
        <v>41</v>
      </c>
      <c r="D15" s="1" t="s">
        <v>42</v>
      </c>
    </row>
    <row r="16">
      <c r="A16" s="2" t="s">
        <v>39</v>
      </c>
      <c r="B16" s="1" t="s">
        <v>40</v>
      </c>
      <c r="C16" s="2" t="s">
        <v>47</v>
      </c>
      <c r="D16" s="1" t="s">
        <v>48</v>
      </c>
    </row>
    <row r="17">
      <c r="A17" s="2" t="s">
        <v>39</v>
      </c>
      <c r="B17" s="1" t="s">
        <v>40</v>
      </c>
      <c r="C17" s="2" t="s">
        <v>49</v>
      </c>
      <c r="D17" s="1" t="s">
        <v>50</v>
      </c>
    </row>
    <row r="18">
      <c r="A18" s="2" t="s">
        <v>51</v>
      </c>
      <c r="B18" s="1" t="s">
        <v>52</v>
      </c>
      <c r="C18" s="2" t="s">
        <v>53</v>
      </c>
      <c r="D18" s="1" t="s">
        <v>54</v>
      </c>
      <c r="E18" s="2" t="s">
        <v>55</v>
      </c>
    </row>
    <row r="19">
      <c r="A19" s="2" t="s">
        <v>45</v>
      </c>
      <c r="B19" s="1" t="s">
        <v>46</v>
      </c>
      <c r="C19" s="2" t="s">
        <v>49</v>
      </c>
      <c r="D19" s="1" t="s">
        <v>50</v>
      </c>
    </row>
    <row r="20">
      <c r="A20" s="2" t="s">
        <v>15</v>
      </c>
      <c r="B20" s="1" t="s">
        <v>16</v>
      </c>
      <c r="C20" s="2" t="s">
        <v>56</v>
      </c>
      <c r="D20" s="1" t="s">
        <v>57</v>
      </c>
      <c r="E20" s="2" t="s">
        <v>19</v>
      </c>
    </row>
    <row r="21">
      <c r="A21" s="2" t="s">
        <v>58</v>
      </c>
      <c r="B21" s="1" t="s">
        <v>59</v>
      </c>
      <c r="C21" s="2" t="s">
        <v>60</v>
      </c>
      <c r="D21" s="1" t="s">
        <v>61</v>
      </c>
      <c r="E21" s="2" t="s">
        <v>62</v>
      </c>
    </row>
    <row r="22">
      <c r="A22" s="2" t="s">
        <v>27</v>
      </c>
      <c r="B22" s="1" t="s">
        <v>28</v>
      </c>
      <c r="C22" s="2" t="s">
        <v>63</v>
      </c>
      <c r="D22" s="1" t="s">
        <v>64</v>
      </c>
      <c r="E22" s="2" t="s">
        <v>31</v>
      </c>
    </row>
    <row r="23">
      <c r="A23" s="2" t="s">
        <v>27</v>
      </c>
      <c r="B23" s="1" t="s">
        <v>28</v>
      </c>
      <c r="C23" s="2" t="s">
        <v>63</v>
      </c>
      <c r="D23" s="1" t="s">
        <v>64</v>
      </c>
      <c r="E23" s="2" t="s">
        <v>32</v>
      </c>
    </row>
    <row r="24">
      <c r="A24" s="2" t="s">
        <v>39</v>
      </c>
      <c r="B24" s="1" t="s">
        <v>40</v>
      </c>
      <c r="C24" s="2" t="s">
        <v>65</v>
      </c>
      <c r="D24" s="1" t="s">
        <v>66</v>
      </c>
    </row>
    <row r="25">
      <c r="A25" s="2" t="s">
        <v>67</v>
      </c>
      <c r="B25" s="1" t="s">
        <v>68</v>
      </c>
      <c r="C25" s="2" t="s">
        <v>22</v>
      </c>
      <c r="D25" s="1" t="s">
        <v>23</v>
      </c>
    </row>
    <row r="26">
      <c r="A26" s="2" t="s">
        <v>67</v>
      </c>
      <c r="B26" s="1" t="s">
        <v>68</v>
      </c>
      <c r="C26" s="2" t="s">
        <v>25</v>
      </c>
      <c r="D26" s="1" t="s">
        <v>26</v>
      </c>
    </row>
    <row r="27">
      <c r="A27" s="2" t="s">
        <v>15</v>
      </c>
      <c r="B27" s="1" t="s">
        <v>16</v>
      </c>
      <c r="C27" s="2" t="s">
        <v>43</v>
      </c>
      <c r="D27" s="1" t="s">
        <v>44</v>
      </c>
      <c r="E27" s="2" t="s">
        <v>19</v>
      </c>
    </row>
    <row r="28">
      <c r="A28" s="2" t="s">
        <v>39</v>
      </c>
      <c r="B28" s="1" t="s">
        <v>40</v>
      </c>
      <c r="C28" s="2" t="s">
        <v>69</v>
      </c>
      <c r="D28" s="1" t="s">
        <v>70</v>
      </c>
    </row>
    <row r="29">
      <c r="A29" s="2" t="s">
        <v>71</v>
      </c>
      <c r="B29" s="1" t="s">
        <v>72</v>
      </c>
      <c r="C29" s="2" t="s">
        <v>41</v>
      </c>
      <c r="D29" s="1" t="s">
        <v>42</v>
      </c>
    </row>
    <row r="30">
      <c r="A30" s="2" t="s">
        <v>10</v>
      </c>
      <c r="B30" s="1" t="s">
        <v>11</v>
      </c>
      <c r="C30" s="2" t="s">
        <v>22</v>
      </c>
      <c r="D30" s="1" t="s">
        <v>23</v>
      </c>
      <c r="E30" s="2" t="s">
        <v>14</v>
      </c>
    </row>
    <row r="31">
      <c r="A31" s="2" t="s">
        <v>58</v>
      </c>
      <c r="B31" s="1" t="s">
        <v>59</v>
      </c>
      <c r="C31" s="2" t="s">
        <v>73</v>
      </c>
      <c r="D31" s="1" t="s">
        <v>74</v>
      </c>
      <c r="E31" s="2" t="s">
        <v>62</v>
      </c>
    </row>
    <row r="32">
      <c r="A32" s="2" t="s">
        <v>10</v>
      </c>
      <c r="B32" s="1" t="s">
        <v>11</v>
      </c>
      <c r="C32" s="2" t="s">
        <v>25</v>
      </c>
      <c r="D32" s="1" t="s">
        <v>26</v>
      </c>
      <c r="E32" s="2" t="s">
        <v>14</v>
      </c>
    </row>
    <row r="33">
      <c r="A33" s="2" t="s">
        <v>10</v>
      </c>
      <c r="B33" s="1" t="s">
        <v>11</v>
      </c>
      <c r="C33" s="2" t="s">
        <v>75</v>
      </c>
      <c r="D33" s="1" t="s">
        <v>76</v>
      </c>
      <c r="E33" s="2" t="s">
        <v>14</v>
      </c>
    </row>
    <row r="34">
      <c r="A34" s="2" t="s">
        <v>71</v>
      </c>
      <c r="B34" s="1" t="s">
        <v>72</v>
      </c>
      <c r="C34" s="2" t="s">
        <v>43</v>
      </c>
      <c r="D34" s="1" t="s">
        <v>44</v>
      </c>
    </row>
    <row r="35">
      <c r="A35" s="2" t="s">
        <v>58</v>
      </c>
      <c r="B35" s="1" t="s">
        <v>59</v>
      </c>
      <c r="C35" s="2" t="s">
        <v>77</v>
      </c>
      <c r="D35" s="1" t="s">
        <v>78</v>
      </c>
      <c r="E35" s="2" t="s">
        <v>62</v>
      </c>
    </row>
    <row r="36">
      <c r="A36" s="2" t="s">
        <v>71</v>
      </c>
      <c r="B36" s="1" t="s">
        <v>72</v>
      </c>
      <c r="C36" s="2" t="s">
        <v>79</v>
      </c>
      <c r="D36" s="1" t="s">
        <v>80</v>
      </c>
    </row>
    <row r="37">
      <c r="A37" s="2" t="s">
        <v>81</v>
      </c>
      <c r="B37" s="1" t="s">
        <v>82</v>
      </c>
      <c r="C37" s="2" t="s">
        <v>12</v>
      </c>
      <c r="D37" s="1" t="s">
        <v>13</v>
      </c>
      <c r="E37" s="2" t="s">
        <v>83</v>
      </c>
    </row>
    <row r="38">
      <c r="A38" s="2" t="s">
        <v>15</v>
      </c>
      <c r="B38" s="1" t="s">
        <v>16</v>
      </c>
      <c r="C38" s="2" t="s">
        <v>22</v>
      </c>
      <c r="D38" s="1" t="s">
        <v>23</v>
      </c>
      <c r="E38" s="2" t="s">
        <v>19</v>
      </c>
    </row>
    <row r="39">
      <c r="A39" s="2" t="s">
        <v>51</v>
      </c>
      <c r="B39" s="1" t="s">
        <v>52</v>
      </c>
      <c r="C39" s="2" t="s">
        <v>84</v>
      </c>
      <c r="D39" s="1" t="s">
        <v>85</v>
      </c>
      <c r="E39" s="2" t="s">
        <v>55</v>
      </c>
    </row>
    <row r="40">
      <c r="A40" s="2" t="s">
        <v>71</v>
      </c>
      <c r="B40" s="1" t="s">
        <v>72</v>
      </c>
      <c r="C40" s="2" t="s">
        <v>86</v>
      </c>
      <c r="D40" s="1" t="s">
        <v>87</v>
      </c>
    </row>
    <row r="41">
      <c r="A41" s="2" t="s">
        <v>58</v>
      </c>
      <c r="B41" s="1" t="s">
        <v>59</v>
      </c>
      <c r="C41" s="2" t="s">
        <v>88</v>
      </c>
      <c r="D41" s="1" t="s">
        <v>89</v>
      </c>
      <c r="E41" s="2" t="s">
        <v>62</v>
      </c>
    </row>
    <row r="42">
      <c r="A42" s="2" t="s">
        <v>51</v>
      </c>
      <c r="B42" s="1" t="s">
        <v>52</v>
      </c>
      <c r="C42" s="2" t="s">
        <v>90</v>
      </c>
      <c r="D42" s="1" t="s">
        <v>91</v>
      </c>
      <c r="E42" s="2" t="s">
        <v>55</v>
      </c>
    </row>
    <row r="43">
      <c r="A43" s="2" t="s">
        <v>71</v>
      </c>
      <c r="B43" s="1" t="s">
        <v>72</v>
      </c>
      <c r="C43" s="2" t="s">
        <v>92</v>
      </c>
      <c r="D43" s="1" t="s">
        <v>93</v>
      </c>
    </row>
    <row r="44">
      <c r="A44" s="2" t="s">
        <v>51</v>
      </c>
      <c r="B44" s="1" t="s">
        <v>52</v>
      </c>
      <c r="C44" s="2" t="s">
        <v>56</v>
      </c>
      <c r="D44" s="1" t="s">
        <v>57</v>
      </c>
      <c r="E44" s="2" t="s">
        <v>55</v>
      </c>
    </row>
    <row r="45">
      <c r="A45" s="2" t="s">
        <v>27</v>
      </c>
      <c r="B45" s="1" t="s">
        <v>28</v>
      </c>
      <c r="C45" s="2" t="s">
        <v>94</v>
      </c>
      <c r="D45" s="1" t="s">
        <v>95</v>
      </c>
      <c r="E45" s="2" t="s">
        <v>31</v>
      </c>
    </row>
    <row r="46">
      <c r="A46" s="2" t="s">
        <v>27</v>
      </c>
      <c r="B46" s="1" t="s">
        <v>28</v>
      </c>
      <c r="C46" s="2" t="s">
        <v>94</v>
      </c>
      <c r="D46" s="1" t="s">
        <v>95</v>
      </c>
      <c r="E46" s="2" t="s">
        <v>32</v>
      </c>
    </row>
    <row r="47">
      <c r="A47" s="2" t="s">
        <v>96</v>
      </c>
      <c r="B47" s="1" t="s">
        <v>97</v>
      </c>
      <c r="C47" s="2" t="s">
        <v>35</v>
      </c>
      <c r="D47" s="1" t="s">
        <v>36</v>
      </c>
      <c r="E47" s="2" t="s">
        <v>98</v>
      </c>
    </row>
    <row r="48">
      <c r="A48" s="2" t="s">
        <v>51</v>
      </c>
      <c r="B48" s="1" t="s">
        <v>52</v>
      </c>
      <c r="C48" s="2" t="s">
        <v>69</v>
      </c>
      <c r="D48" s="1" t="s">
        <v>70</v>
      </c>
      <c r="E48" s="2" t="s">
        <v>55</v>
      </c>
    </row>
    <row r="49">
      <c r="A49" s="2" t="s">
        <v>71</v>
      </c>
      <c r="B49" s="1" t="s">
        <v>72</v>
      </c>
      <c r="C49" s="2" t="s">
        <v>69</v>
      </c>
      <c r="D49" s="1" t="s">
        <v>70</v>
      </c>
    </row>
    <row r="50">
      <c r="A50" s="2" t="s">
        <v>96</v>
      </c>
      <c r="B50" s="1" t="s">
        <v>97</v>
      </c>
      <c r="C50" s="2" t="s">
        <v>99</v>
      </c>
      <c r="D50" s="1" t="s">
        <v>100</v>
      </c>
      <c r="E50" s="2" t="s">
        <v>98</v>
      </c>
    </row>
    <row r="51">
      <c r="A51" s="2" t="s">
        <v>101</v>
      </c>
      <c r="B51" s="1" t="s">
        <v>102</v>
      </c>
      <c r="C51" s="2" t="s">
        <v>103</v>
      </c>
      <c r="D51" s="1" t="s">
        <v>104</v>
      </c>
      <c r="E51" s="2" t="s">
        <v>105</v>
      </c>
    </row>
    <row r="52">
      <c r="A52" s="2" t="s">
        <v>101</v>
      </c>
      <c r="B52" s="1" t="s">
        <v>102</v>
      </c>
      <c r="C52" s="2" t="s">
        <v>77</v>
      </c>
      <c r="D52" s="1" t="s">
        <v>78</v>
      </c>
      <c r="E52" s="2" t="s">
        <v>105</v>
      </c>
    </row>
    <row r="53">
      <c r="A53" s="2" t="s">
        <v>51</v>
      </c>
      <c r="B53" s="1" t="s">
        <v>52</v>
      </c>
      <c r="C53" s="2" t="s">
        <v>43</v>
      </c>
      <c r="D53" s="1" t="s">
        <v>44</v>
      </c>
      <c r="E53" s="2" t="s">
        <v>55</v>
      </c>
    </row>
    <row r="54">
      <c r="A54" s="2" t="s">
        <v>106</v>
      </c>
      <c r="B54" s="1" t="s">
        <v>107</v>
      </c>
      <c r="C54" s="2" t="s">
        <v>12</v>
      </c>
      <c r="D54" s="1" t="s">
        <v>13</v>
      </c>
      <c r="E54" s="2" t="s">
        <v>108</v>
      </c>
    </row>
    <row r="55">
      <c r="A55" s="2" t="s">
        <v>15</v>
      </c>
      <c r="B55" s="1" t="s">
        <v>16</v>
      </c>
      <c r="C55" s="2" t="s">
        <v>109</v>
      </c>
      <c r="D55" s="1" t="s">
        <v>110</v>
      </c>
      <c r="E55" s="2" t="s">
        <v>19</v>
      </c>
    </row>
    <row r="56">
      <c r="A56" s="2" t="s">
        <v>5</v>
      </c>
      <c r="B56" s="1" t="s">
        <v>6</v>
      </c>
      <c r="C56" s="2" t="s">
        <v>17</v>
      </c>
      <c r="D56" s="1" t="s">
        <v>18</v>
      </c>
      <c r="E56" s="2" t="s">
        <v>9</v>
      </c>
    </row>
    <row r="57">
      <c r="A57" s="2" t="s">
        <v>51</v>
      </c>
      <c r="B57" s="1" t="s">
        <v>52</v>
      </c>
      <c r="C57" s="2" t="s">
        <v>22</v>
      </c>
      <c r="D57" s="1" t="s">
        <v>23</v>
      </c>
      <c r="E57" s="2" t="s">
        <v>55</v>
      </c>
    </row>
    <row r="58">
      <c r="A58" s="2" t="s">
        <v>106</v>
      </c>
      <c r="B58" s="1" t="s">
        <v>107</v>
      </c>
      <c r="C58" s="2" t="s">
        <v>103</v>
      </c>
      <c r="D58" s="1" t="s">
        <v>104</v>
      </c>
      <c r="E58" s="2" t="s">
        <v>108</v>
      </c>
    </row>
    <row r="59">
      <c r="A59" s="2" t="s">
        <v>81</v>
      </c>
      <c r="B59" s="1" t="s">
        <v>82</v>
      </c>
      <c r="C59" s="2" t="s">
        <v>22</v>
      </c>
      <c r="D59" s="1" t="s">
        <v>23</v>
      </c>
      <c r="E59" s="2" t="s">
        <v>83</v>
      </c>
    </row>
    <row r="60">
      <c r="A60" s="2" t="s">
        <v>111</v>
      </c>
      <c r="B60" s="1" t="s">
        <v>112</v>
      </c>
      <c r="C60" s="2" t="s">
        <v>53</v>
      </c>
      <c r="D60" s="1" t="s">
        <v>54</v>
      </c>
      <c r="E60" s="2" t="s">
        <v>113</v>
      </c>
    </row>
    <row r="61">
      <c r="A61" s="2" t="s">
        <v>106</v>
      </c>
      <c r="B61" s="1" t="s">
        <v>107</v>
      </c>
      <c r="C61" s="2" t="s">
        <v>49</v>
      </c>
      <c r="D61" s="1" t="s">
        <v>50</v>
      </c>
      <c r="E61" s="2" t="s">
        <v>108</v>
      </c>
    </row>
    <row r="62">
      <c r="A62" s="2" t="s">
        <v>106</v>
      </c>
      <c r="B62" s="1" t="s">
        <v>107</v>
      </c>
      <c r="C62" s="2" t="s">
        <v>35</v>
      </c>
      <c r="D62" s="1" t="s">
        <v>36</v>
      </c>
      <c r="E62" s="2" t="s">
        <v>108</v>
      </c>
    </row>
    <row r="63">
      <c r="A63" s="2" t="s">
        <v>33</v>
      </c>
      <c r="B63" s="1" t="s">
        <v>34</v>
      </c>
      <c r="C63" s="2" t="s">
        <v>114</v>
      </c>
      <c r="D63" s="1" t="s">
        <v>115</v>
      </c>
    </row>
    <row r="64">
      <c r="A64" s="2" t="s">
        <v>33</v>
      </c>
      <c r="B64" s="1" t="s">
        <v>34</v>
      </c>
      <c r="C64" s="2" t="s">
        <v>25</v>
      </c>
      <c r="D64" s="1" t="s">
        <v>26</v>
      </c>
    </row>
    <row r="65">
      <c r="A65" s="2" t="s">
        <v>20</v>
      </c>
      <c r="B65" s="1" t="s">
        <v>21</v>
      </c>
      <c r="C65" s="2" t="s">
        <v>116</v>
      </c>
      <c r="D65" s="1" t="s">
        <v>117</v>
      </c>
      <c r="E65" s="2" t="s">
        <v>24</v>
      </c>
    </row>
    <row r="66">
      <c r="A66" s="2" t="s">
        <v>45</v>
      </c>
      <c r="B66" s="1" t="s">
        <v>46</v>
      </c>
      <c r="C66" s="2" t="s">
        <v>22</v>
      </c>
      <c r="D66" s="1" t="s">
        <v>23</v>
      </c>
    </row>
    <row r="67">
      <c r="A67" s="2" t="s">
        <v>45</v>
      </c>
      <c r="B67" s="1" t="s">
        <v>46</v>
      </c>
      <c r="C67" s="2" t="s">
        <v>25</v>
      </c>
      <c r="D67" s="1" t="s">
        <v>26</v>
      </c>
    </row>
    <row r="68">
      <c r="A68" s="2" t="s">
        <v>45</v>
      </c>
      <c r="B68" s="1" t="s">
        <v>46</v>
      </c>
      <c r="C68" s="2" t="s">
        <v>118</v>
      </c>
      <c r="D68" s="1" t="s">
        <v>119</v>
      </c>
    </row>
    <row r="69">
      <c r="A69" s="2" t="s">
        <v>51</v>
      </c>
      <c r="B69" s="1" t="s">
        <v>52</v>
      </c>
      <c r="C69" s="2" t="s">
        <v>79</v>
      </c>
      <c r="D69" s="1" t="s">
        <v>80</v>
      </c>
      <c r="E69" s="2" t="s">
        <v>55</v>
      </c>
    </row>
    <row r="70">
      <c r="A70" s="2" t="s">
        <v>51</v>
      </c>
      <c r="B70" s="1" t="s">
        <v>52</v>
      </c>
      <c r="C70" s="2" t="s">
        <v>120</v>
      </c>
      <c r="D70" s="1" t="s">
        <v>121</v>
      </c>
      <c r="E70" s="2" t="s">
        <v>55</v>
      </c>
    </row>
    <row r="71">
      <c r="A71" s="2" t="s">
        <v>96</v>
      </c>
      <c r="B71" s="1" t="s">
        <v>97</v>
      </c>
      <c r="C71" s="2" t="s">
        <v>22</v>
      </c>
      <c r="D71" s="1" t="s">
        <v>23</v>
      </c>
      <c r="E71" s="2" t="s">
        <v>98</v>
      </c>
    </row>
    <row r="72">
      <c r="A72" s="2" t="s">
        <v>96</v>
      </c>
      <c r="B72" s="1" t="s">
        <v>97</v>
      </c>
      <c r="C72" s="2" t="s">
        <v>25</v>
      </c>
      <c r="D72" s="1" t="s">
        <v>26</v>
      </c>
      <c r="E72" s="2" t="s">
        <v>98</v>
      </c>
    </row>
    <row r="73">
      <c r="A73" s="2" t="s">
        <v>5</v>
      </c>
      <c r="B73" s="1" t="s">
        <v>6</v>
      </c>
      <c r="C73" s="2" t="s">
        <v>90</v>
      </c>
      <c r="D73" s="1" t="s">
        <v>91</v>
      </c>
      <c r="E73" s="2" t="s">
        <v>9</v>
      </c>
    </row>
    <row r="74">
      <c r="A74" s="2" t="s">
        <v>20</v>
      </c>
      <c r="B74" s="1" t="s">
        <v>21</v>
      </c>
      <c r="C74" s="2" t="s">
        <v>122</v>
      </c>
      <c r="D74" s="1" t="s">
        <v>123</v>
      </c>
      <c r="E74" s="2" t="s">
        <v>24</v>
      </c>
    </row>
    <row r="75">
      <c r="A75" s="2" t="s">
        <v>27</v>
      </c>
      <c r="B75" s="1" t="s">
        <v>28</v>
      </c>
      <c r="C75" s="2" t="s">
        <v>35</v>
      </c>
      <c r="D75" s="1" t="s">
        <v>36</v>
      </c>
      <c r="E75" s="2" t="s">
        <v>31</v>
      </c>
    </row>
    <row r="76">
      <c r="A76" s="2" t="s">
        <v>27</v>
      </c>
      <c r="B76" s="1" t="s">
        <v>28</v>
      </c>
      <c r="C76" s="2" t="s">
        <v>35</v>
      </c>
      <c r="D76" s="1" t="s">
        <v>36</v>
      </c>
      <c r="E76" s="2" t="s">
        <v>32</v>
      </c>
    </row>
    <row r="77">
      <c r="A77" s="2" t="s">
        <v>106</v>
      </c>
      <c r="B77" s="1" t="s">
        <v>107</v>
      </c>
      <c r="C77" s="2" t="s">
        <v>124</v>
      </c>
      <c r="D77" s="1" t="s">
        <v>125</v>
      </c>
      <c r="E77" s="2" t="s">
        <v>108</v>
      </c>
    </row>
    <row r="78">
      <c r="A78" s="2" t="s">
        <v>5</v>
      </c>
      <c r="B78" s="1" t="s">
        <v>6</v>
      </c>
      <c r="C78" s="2" t="s">
        <v>56</v>
      </c>
      <c r="D78" s="1" t="s">
        <v>57</v>
      </c>
      <c r="E78" s="2" t="s">
        <v>9</v>
      </c>
    </row>
    <row r="79">
      <c r="A79" s="2" t="s">
        <v>106</v>
      </c>
      <c r="B79" s="1" t="s">
        <v>107</v>
      </c>
      <c r="C79" s="2" t="s">
        <v>126</v>
      </c>
      <c r="D79" s="1" t="s">
        <v>127</v>
      </c>
      <c r="E79" s="2" t="s">
        <v>108</v>
      </c>
    </row>
    <row r="80">
      <c r="A80" s="2" t="s">
        <v>96</v>
      </c>
      <c r="B80" s="1" t="s">
        <v>97</v>
      </c>
      <c r="C80" s="2" t="s">
        <v>79</v>
      </c>
      <c r="D80" s="1" t="s">
        <v>80</v>
      </c>
      <c r="E80" s="2" t="s">
        <v>98</v>
      </c>
    </row>
    <row r="81">
      <c r="A81" s="2" t="s">
        <v>106</v>
      </c>
      <c r="B81" s="1" t="s">
        <v>107</v>
      </c>
      <c r="C81" s="2" t="s">
        <v>128</v>
      </c>
      <c r="D81" s="1" t="s">
        <v>129</v>
      </c>
      <c r="E81" s="2" t="s">
        <v>108</v>
      </c>
    </row>
    <row r="82">
      <c r="A82" s="2" t="s">
        <v>51</v>
      </c>
      <c r="B82" s="1" t="s">
        <v>52</v>
      </c>
      <c r="C82" s="2" t="s">
        <v>7</v>
      </c>
      <c r="D82" s="1" t="s">
        <v>8</v>
      </c>
      <c r="E82" s="2" t="s">
        <v>55</v>
      </c>
    </row>
    <row r="83">
      <c r="A83" s="2" t="s">
        <v>111</v>
      </c>
      <c r="B83" s="1" t="s">
        <v>112</v>
      </c>
      <c r="C83" s="2" t="s">
        <v>84</v>
      </c>
      <c r="D83" s="1" t="s">
        <v>85</v>
      </c>
      <c r="E83" s="2" t="s">
        <v>113</v>
      </c>
    </row>
    <row r="84">
      <c r="A84" s="2" t="s">
        <v>111</v>
      </c>
      <c r="B84" s="1" t="s">
        <v>112</v>
      </c>
      <c r="C84" s="2" t="s">
        <v>77</v>
      </c>
      <c r="D84" s="1" t="s">
        <v>78</v>
      </c>
      <c r="E84" s="2" t="s">
        <v>113</v>
      </c>
    </row>
    <row r="85">
      <c r="A85" s="2" t="s">
        <v>130</v>
      </c>
      <c r="B85" s="1" t="s">
        <v>131</v>
      </c>
      <c r="C85" s="2" t="s">
        <v>12</v>
      </c>
      <c r="D85" s="1" t="s">
        <v>13</v>
      </c>
      <c r="E85" s="2" t="s">
        <v>132</v>
      </c>
    </row>
    <row r="86">
      <c r="A86" s="2" t="s">
        <v>5</v>
      </c>
      <c r="B86" s="1" t="s">
        <v>6</v>
      </c>
      <c r="C86" s="2" t="s">
        <v>133</v>
      </c>
      <c r="D86" s="1" t="s">
        <v>134</v>
      </c>
      <c r="E86" s="2" t="s">
        <v>9</v>
      </c>
    </row>
    <row r="87">
      <c r="A87" s="2" t="s">
        <v>67</v>
      </c>
      <c r="B87" s="1" t="s">
        <v>68</v>
      </c>
      <c r="C87" s="2" t="s">
        <v>135</v>
      </c>
      <c r="D87" s="1" t="s">
        <v>136</v>
      </c>
    </row>
    <row r="88">
      <c r="A88" s="2" t="s">
        <v>67</v>
      </c>
      <c r="B88" s="1" t="s">
        <v>68</v>
      </c>
      <c r="C88" s="2" t="s">
        <v>137</v>
      </c>
      <c r="D88" s="1" t="s">
        <v>138</v>
      </c>
    </row>
    <row r="89">
      <c r="A89" s="2" t="s">
        <v>5</v>
      </c>
      <c r="B89" s="1" t="s">
        <v>6</v>
      </c>
      <c r="C89" s="2" t="s">
        <v>43</v>
      </c>
      <c r="D89" s="1" t="s">
        <v>44</v>
      </c>
      <c r="E89" s="2" t="s">
        <v>9</v>
      </c>
    </row>
    <row r="90">
      <c r="A90" s="2" t="s">
        <v>67</v>
      </c>
      <c r="B90" s="1" t="s">
        <v>68</v>
      </c>
      <c r="C90" s="2" t="s">
        <v>139</v>
      </c>
      <c r="D90" s="1" t="s">
        <v>140</v>
      </c>
    </row>
    <row r="91">
      <c r="A91" s="2" t="s">
        <v>20</v>
      </c>
      <c r="B91" s="1" t="s">
        <v>21</v>
      </c>
      <c r="C91" s="2" t="s">
        <v>12</v>
      </c>
      <c r="D91" s="1" t="s">
        <v>13</v>
      </c>
      <c r="E91" s="2" t="s">
        <v>24</v>
      </c>
    </row>
    <row r="92">
      <c r="A92" s="2" t="s">
        <v>106</v>
      </c>
      <c r="B92" s="1" t="s">
        <v>107</v>
      </c>
      <c r="C92" s="2" t="s">
        <v>22</v>
      </c>
      <c r="D92" s="1" t="s">
        <v>23</v>
      </c>
      <c r="E92" s="2" t="s">
        <v>108</v>
      </c>
    </row>
    <row r="93">
      <c r="A93" s="2" t="s">
        <v>67</v>
      </c>
      <c r="B93" s="1" t="s">
        <v>68</v>
      </c>
      <c r="C93" s="2" t="s">
        <v>141</v>
      </c>
      <c r="D93" s="1" t="s">
        <v>142</v>
      </c>
    </row>
    <row r="94">
      <c r="A94" s="2" t="s">
        <v>5</v>
      </c>
      <c r="B94" s="1" t="s">
        <v>6</v>
      </c>
      <c r="C94" s="2" t="s">
        <v>143</v>
      </c>
      <c r="D94" s="1" t="s">
        <v>144</v>
      </c>
      <c r="E94" s="2" t="s">
        <v>9</v>
      </c>
    </row>
    <row r="95">
      <c r="A95" s="2" t="s">
        <v>27</v>
      </c>
      <c r="B95" s="1" t="s">
        <v>28</v>
      </c>
      <c r="C95" s="2" t="s">
        <v>22</v>
      </c>
      <c r="D95" s="1" t="s">
        <v>23</v>
      </c>
      <c r="E95" s="2" t="s">
        <v>31</v>
      </c>
    </row>
    <row r="96">
      <c r="A96" s="2" t="s">
        <v>27</v>
      </c>
      <c r="B96" s="1" t="s">
        <v>28</v>
      </c>
      <c r="C96" s="2" t="s">
        <v>22</v>
      </c>
      <c r="D96" s="1" t="s">
        <v>23</v>
      </c>
      <c r="E96" s="2" t="s">
        <v>32</v>
      </c>
    </row>
    <row r="97">
      <c r="A97" s="2" t="s">
        <v>67</v>
      </c>
      <c r="B97" s="1" t="s">
        <v>68</v>
      </c>
      <c r="C97" s="2" t="s">
        <v>145</v>
      </c>
      <c r="D97" s="1" t="s">
        <v>146</v>
      </c>
    </row>
    <row r="98">
      <c r="A98" s="2" t="s">
        <v>111</v>
      </c>
      <c r="B98" s="1" t="s">
        <v>112</v>
      </c>
      <c r="C98" s="2" t="s">
        <v>147</v>
      </c>
      <c r="D98" s="1" t="s">
        <v>148</v>
      </c>
      <c r="E98" s="2" t="s">
        <v>113</v>
      </c>
    </row>
    <row r="99">
      <c r="A99" s="2" t="s">
        <v>5</v>
      </c>
      <c r="B99" s="1" t="s">
        <v>6</v>
      </c>
      <c r="C99" s="2" t="s">
        <v>79</v>
      </c>
      <c r="D99" s="1" t="s">
        <v>80</v>
      </c>
      <c r="E99" s="2" t="s">
        <v>9</v>
      </c>
    </row>
    <row r="100">
      <c r="A100" s="2" t="s">
        <v>5</v>
      </c>
      <c r="B100" s="1" t="s">
        <v>6</v>
      </c>
      <c r="C100" s="2" t="s">
        <v>120</v>
      </c>
      <c r="D100" s="1" t="s">
        <v>121</v>
      </c>
      <c r="E100" s="2" t="s">
        <v>9</v>
      </c>
    </row>
    <row r="101">
      <c r="A101" s="2" t="s">
        <v>111</v>
      </c>
      <c r="B101" s="1" t="s">
        <v>112</v>
      </c>
      <c r="C101" s="2" t="s">
        <v>43</v>
      </c>
      <c r="D101" s="1" t="s">
        <v>44</v>
      </c>
      <c r="E101" s="2" t="s">
        <v>113</v>
      </c>
    </row>
    <row r="102">
      <c r="A102" s="2" t="s">
        <v>149</v>
      </c>
      <c r="B102" s="1" t="s">
        <v>150</v>
      </c>
      <c r="C102" s="2" t="s">
        <v>151</v>
      </c>
      <c r="D102" s="1" t="s">
        <v>152</v>
      </c>
      <c r="E102" s="2" t="s">
        <v>153</v>
      </c>
    </row>
    <row r="103">
      <c r="A103" s="2" t="s">
        <v>154</v>
      </c>
      <c r="B103" s="1" t="s">
        <v>155</v>
      </c>
      <c r="C103" s="2" t="s">
        <v>22</v>
      </c>
      <c r="D103" s="1" t="s">
        <v>23</v>
      </c>
      <c r="E103" s="2" t="s">
        <v>156</v>
      </c>
    </row>
    <row r="104">
      <c r="A104" s="2" t="s">
        <v>154</v>
      </c>
      <c r="B104" s="1" t="s">
        <v>155</v>
      </c>
      <c r="C104" s="2" t="s">
        <v>25</v>
      </c>
      <c r="D104" s="1" t="s">
        <v>26</v>
      </c>
      <c r="E104" s="2" t="s">
        <v>156</v>
      </c>
    </row>
    <row r="105">
      <c r="A105" s="2" t="s">
        <v>157</v>
      </c>
      <c r="B105" s="1" t="s">
        <v>158</v>
      </c>
      <c r="C105" s="2" t="s">
        <v>41</v>
      </c>
      <c r="D105" s="1" t="s">
        <v>42</v>
      </c>
      <c r="E105" s="2" t="s">
        <v>159</v>
      </c>
    </row>
    <row r="106">
      <c r="A106" s="2" t="s">
        <v>160</v>
      </c>
      <c r="B106" s="1" t="s">
        <v>161</v>
      </c>
      <c r="C106" s="2" t="s">
        <v>162</v>
      </c>
      <c r="D106" s="1" t="s">
        <v>163</v>
      </c>
      <c r="E106" s="2" t="s">
        <v>164</v>
      </c>
    </row>
    <row r="107">
      <c r="A107" s="2" t="s">
        <v>160</v>
      </c>
      <c r="B107" s="1" t="s">
        <v>161</v>
      </c>
      <c r="C107" s="2" t="s">
        <v>165</v>
      </c>
      <c r="D107" s="1" t="s">
        <v>166</v>
      </c>
      <c r="E107" s="2" t="s">
        <v>164</v>
      </c>
    </row>
    <row r="108">
      <c r="A108" s="2" t="s">
        <v>167</v>
      </c>
      <c r="B108" s="1" t="s">
        <v>168</v>
      </c>
      <c r="C108" s="2" t="s">
        <v>60</v>
      </c>
      <c r="D108" s="1" t="s">
        <v>61</v>
      </c>
    </row>
    <row r="109">
      <c r="A109" s="2" t="s">
        <v>167</v>
      </c>
      <c r="B109" s="1" t="s">
        <v>168</v>
      </c>
      <c r="C109" s="2" t="s">
        <v>169</v>
      </c>
      <c r="D109" s="1" t="s">
        <v>170</v>
      </c>
    </row>
    <row r="110">
      <c r="A110" s="2" t="s">
        <v>171</v>
      </c>
      <c r="B110" s="1" t="s">
        <v>172</v>
      </c>
      <c r="C110" s="2" t="s">
        <v>173</v>
      </c>
      <c r="D110" s="1" t="s">
        <v>174</v>
      </c>
    </row>
    <row r="111">
      <c r="A111" s="2" t="s">
        <v>171</v>
      </c>
      <c r="B111" s="1" t="s">
        <v>172</v>
      </c>
      <c r="C111" s="2" t="s">
        <v>25</v>
      </c>
      <c r="D111" s="1" t="s">
        <v>26</v>
      </c>
    </row>
    <row r="112">
      <c r="A112" s="2" t="s">
        <v>175</v>
      </c>
      <c r="B112" s="1" t="s">
        <v>176</v>
      </c>
      <c r="C112" s="2" t="s">
        <v>133</v>
      </c>
      <c r="D112" s="1" t="s">
        <v>134</v>
      </c>
      <c r="E112" s="2" t="s">
        <v>177</v>
      </c>
    </row>
    <row r="113">
      <c r="A113" s="2" t="s">
        <v>157</v>
      </c>
      <c r="B113" s="1" t="s">
        <v>158</v>
      </c>
      <c r="C113" s="2" t="s">
        <v>77</v>
      </c>
      <c r="D113" s="1" t="s">
        <v>78</v>
      </c>
      <c r="E113" s="2" t="s">
        <v>159</v>
      </c>
    </row>
    <row r="114">
      <c r="A114" s="2" t="s">
        <v>154</v>
      </c>
      <c r="B114" s="1" t="s">
        <v>155</v>
      </c>
      <c r="C114" s="2" t="s">
        <v>79</v>
      </c>
      <c r="D114" s="1" t="s">
        <v>80</v>
      </c>
      <c r="E114" s="2" t="s">
        <v>156</v>
      </c>
    </row>
    <row r="115">
      <c r="A115" s="2" t="s">
        <v>157</v>
      </c>
      <c r="B115" s="1" t="s">
        <v>158</v>
      </c>
      <c r="C115" s="2" t="s">
        <v>49</v>
      </c>
      <c r="D115" s="1" t="s">
        <v>50</v>
      </c>
      <c r="E115" s="2" t="s">
        <v>159</v>
      </c>
    </row>
    <row r="116">
      <c r="A116" s="2" t="s">
        <v>175</v>
      </c>
      <c r="B116" s="1" t="s">
        <v>176</v>
      </c>
      <c r="C116" s="2" t="s">
        <v>22</v>
      </c>
      <c r="D116" s="1" t="s">
        <v>23</v>
      </c>
      <c r="E116" s="2" t="s">
        <v>177</v>
      </c>
    </row>
    <row r="117">
      <c r="A117" s="2" t="s">
        <v>175</v>
      </c>
      <c r="B117" s="1" t="s">
        <v>176</v>
      </c>
      <c r="C117" s="2" t="s">
        <v>151</v>
      </c>
      <c r="D117" s="1" t="s">
        <v>152</v>
      </c>
      <c r="E117" s="2" t="s">
        <v>177</v>
      </c>
    </row>
    <row r="118">
      <c r="A118" s="2" t="s">
        <v>178</v>
      </c>
      <c r="B118" s="1" t="s">
        <v>179</v>
      </c>
      <c r="C118" s="2" t="s">
        <v>12</v>
      </c>
      <c r="D118" s="1" t="s">
        <v>13</v>
      </c>
    </row>
    <row r="119">
      <c r="A119" s="2" t="s">
        <v>149</v>
      </c>
      <c r="B119" s="1" t="s">
        <v>150</v>
      </c>
      <c r="C119" s="2" t="s">
        <v>180</v>
      </c>
      <c r="D119" s="1" t="s">
        <v>181</v>
      </c>
      <c r="E119" s="2" t="s">
        <v>153</v>
      </c>
    </row>
    <row r="120">
      <c r="A120" s="2" t="s">
        <v>149</v>
      </c>
      <c r="B120" s="1" t="s">
        <v>150</v>
      </c>
      <c r="C120" s="2" t="s">
        <v>182</v>
      </c>
      <c r="D120" s="1" t="s">
        <v>183</v>
      </c>
      <c r="E120" s="2" t="s">
        <v>153</v>
      </c>
    </row>
    <row r="121">
      <c r="A121" s="2" t="s">
        <v>184</v>
      </c>
      <c r="B121" s="1" t="s">
        <v>185</v>
      </c>
      <c r="C121" s="2" t="s">
        <v>186</v>
      </c>
      <c r="D121" s="1" t="s">
        <v>187</v>
      </c>
      <c r="E121" s="2" t="s">
        <v>188</v>
      </c>
    </row>
    <row r="122">
      <c r="A122" s="2" t="s">
        <v>189</v>
      </c>
      <c r="B122" s="1" t="s">
        <v>190</v>
      </c>
      <c r="C122" s="2" t="s">
        <v>22</v>
      </c>
      <c r="D122" s="1" t="s">
        <v>23</v>
      </c>
    </row>
    <row r="123">
      <c r="A123" s="2" t="s">
        <v>191</v>
      </c>
      <c r="B123" s="1" t="s">
        <v>192</v>
      </c>
      <c r="C123" s="2" t="s">
        <v>193</v>
      </c>
      <c r="D123" s="1" t="s">
        <v>194</v>
      </c>
      <c r="E123" s="2" t="s">
        <v>195</v>
      </c>
    </row>
    <row r="124">
      <c r="A124" s="2" t="s">
        <v>196</v>
      </c>
      <c r="B124" s="1" t="s">
        <v>197</v>
      </c>
      <c r="C124" s="2" t="s">
        <v>22</v>
      </c>
      <c r="D124" s="1" t="s">
        <v>23</v>
      </c>
    </row>
    <row r="125">
      <c r="A125" s="2" t="s">
        <v>198</v>
      </c>
      <c r="B125" s="1" t="s">
        <v>199</v>
      </c>
      <c r="C125" s="2" t="s">
        <v>22</v>
      </c>
      <c r="D125" s="1" t="s">
        <v>23</v>
      </c>
    </row>
    <row r="126">
      <c r="A126" s="2" t="s">
        <v>157</v>
      </c>
      <c r="B126" s="1" t="s">
        <v>158</v>
      </c>
      <c r="C126" s="2" t="s">
        <v>133</v>
      </c>
      <c r="D126" s="1" t="s">
        <v>134</v>
      </c>
      <c r="E126" s="2" t="s">
        <v>159</v>
      </c>
    </row>
    <row r="127">
      <c r="A127" s="2" t="s">
        <v>200</v>
      </c>
      <c r="B127" s="1" t="s">
        <v>201</v>
      </c>
      <c r="C127" s="2" t="s">
        <v>84</v>
      </c>
      <c r="D127" s="1" t="s">
        <v>85</v>
      </c>
    </row>
    <row r="128">
      <c r="A128" s="2" t="s">
        <v>200</v>
      </c>
      <c r="B128" s="1" t="s">
        <v>201</v>
      </c>
      <c r="C128" s="2" t="s">
        <v>77</v>
      </c>
      <c r="D128" s="1" t="s">
        <v>78</v>
      </c>
    </row>
    <row r="129">
      <c r="A129" s="2" t="s">
        <v>200</v>
      </c>
      <c r="B129" s="1" t="s">
        <v>201</v>
      </c>
      <c r="C129" s="2" t="s">
        <v>133</v>
      </c>
      <c r="D129" s="1" t="s">
        <v>134</v>
      </c>
    </row>
    <row r="130">
      <c r="A130" s="2" t="s">
        <v>200</v>
      </c>
      <c r="B130" s="1" t="s">
        <v>201</v>
      </c>
      <c r="C130" s="2" t="s">
        <v>43</v>
      </c>
      <c r="D130" s="1" t="s">
        <v>44</v>
      </c>
    </row>
    <row r="131">
      <c r="A131" s="2" t="s">
        <v>157</v>
      </c>
      <c r="B131" s="1" t="s">
        <v>158</v>
      </c>
      <c r="C131" s="2" t="s">
        <v>43</v>
      </c>
      <c r="D131" s="1" t="s">
        <v>44</v>
      </c>
      <c r="E131" s="2" t="s">
        <v>159</v>
      </c>
    </row>
    <row r="132">
      <c r="A132" s="2" t="s">
        <v>160</v>
      </c>
      <c r="B132" s="1" t="s">
        <v>161</v>
      </c>
      <c r="C132" s="2" t="s">
        <v>49</v>
      </c>
      <c r="D132" s="1" t="s">
        <v>50</v>
      </c>
      <c r="E132" s="2" t="s">
        <v>164</v>
      </c>
    </row>
    <row r="133">
      <c r="A133" s="2" t="s">
        <v>160</v>
      </c>
      <c r="B133" s="1" t="s">
        <v>161</v>
      </c>
      <c r="C133" s="2" t="s">
        <v>35</v>
      </c>
      <c r="D133" s="1" t="s">
        <v>36</v>
      </c>
      <c r="E133" s="2" t="s">
        <v>164</v>
      </c>
    </row>
    <row r="134">
      <c r="A134" s="2" t="s">
        <v>200</v>
      </c>
      <c r="B134" s="1" t="s">
        <v>201</v>
      </c>
      <c r="C134" s="2" t="s">
        <v>49</v>
      </c>
      <c r="D134" s="1" t="s">
        <v>50</v>
      </c>
    </row>
    <row r="135">
      <c r="A135" s="2" t="s">
        <v>157</v>
      </c>
      <c r="B135" s="1" t="s">
        <v>158</v>
      </c>
      <c r="C135" s="2" t="s">
        <v>202</v>
      </c>
      <c r="D135" s="1" t="s">
        <v>203</v>
      </c>
      <c r="E135" s="2" t="s">
        <v>159</v>
      </c>
    </row>
    <row r="136">
      <c r="A136" s="2" t="s">
        <v>204</v>
      </c>
      <c r="B136" s="1" t="s">
        <v>205</v>
      </c>
      <c r="C136" s="2" t="s">
        <v>86</v>
      </c>
      <c r="D136" s="1" t="s">
        <v>87</v>
      </c>
      <c r="E136" s="2" t="s">
        <v>206</v>
      </c>
    </row>
    <row r="137">
      <c r="A137" s="2" t="s">
        <v>207</v>
      </c>
      <c r="B137" s="1" t="s">
        <v>208</v>
      </c>
      <c r="C137" s="2" t="s">
        <v>209</v>
      </c>
      <c r="D137" s="1" t="s">
        <v>210</v>
      </c>
      <c r="E137" s="2" t="s">
        <v>211</v>
      </c>
    </row>
    <row r="138">
      <c r="A138" s="2" t="s">
        <v>157</v>
      </c>
      <c r="B138" s="1" t="s">
        <v>158</v>
      </c>
      <c r="C138" s="2" t="s">
        <v>22</v>
      </c>
      <c r="D138" s="1" t="s">
        <v>23</v>
      </c>
      <c r="E138" s="2" t="s">
        <v>159</v>
      </c>
    </row>
    <row r="139">
      <c r="A139" s="2" t="s">
        <v>191</v>
      </c>
      <c r="B139" s="1" t="s">
        <v>192</v>
      </c>
      <c r="C139" s="2" t="s">
        <v>103</v>
      </c>
      <c r="D139" s="1" t="s">
        <v>104</v>
      </c>
      <c r="E139" s="2" t="s">
        <v>195</v>
      </c>
    </row>
    <row r="140">
      <c r="A140" s="2" t="s">
        <v>212</v>
      </c>
      <c r="B140" s="1" t="s">
        <v>213</v>
      </c>
      <c r="C140" s="2" t="s">
        <v>116</v>
      </c>
      <c r="D140" s="1" t="s">
        <v>117</v>
      </c>
    </row>
    <row r="141">
      <c r="A141" s="2" t="s">
        <v>212</v>
      </c>
      <c r="B141" s="1" t="s">
        <v>213</v>
      </c>
      <c r="C141" s="2" t="s">
        <v>84</v>
      </c>
      <c r="D141" s="1" t="s">
        <v>85</v>
      </c>
    </row>
    <row r="142">
      <c r="A142" s="2" t="s">
        <v>214</v>
      </c>
      <c r="B142" s="1" t="s">
        <v>215</v>
      </c>
      <c r="C142" s="2" t="s">
        <v>41</v>
      </c>
      <c r="D142" s="1" t="s">
        <v>42</v>
      </c>
    </row>
    <row r="143">
      <c r="A143" s="2" t="s">
        <v>214</v>
      </c>
      <c r="B143" s="1" t="s">
        <v>215</v>
      </c>
      <c r="C143" s="2" t="s">
        <v>56</v>
      </c>
      <c r="D143" s="1" t="s">
        <v>57</v>
      </c>
    </row>
    <row r="144">
      <c r="A144" s="2" t="s">
        <v>214</v>
      </c>
      <c r="B144" s="1" t="s">
        <v>215</v>
      </c>
      <c r="C144" s="2" t="s">
        <v>216</v>
      </c>
      <c r="D144" s="1" t="s">
        <v>217</v>
      </c>
    </row>
    <row r="145">
      <c r="A145" s="2" t="s">
        <v>214</v>
      </c>
      <c r="B145" s="1" t="s">
        <v>215</v>
      </c>
      <c r="C145" s="2" t="s">
        <v>43</v>
      </c>
      <c r="D145" s="1" t="s">
        <v>44</v>
      </c>
    </row>
    <row r="146">
      <c r="A146" s="2" t="s">
        <v>218</v>
      </c>
      <c r="B146" s="1" t="s">
        <v>219</v>
      </c>
      <c r="C146" s="2" t="s">
        <v>60</v>
      </c>
      <c r="D146" s="1" t="s">
        <v>61</v>
      </c>
      <c r="E146" s="2" t="s">
        <v>220</v>
      </c>
    </row>
    <row r="147">
      <c r="A147" s="2" t="s">
        <v>191</v>
      </c>
      <c r="B147" s="1" t="s">
        <v>192</v>
      </c>
      <c r="C147" s="2" t="s">
        <v>221</v>
      </c>
      <c r="D147" s="1" t="s">
        <v>222</v>
      </c>
      <c r="E147" s="2" t="s">
        <v>195</v>
      </c>
    </row>
    <row r="148">
      <c r="A148" s="2" t="s">
        <v>207</v>
      </c>
      <c r="B148" s="1" t="s">
        <v>208</v>
      </c>
      <c r="C148" s="2" t="s">
        <v>116</v>
      </c>
      <c r="D148" s="1" t="s">
        <v>117</v>
      </c>
      <c r="E148" s="2" t="s">
        <v>211</v>
      </c>
    </row>
    <row r="149">
      <c r="A149" s="2" t="s">
        <v>184</v>
      </c>
      <c r="B149" s="1" t="s">
        <v>185</v>
      </c>
      <c r="C149" s="2" t="s">
        <v>22</v>
      </c>
      <c r="D149" s="1" t="s">
        <v>23</v>
      </c>
      <c r="E149" s="2" t="s">
        <v>188</v>
      </c>
    </row>
    <row r="150">
      <c r="A150" s="2" t="s">
        <v>200</v>
      </c>
      <c r="B150" s="1" t="s">
        <v>201</v>
      </c>
      <c r="C150" s="2" t="s">
        <v>223</v>
      </c>
      <c r="D150" s="1" t="s">
        <v>224</v>
      </c>
    </row>
    <row r="151">
      <c r="A151" s="2" t="s">
        <v>218</v>
      </c>
      <c r="B151" s="1" t="s">
        <v>219</v>
      </c>
      <c r="C151" s="2" t="s">
        <v>49</v>
      </c>
      <c r="D151" s="1" t="s">
        <v>50</v>
      </c>
      <c r="E151" s="2" t="s">
        <v>220</v>
      </c>
    </row>
    <row r="152">
      <c r="A152" s="2" t="s">
        <v>160</v>
      </c>
      <c r="B152" s="1" t="s">
        <v>161</v>
      </c>
      <c r="C152" s="2" t="s">
        <v>225</v>
      </c>
      <c r="D152" s="1" t="s">
        <v>226</v>
      </c>
      <c r="E152" s="2" t="s">
        <v>164</v>
      </c>
    </row>
    <row r="153">
      <c r="A153" s="2" t="s">
        <v>227</v>
      </c>
      <c r="B153" s="1" t="s">
        <v>228</v>
      </c>
      <c r="C153" s="2" t="s">
        <v>49</v>
      </c>
      <c r="D153" s="1" t="s">
        <v>50</v>
      </c>
      <c r="E153" s="2" t="s">
        <v>229</v>
      </c>
    </row>
    <row r="154">
      <c r="A154" s="2" t="s">
        <v>191</v>
      </c>
      <c r="B154" s="1" t="s">
        <v>192</v>
      </c>
      <c r="C154" s="2" t="s">
        <v>230</v>
      </c>
      <c r="D154" s="1" t="s">
        <v>231</v>
      </c>
      <c r="E154" s="2" t="s">
        <v>195</v>
      </c>
    </row>
    <row r="155">
      <c r="A155" s="2" t="s">
        <v>204</v>
      </c>
      <c r="B155" s="1" t="s">
        <v>205</v>
      </c>
      <c r="C155" s="2" t="s">
        <v>49</v>
      </c>
      <c r="D155" s="1" t="s">
        <v>50</v>
      </c>
      <c r="E155" s="2" t="s">
        <v>206</v>
      </c>
    </row>
    <row r="156">
      <c r="A156" s="2" t="s">
        <v>149</v>
      </c>
      <c r="B156" s="1" t="s">
        <v>150</v>
      </c>
      <c r="C156" s="2" t="s">
        <v>232</v>
      </c>
      <c r="D156" s="1" t="s">
        <v>233</v>
      </c>
      <c r="E156" s="2" t="s">
        <v>153</v>
      </c>
    </row>
    <row r="157">
      <c r="A157" s="2" t="s">
        <v>149</v>
      </c>
      <c r="B157" s="1" t="s">
        <v>150</v>
      </c>
      <c r="C157" s="2" t="s">
        <v>116</v>
      </c>
      <c r="D157" s="1" t="s">
        <v>117</v>
      </c>
      <c r="E157" s="2" t="s">
        <v>153</v>
      </c>
    </row>
    <row r="158">
      <c r="A158" s="2" t="s">
        <v>160</v>
      </c>
      <c r="B158" s="1" t="s">
        <v>161</v>
      </c>
      <c r="C158" s="2" t="s">
        <v>79</v>
      </c>
      <c r="D158" s="1" t="s">
        <v>80</v>
      </c>
      <c r="E158" s="2" t="s">
        <v>164</v>
      </c>
    </row>
    <row r="159">
      <c r="A159" s="2" t="s">
        <v>227</v>
      </c>
      <c r="B159" s="1" t="s">
        <v>228</v>
      </c>
      <c r="C159" s="2" t="s">
        <v>147</v>
      </c>
      <c r="D159" s="1" t="s">
        <v>148</v>
      </c>
      <c r="E159" s="2" t="s">
        <v>229</v>
      </c>
    </row>
    <row r="160">
      <c r="A160" s="2" t="s">
        <v>207</v>
      </c>
      <c r="B160" s="1" t="s">
        <v>208</v>
      </c>
      <c r="C160" s="2" t="s">
        <v>12</v>
      </c>
      <c r="D160" s="1" t="s">
        <v>13</v>
      </c>
      <c r="E160" s="2" t="s">
        <v>211</v>
      </c>
    </row>
    <row r="161">
      <c r="A161" s="2" t="s">
        <v>178</v>
      </c>
      <c r="B161" s="1" t="s">
        <v>179</v>
      </c>
      <c r="C161" s="2" t="s">
        <v>173</v>
      </c>
      <c r="D161" s="1" t="s">
        <v>174</v>
      </c>
    </row>
    <row r="162">
      <c r="A162" s="2" t="s">
        <v>184</v>
      </c>
      <c r="B162" s="1" t="s">
        <v>185</v>
      </c>
      <c r="C162" s="2" t="s">
        <v>234</v>
      </c>
      <c r="D162" s="1" t="s">
        <v>235</v>
      </c>
      <c r="E162" s="2" t="s">
        <v>188</v>
      </c>
    </row>
    <row r="163">
      <c r="A163" s="2" t="s">
        <v>218</v>
      </c>
      <c r="B163" s="1" t="s">
        <v>219</v>
      </c>
      <c r="C163" s="2" t="s">
        <v>225</v>
      </c>
      <c r="D163" s="1" t="s">
        <v>226</v>
      </c>
      <c r="E163" s="2" t="s">
        <v>220</v>
      </c>
    </row>
    <row r="164">
      <c r="A164" s="2" t="s">
        <v>207</v>
      </c>
      <c r="B164" s="1" t="s">
        <v>208</v>
      </c>
      <c r="C164" s="2" t="s">
        <v>103</v>
      </c>
      <c r="D164" s="1" t="s">
        <v>104</v>
      </c>
      <c r="E164" s="2" t="s">
        <v>211</v>
      </c>
    </row>
    <row r="165">
      <c r="A165" s="2" t="s">
        <v>207</v>
      </c>
      <c r="B165" s="1" t="s">
        <v>208</v>
      </c>
      <c r="C165" s="2" t="s">
        <v>77</v>
      </c>
      <c r="D165" s="1" t="s">
        <v>78</v>
      </c>
      <c r="E165" s="2" t="s">
        <v>211</v>
      </c>
    </row>
    <row r="166">
      <c r="A166" s="2" t="s">
        <v>214</v>
      </c>
      <c r="B166" s="1" t="s">
        <v>215</v>
      </c>
      <c r="C166" s="2" t="s">
        <v>221</v>
      </c>
      <c r="D166" s="1" t="s">
        <v>222</v>
      </c>
    </row>
    <row r="167">
      <c r="A167" s="2" t="s">
        <v>227</v>
      </c>
      <c r="B167" s="1" t="s">
        <v>228</v>
      </c>
      <c r="C167" s="2" t="s">
        <v>43</v>
      </c>
      <c r="D167" s="1" t="s">
        <v>44</v>
      </c>
      <c r="E167" s="2" t="s">
        <v>229</v>
      </c>
    </row>
    <row r="168">
      <c r="A168" s="2" t="s">
        <v>204</v>
      </c>
      <c r="B168" s="1" t="s">
        <v>205</v>
      </c>
      <c r="C168" s="2" t="s">
        <v>43</v>
      </c>
      <c r="D168" s="1" t="s">
        <v>44</v>
      </c>
      <c r="E168" s="2" t="s">
        <v>206</v>
      </c>
    </row>
    <row r="169">
      <c r="A169" s="2" t="s">
        <v>149</v>
      </c>
      <c r="B169" s="1" t="s">
        <v>150</v>
      </c>
      <c r="C169" s="2" t="s">
        <v>236</v>
      </c>
      <c r="D169" s="1" t="s">
        <v>237</v>
      </c>
      <c r="E169" s="2" t="s">
        <v>153</v>
      </c>
    </row>
    <row r="170">
      <c r="A170" s="2" t="s">
        <v>204</v>
      </c>
      <c r="B170" s="1" t="s">
        <v>205</v>
      </c>
      <c r="C170" s="2" t="s">
        <v>202</v>
      </c>
      <c r="D170" s="1" t="s">
        <v>203</v>
      </c>
      <c r="E170" s="2" t="s">
        <v>206</v>
      </c>
    </row>
    <row r="171">
      <c r="A171" s="2" t="s">
        <v>227</v>
      </c>
      <c r="B171" s="1" t="s">
        <v>228</v>
      </c>
      <c r="C171" s="2" t="s">
        <v>22</v>
      </c>
      <c r="D171" s="1" t="s">
        <v>23</v>
      </c>
      <c r="E171" s="2" t="s">
        <v>229</v>
      </c>
    </row>
    <row r="172">
      <c r="A172" s="2" t="s">
        <v>189</v>
      </c>
      <c r="B172" s="1" t="s">
        <v>190</v>
      </c>
      <c r="C172" s="2" t="s">
        <v>12</v>
      </c>
      <c r="D172" s="1" t="s">
        <v>13</v>
      </c>
    </row>
    <row r="173">
      <c r="A173" s="2" t="s">
        <v>189</v>
      </c>
      <c r="B173" s="1" t="s">
        <v>190</v>
      </c>
      <c r="C173" s="2" t="s">
        <v>49</v>
      </c>
      <c r="D173" s="1" t="s">
        <v>50</v>
      </c>
    </row>
    <row r="174">
      <c r="A174" s="2" t="s">
        <v>207</v>
      </c>
      <c r="B174" s="1" t="s">
        <v>208</v>
      </c>
      <c r="C174" s="2" t="s">
        <v>124</v>
      </c>
      <c r="D174" s="1" t="s">
        <v>125</v>
      </c>
      <c r="E174" s="2" t="s">
        <v>211</v>
      </c>
    </row>
    <row r="175">
      <c r="A175" s="2" t="s">
        <v>218</v>
      </c>
      <c r="B175" s="1" t="s">
        <v>219</v>
      </c>
      <c r="C175" s="2" t="s">
        <v>79</v>
      </c>
      <c r="D175" s="1" t="s">
        <v>80</v>
      </c>
      <c r="E175" s="2" t="s">
        <v>220</v>
      </c>
    </row>
    <row r="176">
      <c r="A176" s="2" t="s">
        <v>189</v>
      </c>
      <c r="B176" s="1" t="s">
        <v>190</v>
      </c>
      <c r="C176" s="2" t="s">
        <v>141</v>
      </c>
      <c r="D176" s="1" t="s">
        <v>142</v>
      </c>
    </row>
    <row r="177">
      <c r="A177" s="2" t="s">
        <v>198</v>
      </c>
      <c r="B177" s="1" t="s">
        <v>199</v>
      </c>
      <c r="C177" s="2" t="s">
        <v>103</v>
      </c>
      <c r="D177" s="1" t="s">
        <v>104</v>
      </c>
    </row>
    <row r="178">
      <c r="A178" s="2" t="s">
        <v>198</v>
      </c>
      <c r="B178" s="1" t="s">
        <v>199</v>
      </c>
      <c r="C178" s="2" t="s">
        <v>77</v>
      </c>
      <c r="D178" s="1" t="s">
        <v>78</v>
      </c>
    </row>
    <row r="179">
      <c r="A179" s="2" t="s">
        <v>160</v>
      </c>
      <c r="B179" s="1" t="s">
        <v>161</v>
      </c>
      <c r="C179" s="2" t="s">
        <v>238</v>
      </c>
      <c r="D179" s="1" t="s">
        <v>239</v>
      </c>
      <c r="E179" s="2" t="s">
        <v>164</v>
      </c>
    </row>
    <row r="180">
      <c r="A180" s="2" t="s">
        <v>198</v>
      </c>
      <c r="B180" s="1" t="s">
        <v>199</v>
      </c>
      <c r="C180" s="2" t="s">
        <v>133</v>
      </c>
      <c r="D180" s="1" t="s">
        <v>134</v>
      </c>
    </row>
    <row r="181">
      <c r="A181" s="2" t="s">
        <v>240</v>
      </c>
      <c r="B181" s="1" t="s">
        <v>241</v>
      </c>
      <c r="C181" s="2" t="s">
        <v>99</v>
      </c>
      <c r="D181" s="1" t="s">
        <v>100</v>
      </c>
      <c r="E181" s="2" t="s">
        <v>242</v>
      </c>
    </row>
    <row r="182">
      <c r="A182" s="2" t="s">
        <v>154</v>
      </c>
      <c r="B182" s="1" t="s">
        <v>155</v>
      </c>
      <c r="C182" s="2" t="s">
        <v>77</v>
      </c>
      <c r="D182" s="1" t="s">
        <v>78</v>
      </c>
      <c r="E182" s="2" t="s">
        <v>156</v>
      </c>
    </row>
    <row r="183">
      <c r="A183" s="2" t="s">
        <v>184</v>
      </c>
      <c r="B183" s="1" t="s">
        <v>185</v>
      </c>
      <c r="C183" s="2" t="s">
        <v>243</v>
      </c>
      <c r="D183" s="1" t="s">
        <v>244</v>
      </c>
      <c r="E183" s="2" t="s">
        <v>188</v>
      </c>
    </row>
    <row r="184">
      <c r="A184" s="2" t="s">
        <v>245</v>
      </c>
      <c r="B184" s="1" t="s">
        <v>246</v>
      </c>
      <c r="C184" s="2" t="s">
        <v>247</v>
      </c>
      <c r="D184" s="1" t="s">
        <v>248</v>
      </c>
      <c r="E184" s="2" t="s">
        <v>249</v>
      </c>
    </row>
    <row r="185">
      <c r="A185" s="2" t="s">
        <v>204</v>
      </c>
      <c r="B185" s="1" t="s">
        <v>205</v>
      </c>
      <c r="C185" s="2" t="s">
        <v>79</v>
      </c>
      <c r="D185" s="1" t="s">
        <v>80</v>
      </c>
      <c r="E185" s="2" t="s">
        <v>206</v>
      </c>
    </row>
    <row r="186">
      <c r="A186" s="2" t="s">
        <v>198</v>
      </c>
      <c r="B186" s="1" t="s">
        <v>199</v>
      </c>
      <c r="C186" s="2" t="s">
        <v>49</v>
      </c>
      <c r="D186" s="1" t="s">
        <v>50</v>
      </c>
    </row>
    <row r="187">
      <c r="A187" s="2" t="s">
        <v>245</v>
      </c>
      <c r="B187" s="1" t="s">
        <v>246</v>
      </c>
      <c r="C187" s="2" t="s">
        <v>225</v>
      </c>
      <c r="D187" s="1" t="s">
        <v>226</v>
      </c>
      <c r="E187" s="2" t="s">
        <v>249</v>
      </c>
    </row>
    <row r="188">
      <c r="A188" s="2" t="s">
        <v>196</v>
      </c>
      <c r="B188" s="1" t="s">
        <v>197</v>
      </c>
      <c r="C188" s="2" t="s">
        <v>250</v>
      </c>
      <c r="D188" s="1" t="s">
        <v>251</v>
      </c>
    </row>
    <row r="189">
      <c r="A189" s="2" t="s">
        <v>198</v>
      </c>
      <c r="B189" s="1" t="s">
        <v>199</v>
      </c>
      <c r="C189" s="2" t="s">
        <v>252</v>
      </c>
      <c r="D189" s="1" t="s">
        <v>253</v>
      </c>
    </row>
    <row r="190">
      <c r="A190" s="2" t="s">
        <v>212</v>
      </c>
      <c r="B190" s="1" t="s">
        <v>213</v>
      </c>
      <c r="C190" s="2" t="s">
        <v>25</v>
      </c>
      <c r="D190" s="1" t="s">
        <v>26</v>
      </c>
    </row>
    <row r="191">
      <c r="A191" s="2" t="s">
        <v>149</v>
      </c>
      <c r="B191" s="1" t="s">
        <v>150</v>
      </c>
      <c r="C191" s="2" t="s">
        <v>254</v>
      </c>
      <c r="D191" s="1" t="s">
        <v>255</v>
      </c>
      <c r="E191" s="2" t="s">
        <v>153</v>
      </c>
    </row>
    <row r="192">
      <c r="A192" s="2" t="s">
        <v>196</v>
      </c>
      <c r="B192" s="1" t="s">
        <v>197</v>
      </c>
      <c r="C192" s="2" t="s">
        <v>256</v>
      </c>
      <c r="D192" s="1" t="s">
        <v>257</v>
      </c>
    </row>
    <row r="193">
      <c r="A193" s="2" t="s">
        <v>175</v>
      </c>
      <c r="B193" s="1" t="s">
        <v>176</v>
      </c>
      <c r="C193" s="2" t="s">
        <v>77</v>
      </c>
      <c r="D193" s="1" t="s">
        <v>78</v>
      </c>
      <c r="E193" s="2" t="s">
        <v>177</v>
      </c>
    </row>
    <row r="194">
      <c r="A194" s="2" t="s">
        <v>149</v>
      </c>
      <c r="B194" s="1" t="s">
        <v>150</v>
      </c>
      <c r="C194" s="2" t="s">
        <v>258</v>
      </c>
      <c r="D194" s="1" t="s">
        <v>259</v>
      </c>
      <c r="E194" s="2" t="s">
        <v>153</v>
      </c>
    </row>
    <row r="195">
      <c r="A195" s="2" t="s">
        <v>240</v>
      </c>
      <c r="B195" s="1" t="s">
        <v>241</v>
      </c>
      <c r="C195" s="2" t="s">
        <v>22</v>
      </c>
      <c r="D195" s="1" t="s">
        <v>23</v>
      </c>
      <c r="E195" s="2" t="s">
        <v>242</v>
      </c>
    </row>
    <row r="196">
      <c r="A196" s="2" t="s">
        <v>240</v>
      </c>
      <c r="B196" s="1" t="s">
        <v>241</v>
      </c>
      <c r="C196" s="2" t="s">
        <v>25</v>
      </c>
      <c r="D196" s="1" t="s">
        <v>26</v>
      </c>
      <c r="E196" s="2" t="s">
        <v>242</v>
      </c>
    </row>
    <row r="197">
      <c r="A197" s="2" t="s">
        <v>154</v>
      </c>
      <c r="B197" s="1" t="s">
        <v>155</v>
      </c>
      <c r="C197" s="2" t="s">
        <v>260</v>
      </c>
      <c r="D197" s="1" t="s">
        <v>261</v>
      </c>
      <c r="E197" s="2" t="s">
        <v>156</v>
      </c>
    </row>
    <row r="198">
      <c r="A198" s="2" t="s">
        <v>167</v>
      </c>
      <c r="B198" s="1" t="s">
        <v>168</v>
      </c>
      <c r="C198" s="2" t="s">
        <v>116</v>
      </c>
      <c r="D198" s="1" t="s">
        <v>117</v>
      </c>
    </row>
    <row r="199">
      <c r="A199" s="2" t="s">
        <v>167</v>
      </c>
      <c r="B199" s="1" t="s">
        <v>168</v>
      </c>
      <c r="C199" s="2" t="s">
        <v>103</v>
      </c>
      <c r="D199" s="1" t="s">
        <v>104</v>
      </c>
    </row>
    <row r="200">
      <c r="A200" s="2" t="s">
        <v>167</v>
      </c>
      <c r="B200" s="1" t="s">
        <v>168</v>
      </c>
      <c r="C200" s="2" t="s">
        <v>77</v>
      </c>
      <c r="D200" s="1" t="s">
        <v>78</v>
      </c>
    </row>
    <row r="201">
      <c r="A201" s="2" t="s">
        <v>184</v>
      </c>
      <c r="B201" s="1" t="s">
        <v>185</v>
      </c>
      <c r="C201" s="2" t="s">
        <v>116</v>
      </c>
      <c r="D201" s="1" t="s">
        <v>117</v>
      </c>
      <c r="E201" s="2" t="s">
        <v>188</v>
      </c>
    </row>
    <row r="202">
      <c r="A202" s="2" t="s">
        <v>262</v>
      </c>
      <c r="B202" s="1" t="s">
        <v>263</v>
      </c>
      <c r="C202" s="2" t="s">
        <v>252</v>
      </c>
      <c r="D202" s="1" t="s">
        <v>253</v>
      </c>
    </row>
    <row r="203">
      <c r="A203" s="2" t="s">
        <v>262</v>
      </c>
      <c r="B203" s="1" t="s">
        <v>263</v>
      </c>
      <c r="C203" s="2" t="s">
        <v>209</v>
      </c>
      <c r="D203" s="1" t="s">
        <v>210</v>
      </c>
    </row>
    <row r="204">
      <c r="A204" s="2" t="s">
        <v>264</v>
      </c>
      <c r="B204" s="1" t="s">
        <v>265</v>
      </c>
      <c r="C204" s="2" t="s">
        <v>53</v>
      </c>
      <c r="D204" s="1" t="s">
        <v>54</v>
      </c>
    </row>
    <row r="205">
      <c r="A205" s="2" t="s">
        <v>262</v>
      </c>
      <c r="B205" s="1" t="s">
        <v>263</v>
      </c>
      <c r="C205" s="2" t="s">
        <v>266</v>
      </c>
      <c r="D205" s="1" t="s">
        <v>267</v>
      </c>
    </row>
    <row r="206">
      <c r="A206" s="2" t="s">
        <v>268</v>
      </c>
      <c r="B206" s="1" t="s">
        <v>269</v>
      </c>
      <c r="C206" s="2" t="s">
        <v>43</v>
      </c>
      <c r="D206" s="1" t="s">
        <v>44</v>
      </c>
    </row>
    <row r="207">
      <c r="A207" s="2" t="s">
        <v>270</v>
      </c>
      <c r="B207" s="1" t="s">
        <v>271</v>
      </c>
      <c r="C207" s="2" t="s">
        <v>53</v>
      </c>
      <c r="D207" s="1" t="s">
        <v>54</v>
      </c>
    </row>
    <row r="208">
      <c r="A208" s="2" t="s">
        <v>262</v>
      </c>
      <c r="B208" s="1" t="s">
        <v>263</v>
      </c>
      <c r="C208" s="2" t="s">
        <v>65</v>
      </c>
      <c r="D208" s="1" t="s">
        <v>66</v>
      </c>
    </row>
    <row r="209">
      <c r="A209" s="2" t="s">
        <v>268</v>
      </c>
      <c r="B209" s="1" t="s">
        <v>269</v>
      </c>
      <c r="C209" s="2" t="s">
        <v>49</v>
      </c>
      <c r="D209" s="1" t="s">
        <v>50</v>
      </c>
    </row>
    <row r="210">
      <c r="A210" s="2" t="s">
        <v>272</v>
      </c>
      <c r="B210" s="1" t="s">
        <v>273</v>
      </c>
      <c r="C210" s="2" t="s">
        <v>274</v>
      </c>
      <c r="D210" s="1" t="s">
        <v>275</v>
      </c>
    </row>
    <row r="211">
      <c r="A211" s="2" t="s">
        <v>276</v>
      </c>
      <c r="B211" s="1" t="s">
        <v>277</v>
      </c>
      <c r="C211" s="2" t="s">
        <v>22</v>
      </c>
      <c r="D211" s="1" t="s">
        <v>23</v>
      </c>
    </row>
    <row r="212">
      <c r="A212" s="2" t="s">
        <v>276</v>
      </c>
      <c r="B212" s="1" t="s">
        <v>277</v>
      </c>
      <c r="C212" s="2" t="s">
        <v>25</v>
      </c>
      <c r="D212" s="1" t="s">
        <v>26</v>
      </c>
    </row>
    <row r="213">
      <c r="A213" s="2" t="s">
        <v>278</v>
      </c>
      <c r="B213" s="1" t="s">
        <v>279</v>
      </c>
      <c r="C213" s="2" t="s">
        <v>22</v>
      </c>
      <c r="D213" s="1" t="s">
        <v>23</v>
      </c>
    </row>
    <row r="214">
      <c r="A214" s="2" t="s">
        <v>278</v>
      </c>
      <c r="B214" s="1" t="s">
        <v>279</v>
      </c>
      <c r="C214" s="2" t="s">
        <v>25</v>
      </c>
      <c r="D214" s="1" t="s">
        <v>26</v>
      </c>
    </row>
    <row r="215">
      <c r="A215" s="2" t="s">
        <v>264</v>
      </c>
      <c r="B215" s="1" t="s">
        <v>265</v>
      </c>
      <c r="C215" s="2" t="s">
        <v>41</v>
      </c>
      <c r="D215" s="1" t="s">
        <v>42</v>
      </c>
    </row>
    <row r="216">
      <c r="A216" s="2" t="s">
        <v>264</v>
      </c>
      <c r="B216" s="1" t="s">
        <v>265</v>
      </c>
      <c r="C216" s="2" t="s">
        <v>43</v>
      </c>
      <c r="D216" s="1" t="s">
        <v>44</v>
      </c>
    </row>
    <row r="217">
      <c r="A217" s="2" t="s">
        <v>262</v>
      </c>
      <c r="B217" s="1" t="s">
        <v>263</v>
      </c>
      <c r="C217" s="2" t="s">
        <v>280</v>
      </c>
      <c r="D217" s="1" t="s">
        <v>281</v>
      </c>
    </row>
    <row r="218">
      <c r="A218" s="2" t="s">
        <v>272</v>
      </c>
      <c r="B218" s="1" t="s">
        <v>273</v>
      </c>
      <c r="C218" s="2" t="s">
        <v>282</v>
      </c>
      <c r="D218" s="1" t="s">
        <v>283</v>
      </c>
    </row>
    <row r="219">
      <c r="A219" s="2" t="s">
        <v>284</v>
      </c>
      <c r="B219" s="1" t="s">
        <v>285</v>
      </c>
      <c r="C219" s="2" t="s">
        <v>216</v>
      </c>
      <c r="D219" s="1" t="s">
        <v>217</v>
      </c>
    </row>
    <row r="220">
      <c r="A220" s="2" t="s">
        <v>284</v>
      </c>
      <c r="B220" s="1" t="s">
        <v>285</v>
      </c>
      <c r="C220" s="2" t="s">
        <v>43</v>
      </c>
      <c r="D220" s="1" t="s">
        <v>44</v>
      </c>
    </row>
    <row r="221">
      <c r="A221" s="2" t="s">
        <v>286</v>
      </c>
      <c r="B221" s="1" t="s">
        <v>287</v>
      </c>
      <c r="C221" s="2" t="s">
        <v>41</v>
      </c>
      <c r="D221" s="1" t="s">
        <v>42</v>
      </c>
    </row>
    <row r="222">
      <c r="A222" s="2" t="s">
        <v>286</v>
      </c>
      <c r="B222" s="1" t="s">
        <v>287</v>
      </c>
      <c r="C222" s="2" t="s">
        <v>288</v>
      </c>
      <c r="D222" s="1" t="s">
        <v>289</v>
      </c>
    </row>
    <row r="223">
      <c r="A223" s="2" t="s">
        <v>264</v>
      </c>
      <c r="B223" s="1" t="s">
        <v>265</v>
      </c>
      <c r="C223" s="2" t="s">
        <v>49</v>
      </c>
      <c r="D223" s="1" t="s">
        <v>50</v>
      </c>
    </row>
    <row r="224">
      <c r="A224" s="2" t="s">
        <v>270</v>
      </c>
      <c r="B224" s="1" t="s">
        <v>271</v>
      </c>
      <c r="C224" s="2" t="s">
        <v>41</v>
      </c>
      <c r="D224" s="1" t="s">
        <v>42</v>
      </c>
    </row>
    <row r="225">
      <c r="A225" s="2" t="s">
        <v>286</v>
      </c>
      <c r="B225" s="1" t="s">
        <v>287</v>
      </c>
      <c r="C225" s="2" t="s">
        <v>43</v>
      </c>
      <c r="D225" s="1" t="s">
        <v>44</v>
      </c>
    </row>
    <row r="226">
      <c r="A226" s="2" t="s">
        <v>290</v>
      </c>
      <c r="B226" s="1" t="s">
        <v>291</v>
      </c>
      <c r="C226" s="2" t="s">
        <v>41</v>
      </c>
      <c r="D226" s="1" t="s">
        <v>42</v>
      </c>
    </row>
    <row r="227">
      <c r="A227" s="2" t="s">
        <v>292</v>
      </c>
      <c r="B227" s="1" t="s">
        <v>293</v>
      </c>
      <c r="C227" s="2" t="s">
        <v>103</v>
      </c>
      <c r="D227" s="1" t="s">
        <v>104</v>
      </c>
    </row>
    <row r="228">
      <c r="A228" s="2" t="s">
        <v>286</v>
      </c>
      <c r="B228" s="1" t="s">
        <v>287</v>
      </c>
      <c r="C228" s="2" t="s">
        <v>49</v>
      </c>
      <c r="D228" s="1" t="s">
        <v>50</v>
      </c>
    </row>
    <row r="229">
      <c r="A229" s="2" t="s">
        <v>270</v>
      </c>
      <c r="B229" s="1" t="s">
        <v>271</v>
      </c>
      <c r="C229" s="2" t="s">
        <v>49</v>
      </c>
      <c r="D229" s="1" t="s">
        <v>50</v>
      </c>
    </row>
    <row r="230">
      <c r="A230" s="2" t="s">
        <v>268</v>
      </c>
      <c r="B230" s="1" t="s">
        <v>269</v>
      </c>
      <c r="C230" s="2" t="s">
        <v>69</v>
      </c>
      <c r="D230" s="1" t="s">
        <v>70</v>
      </c>
    </row>
    <row r="231">
      <c r="A231" s="2" t="s">
        <v>290</v>
      </c>
      <c r="B231" s="1" t="s">
        <v>291</v>
      </c>
      <c r="C231" s="2" t="s">
        <v>49</v>
      </c>
      <c r="D231" s="1" t="s">
        <v>50</v>
      </c>
    </row>
    <row r="232">
      <c r="A232" s="2" t="s">
        <v>294</v>
      </c>
      <c r="B232" s="1" t="s">
        <v>295</v>
      </c>
      <c r="C232" s="2" t="s">
        <v>79</v>
      </c>
      <c r="D232" s="1" t="s">
        <v>80</v>
      </c>
    </row>
    <row r="233">
      <c r="A233" s="2" t="s">
        <v>292</v>
      </c>
      <c r="B233" s="1" t="s">
        <v>293</v>
      </c>
      <c r="C233" s="2" t="s">
        <v>141</v>
      </c>
      <c r="D233" s="1" t="s">
        <v>142</v>
      </c>
    </row>
    <row r="234">
      <c r="A234" s="2" t="s">
        <v>268</v>
      </c>
      <c r="B234" s="1" t="s">
        <v>269</v>
      </c>
      <c r="C234" s="2" t="s">
        <v>296</v>
      </c>
      <c r="D234" s="1" t="s">
        <v>297</v>
      </c>
    </row>
    <row r="235">
      <c r="A235" s="2" t="s">
        <v>298</v>
      </c>
      <c r="B235" s="1" t="s">
        <v>299</v>
      </c>
      <c r="C235" s="2" t="s">
        <v>300</v>
      </c>
      <c r="D235" s="1" t="s">
        <v>301</v>
      </c>
    </row>
    <row r="236">
      <c r="A236" s="2" t="s">
        <v>292</v>
      </c>
      <c r="B236" s="1" t="s">
        <v>293</v>
      </c>
      <c r="C236" s="2" t="s">
        <v>302</v>
      </c>
      <c r="D236" s="1" t="s">
        <v>303</v>
      </c>
    </row>
    <row r="237">
      <c r="A237" s="2" t="s">
        <v>304</v>
      </c>
      <c r="B237" s="1" t="s">
        <v>305</v>
      </c>
      <c r="C237" s="2" t="s">
        <v>306</v>
      </c>
      <c r="D237" s="1" t="s">
        <v>307</v>
      </c>
      <c r="E237" s="2" t="s">
        <v>308</v>
      </c>
    </row>
    <row r="238">
      <c r="A238" s="2" t="s">
        <v>309</v>
      </c>
      <c r="B238" s="1" t="s">
        <v>310</v>
      </c>
      <c r="C238" s="2" t="s">
        <v>311</v>
      </c>
      <c r="D238" s="1" t="s">
        <v>312</v>
      </c>
    </row>
    <row r="239">
      <c r="A239" s="2" t="s">
        <v>313</v>
      </c>
      <c r="B239" s="1" t="s">
        <v>314</v>
      </c>
      <c r="C239" s="2" t="s">
        <v>41</v>
      </c>
      <c r="D239" s="1" t="s">
        <v>42</v>
      </c>
    </row>
    <row r="240">
      <c r="A240" s="2" t="s">
        <v>313</v>
      </c>
      <c r="B240" s="1" t="s">
        <v>314</v>
      </c>
      <c r="C240" s="2" t="s">
        <v>84</v>
      </c>
      <c r="D240" s="1" t="s">
        <v>85</v>
      </c>
    </row>
    <row r="241">
      <c r="A241" s="2" t="s">
        <v>290</v>
      </c>
      <c r="B241" s="1" t="s">
        <v>291</v>
      </c>
      <c r="C241" s="2" t="s">
        <v>92</v>
      </c>
      <c r="D241" s="1" t="s">
        <v>93</v>
      </c>
    </row>
    <row r="242">
      <c r="A242" s="2" t="s">
        <v>304</v>
      </c>
      <c r="B242" s="1" t="s">
        <v>305</v>
      </c>
      <c r="C242" s="2" t="s">
        <v>315</v>
      </c>
      <c r="D242" s="1" t="s">
        <v>316</v>
      </c>
      <c r="E242" s="2" t="s">
        <v>308</v>
      </c>
    </row>
    <row r="243">
      <c r="A243" s="2" t="s">
        <v>313</v>
      </c>
      <c r="B243" s="1" t="s">
        <v>314</v>
      </c>
      <c r="C243" s="2" t="s">
        <v>43</v>
      </c>
      <c r="D243" s="1" t="s">
        <v>44</v>
      </c>
    </row>
    <row r="244">
      <c r="A244" s="2" t="s">
        <v>317</v>
      </c>
      <c r="B244" s="1" t="s">
        <v>318</v>
      </c>
      <c r="C244" s="2" t="s">
        <v>41</v>
      </c>
      <c r="D244" s="1" t="s">
        <v>42</v>
      </c>
    </row>
    <row r="245">
      <c r="A245" s="2" t="s">
        <v>286</v>
      </c>
      <c r="B245" s="1" t="s">
        <v>287</v>
      </c>
      <c r="C245" s="2" t="s">
        <v>69</v>
      </c>
      <c r="D245" s="1" t="s">
        <v>70</v>
      </c>
    </row>
    <row r="246">
      <c r="A246" s="2" t="s">
        <v>317</v>
      </c>
      <c r="B246" s="1" t="s">
        <v>318</v>
      </c>
      <c r="C246" s="2" t="s">
        <v>43</v>
      </c>
      <c r="D246" s="1" t="s">
        <v>44</v>
      </c>
    </row>
    <row r="247">
      <c r="A247" s="2" t="s">
        <v>294</v>
      </c>
      <c r="B247" s="1" t="s">
        <v>295</v>
      </c>
      <c r="C247" s="2" t="s">
        <v>319</v>
      </c>
      <c r="D247" s="1" t="s">
        <v>320</v>
      </c>
    </row>
    <row r="248">
      <c r="A248" s="2" t="s">
        <v>304</v>
      </c>
      <c r="B248" s="1" t="s">
        <v>305</v>
      </c>
      <c r="C248" s="2" t="s">
        <v>321</v>
      </c>
      <c r="D248" s="1" t="s">
        <v>322</v>
      </c>
      <c r="E248" s="2" t="s">
        <v>308</v>
      </c>
    </row>
    <row r="249">
      <c r="A249" s="2" t="s">
        <v>270</v>
      </c>
      <c r="B249" s="1" t="s">
        <v>271</v>
      </c>
      <c r="C249" s="2" t="s">
        <v>69</v>
      </c>
      <c r="D249" s="1" t="s">
        <v>70</v>
      </c>
    </row>
    <row r="250">
      <c r="A250" s="2" t="s">
        <v>323</v>
      </c>
      <c r="B250" s="1" t="s">
        <v>324</v>
      </c>
      <c r="C250" s="2" t="s">
        <v>128</v>
      </c>
      <c r="D250" s="1" t="s">
        <v>129</v>
      </c>
      <c r="E250" s="2" t="s">
        <v>325</v>
      </c>
    </row>
    <row r="251">
      <c r="A251" s="2" t="s">
        <v>326</v>
      </c>
      <c r="B251" s="1" t="s">
        <v>327</v>
      </c>
      <c r="C251" s="2" t="s">
        <v>133</v>
      </c>
      <c r="D251" s="1" t="s">
        <v>134</v>
      </c>
    </row>
    <row r="252">
      <c r="A252" s="2" t="s">
        <v>326</v>
      </c>
      <c r="B252" s="1" t="s">
        <v>327</v>
      </c>
      <c r="C252" s="2" t="s">
        <v>43</v>
      </c>
      <c r="D252" s="1" t="s">
        <v>44</v>
      </c>
    </row>
    <row r="253">
      <c r="A253" s="2" t="s">
        <v>326</v>
      </c>
      <c r="B253" s="1" t="s">
        <v>327</v>
      </c>
      <c r="C253" s="2" t="s">
        <v>328</v>
      </c>
      <c r="D253" s="1" t="s">
        <v>329</v>
      </c>
    </row>
    <row r="254">
      <c r="A254" s="2" t="s">
        <v>326</v>
      </c>
      <c r="B254" s="1" t="s">
        <v>327</v>
      </c>
      <c r="C254" s="2" t="s">
        <v>79</v>
      </c>
      <c r="D254" s="1" t="s">
        <v>80</v>
      </c>
    </row>
    <row r="255">
      <c r="A255" s="2" t="s">
        <v>326</v>
      </c>
      <c r="B255" s="1" t="s">
        <v>327</v>
      </c>
      <c r="C255" s="2" t="s">
        <v>7</v>
      </c>
      <c r="D255" s="1" t="s">
        <v>8</v>
      </c>
    </row>
    <row r="256">
      <c r="A256" s="2" t="s">
        <v>292</v>
      </c>
      <c r="B256" s="1" t="s">
        <v>293</v>
      </c>
      <c r="C256" s="2" t="s">
        <v>243</v>
      </c>
      <c r="D256" s="1" t="s">
        <v>244</v>
      </c>
    </row>
    <row r="257">
      <c r="A257" s="2" t="s">
        <v>284</v>
      </c>
      <c r="B257" s="1" t="s">
        <v>285</v>
      </c>
      <c r="C257" s="2" t="s">
        <v>221</v>
      </c>
      <c r="D257" s="1" t="s">
        <v>222</v>
      </c>
    </row>
    <row r="258">
      <c r="A258" s="2" t="s">
        <v>262</v>
      </c>
      <c r="B258" s="1" t="s">
        <v>263</v>
      </c>
      <c r="C258" s="2" t="s">
        <v>22</v>
      </c>
      <c r="D258" s="1" t="s">
        <v>23</v>
      </c>
    </row>
    <row r="259">
      <c r="A259" s="2" t="s">
        <v>326</v>
      </c>
      <c r="B259" s="1" t="s">
        <v>327</v>
      </c>
      <c r="C259" s="2" t="s">
        <v>90</v>
      </c>
      <c r="D259" s="1" t="s">
        <v>91</v>
      </c>
    </row>
    <row r="260">
      <c r="A260" s="2" t="s">
        <v>330</v>
      </c>
      <c r="B260" s="1" t="s">
        <v>331</v>
      </c>
      <c r="C260" s="2" t="s">
        <v>332</v>
      </c>
      <c r="D260" s="1" t="s">
        <v>333</v>
      </c>
      <c r="E260" s="2" t="s">
        <v>334</v>
      </c>
    </row>
    <row r="261">
      <c r="A261" s="2" t="s">
        <v>335</v>
      </c>
      <c r="B261" s="1" t="s">
        <v>336</v>
      </c>
      <c r="C261" s="2" t="s">
        <v>35</v>
      </c>
      <c r="D261" s="1" t="s">
        <v>36</v>
      </c>
    </row>
    <row r="262">
      <c r="A262" s="2" t="s">
        <v>330</v>
      </c>
      <c r="B262" s="1" t="s">
        <v>331</v>
      </c>
      <c r="C262" s="2" t="s">
        <v>337</v>
      </c>
      <c r="D262" s="1" t="s">
        <v>338</v>
      </c>
      <c r="E262" s="2" t="s">
        <v>334</v>
      </c>
    </row>
    <row r="263">
      <c r="A263" s="2" t="s">
        <v>313</v>
      </c>
      <c r="B263" s="1" t="s">
        <v>314</v>
      </c>
      <c r="C263" s="2" t="s">
        <v>69</v>
      </c>
      <c r="D263" s="1" t="s">
        <v>70</v>
      </c>
    </row>
    <row r="264">
      <c r="A264" s="2" t="s">
        <v>335</v>
      </c>
      <c r="B264" s="1" t="s">
        <v>336</v>
      </c>
      <c r="C264" s="2" t="s">
        <v>339</v>
      </c>
      <c r="D264" s="1" t="s">
        <v>340</v>
      </c>
    </row>
    <row r="265">
      <c r="A265" s="2" t="s">
        <v>330</v>
      </c>
      <c r="B265" s="1" t="s">
        <v>331</v>
      </c>
      <c r="C265" s="2" t="s">
        <v>79</v>
      </c>
      <c r="D265" s="1" t="s">
        <v>80</v>
      </c>
      <c r="E265" s="2" t="s">
        <v>334</v>
      </c>
    </row>
    <row r="266">
      <c r="A266" s="2" t="s">
        <v>326</v>
      </c>
      <c r="B266" s="1" t="s">
        <v>327</v>
      </c>
      <c r="C266" s="2" t="s">
        <v>69</v>
      </c>
      <c r="D266" s="1" t="s">
        <v>70</v>
      </c>
    </row>
    <row r="267">
      <c r="A267" s="2" t="s">
        <v>276</v>
      </c>
      <c r="B267" s="1" t="s">
        <v>277</v>
      </c>
      <c r="C267" s="2" t="s">
        <v>135</v>
      </c>
      <c r="D267" s="1" t="s">
        <v>136</v>
      </c>
    </row>
    <row r="268">
      <c r="A268" s="2" t="s">
        <v>276</v>
      </c>
      <c r="B268" s="1" t="s">
        <v>277</v>
      </c>
      <c r="C268" s="2" t="s">
        <v>43</v>
      </c>
      <c r="D268" s="1" t="s">
        <v>44</v>
      </c>
    </row>
    <row r="269">
      <c r="A269" s="2" t="s">
        <v>276</v>
      </c>
      <c r="B269" s="1" t="s">
        <v>277</v>
      </c>
      <c r="C269" s="2" t="s">
        <v>120</v>
      </c>
      <c r="D269" s="1" t="s">
        <v>121</v>
      </c>
    </row>
    <row r="270">
      <c r="A270" s="2" t="s">
        <v>278</v>
      </c>
      <c r="B270" s="1" t="s">
        <v>279</v>
      </c>
      <c r="C270" s="2" t="s">
        <v>43</v>
      </c>
      <c r="D270" s="1" t="s">
        <v>44</v>
      </c>
    </row>
    <row r="271">
      <c r="A271" s="2" t="s">
        <v>298</v>
      </c>
      <c r="B271" s="1" t="s">
        <v>299</v>
      </c>
      <c r="C271" s="2" t="s">
        <v>114</v>
      </c>
      <c r="D271" s="1" t="s">
        <v>115</v>
      </c>
    </row>
    <row r="272">
      <c r="A272" s="2" t="s">
        <v>276</v>
      </c>
      <c r="B272" s="1" t="s">
        <v>277</v>
      </c>
      <c r="C272" s="2" t="s">
        <v>49</v>
      </c>
      <c r="D272" s="1" t="s">
        <v>50</v>
      </c>
    </row>
    <row r="273">
      <c r="A273" s="2" t="s">
        <v>268</v>
      </c>
      <c r="B273" s="1" t="s">
        <v>269</v>
      </c>
      <c r="C273" s="2" t="s">
        <v>143</v>
      </c>
      <c r="D273" s="1" t="s">
        <v>144</v>
      </c>
    </row>
    <row r="274">
      <c r="A274" s="2" t="s">
        <v>278</v>
      </c>
      <c r="B274" s="1" t="s">
        <v>279</v>
      </c>
      <c r="C274" s="2" t="s">
        <v>49</v>
      </c>
      <c r="D274" s="1" t="s">
        <v>50</v>
      </c>
    </row>
    <row r="275">
      <c r="A275" s="2" t="s">
        <v>270</v>
      </c>
      <c r="B275" s="1" t="s">
        <v>271</v>
      </c>
      <c r="C275" s="2" t="s">
        <v>118</v>
      </c>
      <c r="D275" s="1" t="s">
        <v>119</v>
      </c>
    </row>
    <row r="276">
      <c r="A276" s="2" t="s">
        <v>290</v>
      </c>
      <c r="B276" s="1" t="s">
        <v>291</v>
      </c>
      <c r="C276" s="2" t="s">
        <v>22</v>
      </c>
      <c r="D276" s="1" t="s">
        <v>23</v>
      </c>
    </row>
    <row r="277">
      <c r="A277" s="2" t="s">
        <v>290</v>
      </c>
      <c r="B277" s="1" t="s">
        <v>291</v>
      </c>
      <c r="C277" s="2" t="s">
        <v>118</v>
      </c>
      <c r="D277" s="1" t="s">
        <v>119</v>
      </c>
    </row>
    <row r="278">
      <c r="A278" s="2" t="s">
        <v>278</v>
      </c>
      <c r="B278" s="1" t="s">
        <v>279</v>
      </c>
      <c r="C278" s="2" t="s">
        <v>252</v>
      </c>
      <c r="D278" s="1" t="s">
        <v>253</v>
      </c>
    </row>
    <row r="279">
      <c r="A279" s="2" t="s">
        <v>294</v>
      </c>
      <c r="B279" s="1" t="s">
        <v>295</v>
      </c>
      <c r="C279" s="2" t="s">
        <v>22</v>
      </c>
      <c r="D279" s="1" t="s">
        <v>23</v>
      </c>
    </row>
    <row r="280">
      <c r="A280" s="2" t="s">
        <v>272</v>
      </c>
      <c r="B280" s="1" t="s">
        <v>273</v>
      </c>
      <c r="C280" s="2" t="s">
        <v>341</v>
      </c>
      <c r="D280" s="1" t="s">
        <v>342</v>
      </c>
    </row>
    <row r="281">
      <c r="A281" s="2" t="s">
        <v>343</v>
      </c>
      <c r="B281" s="1" t="s">
        <v>344</v>
      </c>
      <c r="C281" s="2" t="s">
        <v>77</v>
      </c>
      <c r="D281" s="1" t="s">
        <v>78</v>
      </c>
    </row>
    <row r="282">
      <c r="A282" s="2" t="s">
        <v>272</v>
      </c>
      <c r="B282" s="1" t="s">
        <v>273</v>
      </c>
      <c r="C282" s="2" t="s">
        <v>345</v>
      </c>
      <c r="D282" s="1" t="s">
        <v>346</v>
      </c>
    </row>
    <row r="283">
      <c r="A283" s="2" t="s">
        <v>343</v>
      </c>
      <c r="B283" s="1" t="s">
        <v>344</v>
      </c>
      <c r="C283" s="2" t="s">
        <v>347</v>
      </c>
      <c r="D283" s="1" t="s">
        <v>348</v>
      </c>
    </row>
    <row r="284">
      <c r="A284" s="2" t="s">
        <v>343</v>
      </c>
      <c r="B284" s="1" t="s">
        <v>344</v>
      </c>
      <c r="C284" s="2" t="s">
        <v>124</v>
      </c>
      <c r="D284" s="1" t="s">
        <v>125</v>
      </c>
    </row>
    <row r="285">
      <c r="A285" s="2" t="s">
        <v>272</v>
      </c>
      <c r="B285" s="1" t="s">
        <v>273</v>
      </c>
      <c r="C285" s="2" t="s">
        <v>349</v>
      </c>
      <c r="D285" s="1" t="s">
        <v>350</v>
      </c>
    </row>
    <row r="286">
      <c r="A286" s="2" t="s">
        <v>272</v>
      </c>
      <c r="B286" s="1" t="s">
        <v>273</v>
      </c>
      <c r="C286" s="2" t="s">
        <v>351</v>
      </c>
      <c r="D286" s="1" t="s">
        <v>352</v>
      </c>
    </row>
    <row r="287">
      <c r="A287" s="2" t="s">
        <v>278</v>
      </c>
      <c r="B287" s="1" t="s">
        <v>279</v>
      </c>
      <c r="C287" s="2" t="s">
        <v>69</v>
      </c>
      <c r="D287" s="1" t="s">
        <v>70</v>
      </c>
    </row>
    <row r="288">
      <c r="A288" s="2" t="s">
        <v>272</v>
      </c>
      <c r="B288" s="1" t="s">
        <v>273</v>
      </c>
      <c r="C288" s="2" t="s">
        <v>353</v>
      </c>
      <c r="D288" s="1" t="s">
        <v>354</v>
      </c>
    </row>
    <row r="289">
      <c r="A289" s="2" t="s">
        <v>272</v>
      </c>
      <c r="B289" s="1" t="s">
        <v>273</v>
      </c>
      <c r="C289" s="2" t="s">
        <v>49</v>
      </c>
      <c r="D289" s="1" t="s">
        <v>50</v>
      </c>
    </row>
    <row r="290">
      <c r="A290" s="2" t="s">
        <v>355</v>
      </c>
      <c r="B290" s="1" t="s">
        <v>356</v>
      </c>
      <c r="C290" s="2" t="s">
        <v>77</v>
      </c>
      <c r="D290" s="1" t="s">
        <v>78</v>
      </c>
    </row>
    <row r="291">
      <c r="A291" s="2" t="s">
        <v>357</v>
      </c>
      <c r="B291" s="1" t="s">
        <v>358</v>
      </c>
      <c r="C291" s="2" t="s">
        <v>49</v>
      </c>
      <c r="D291" s="1" t="s">
        <v>50</v>
      </c>
    </row>
    <row r="292">
      <c r="A292" s="2" t="s">
        <v>343</v>
      </c>
      <c r="B292" s="1" t="s">
        <v>344</v>
      </c>
      <c r="C292" s="2" t="s">
        <v>359</v>
      </c>
      <c r="D292" s="1" t="s">
        <v>360</v>
      </c>
    </row>
    <row r="293">
      <c r="A293" s="2" t="s">
        <v>272</v>
      </c>
      <c r="B293" s="1" t="s">
        <v>273</v>
      </c>
      <c r="C293" s="2" t="s">
        <v>361</v>
      </c>
      <c r="D293" s="1" t="s">
        <v>362</v>
      </c>
    </row>
    <row r="294">
      <c r="A294" s="2" t="s">
        <v>262</v>
      </c>
      <c r="B294" s="1" t="s">
        <v>263</v>
      </c>
      <c r="C294" s="2" t="s">
        <v>77</v>
      </c>
      <c r="D294" s="1" t="s">
        <v>78</v>
      </c>
    </row>
    <row r="295">
      <c r="A295" s="2" t="s">
        <v>262</v>
      </c>
      <c r="B295" s="1" t="s">
        <v>263</v>
      </c>
      <c r="C295" s="2" t="s">
        <v>128</v>
      </c>
      <c r="D295" s="1" t="s">
        <v>129</v>
      </c>
    </row>
    <row r="296">
      <c r="A296" s="2" t="s">
        <v>323</v>
      </c>
      <c r="B296" s="1" t="s">
        <v>324</v>
      </c>
      <c r="C296" s="2" t="s">
        <v>363</v>
      </c>
      <c r="D296" s="1" t="s">
        <v>364</v>
      </c>
      <c r="E296" s="2" t="s">
        <v>325</v>
      </c>
    </row>
    <row r="297">
      <c r="A297" s="2" t="s">
        <v>335</v>
      </c>
      <c r="B297" s="1" t="s">
        <v>336</v>
      </c>
      <c r="C297" s="2" t="s">
        <v>22</v>
      </c>
      <c r="D297" s="1" t="s">
        <v>23</v>
      </c>
    </row>
    <row r="298">
      <c r="A298" s="2" t="s">
        <v>343</v>
      </c>
      <c r="B298" s="1" t="s">
        <v>344</v>
      </c>
      <c r="C298" s="2" t="s">
        <v>296</v>
      </c>
      <c r="D298" s="1" t="s">
        <v>297</v>
      </c>
    </row>
    <row r="299">
      <c r="A299" s="2" t="s">
        <v>365</v>
      </c>
      <c r="B299" s="1" t="s">
        <v>366</v>
      </c>
      <c r="C299" s="2" t="s">
        <v>12</v>
      </c>
      <c r="D299" s="1" t="s">
        <v>13</v>
      </c>
      <c r="E299" s="2" t="s">
        <v>367</v>
      </c>
    </row>
    <row r="300">
      <c r="A300" s="2" t="s">
        <v>368</v>
      </c>
      <c r="B300" s="1" t="s">
        <v>369</v>
      </c>
      <c r="C300" s="2" t="s">
        <v>370</v>
      </c>
      <c r="D300" s="1" t="s">
        <v>371</v>
      </c>
    </row>
    <row r="301">
      <c r="A301" s="2" t="s">
        <v>372</v>
      </c>
      <c r="B301" s="1" t="s">
        <v>373</v>
      </c>
      <c r="C301" s="2" t="s">
        <v>133</v>
      </c>
      <c r="D301" s="1" t="s">
        <v>134</v>
      </c>
      <c r="E301" s="2" t="s">
        <v>374</v>
      </c>
    </row>
    <row r="302">
      <c r="A302" s="2" t="s">
        <v>375</v>
      </c>
      <c r="B302" s="1" t="s">
        <v>376</v>
      </c>
      <c r="C302" s="2" t="s">
        <v>377</v>
      </c>
      <c r="D302" s="1" t="s">
        <v>378</v>
      </c>
      <c r="E302" s="2" t="s">
        <v>379</v>
      </c>
    </row>
    <row r="303">
      <c r="A303" s="2" t="s">
        <v>372</v>
      </c>
      <c r="B303" s="1" t="s">
        <v>373</v>
      </c>
      <c r="C303" s="2" t="s">
        <v>380</v>
      </c>
      <c r="D303" s="1" t="s">
        <v>381</v>
      </c>
      <c r="E303" s="2" t="s">
        <v>374</v>
      </c>
    </row>
    <row r="304">
      <c r="A304" s="2" t="s">
        <v>382</v>
      </c>
      <c r="B304" s="1" t="s">
        <v>383</v>
      </c>
      <c r="C304" s="2" t="s">
        <v>25</v>
      </c>
      <c r="D304" s="1" t="s">
        <v>26</v>
      </c>
      <c r="E304" s="2" t="s">
        <v>384</v>
      </c>
    </row>
    <row r="305">
      <c r="A305" s="2" t="s">
        <v>385</v>
      </c>
      <c r="B305" s="1" t="s">
        <v>386</v>
      </c>
      <c r="C305" s="2" t="s">
        <v>387</v>
      </c>
      <c r="D305" s="1" t="s">
        <v>388</v>
      </c>
      <c r="E305" s="2" t="s">
        <v>389</v>
      </c>
    </row>
    <row r="306">
      <c r="A306" s="2" t="s">
        <v>390</v>
      </c>
      <c r="B306" s="1" t="s">
        <v>391</v>
      </c>
      <c r="C306" s="2" t="s">
        <v>139</v>
      </c>
      <c r="D306" s="1" t="s">
        <v>140</v>
      </c>
      <c r="E306" s="2" t="s">
        <v>392</v>
      </c>
    </row>
    <row r="307">
      <c r="A307" s="2" t="s">
        <v>393</v>
      </c>
      <c r="B307" s="1" t="s">
        <v>394</v>
      </c>
      <c r="C307" s="2" t="s">
        <v>395</v>
      </c>
      <c r="D307" s="1" t="s">
        <v>396</v>
      </c>
      <c r="E307" s="2" t="s">
        <v>397</v>
      </c>
    </row>
    <row r="308">
      <c r="A308" s="2" t="s">
        <v>398</v>
      </c>
      <c r="B308" s="1" t="s">
        <v>399</v>
      </c>
      <c r="C308" s="2" t="s">
        <v>77</v>
      </c>
      <c r="D308" s="1" t="s">
        <v>78</v>
      </c>
    </row>
    <row r="309">
      <c r="A309" s="2" t="s">
        <v>400</v>
      </c>
      <c r="B309" s="1" t="s">
        <v>401</v>
      </c>
      <c r="C309" s="2" t="s">
        <v>84</v>
      </c>
      <c r="D309" s="1" t="s">
        <v>85</v>
      </c>
      <c r="E309" s="2" t="s">
        <v>402</v>
      </c>
    </row>
    <row r="310">
      <c r="A310" s="2" t="s">
        <v>398</v>
      </c>
      <c r="B310" s="1" t="s">
        <v>399</v>
      </c>
      <c r="C310" s="2" t="s">
        <v>124</v>
      </c>
      <c r="D310" s="1" t="s">
        <v>125</v>
      </c>
    </row>
    <row r="311">
      <c r="A311" s="2" t="s">
        <v>372</v>
      </c>
      <c r="B311" s="1" t="s">
        <v>373</v>
      </c>
      <c r="C311" s="2" t="s">
        <v>79</v>
      </c>
      <c r="D311" s="1" t="s">
        <v>80</v>
      </c>
      <c r="E311" s="2" t="s">
        <v>374</v>
      </c>
    </row>
    <row r="312">
      <c r="A312" s="2" t="s">
        <v>398</v>
      </c>
      <c r="B312" s="1" t="s">
        <v>399</v>
      </c>
      <c r="C312" s="2" t="s">
        <v>139</v>
      </c>
      <c r="D312" s="1" t="s">
        <v>140</v>
      </c>
    </row>
    <row r="313">
      <c r="A313" s="2" t="s">
        <v>403</v>
      </c>
      <c r="B313" s="1" t="s">
        <v>404</v>
      </c>
      <c r="C313" s="2" t="s">
        <v>12</v>
      </c>
      <c r="D313" s="1" t="s">
        <v>13</v>
      </c>
    </row>
    <row r="314">
      <c r="A314" s="2" t="s">
        <v>403</v>
      </c>
      <c r="B314" s="1" t="s">
        <v>404</v>
      </c>
      <c r="C314" s="2" t="s">
        <v>103</v>
      </c>
      <c r="D314" s="1" t="s">
        <v>104</v>
      </c>
    </row>
    <row r="315">
      <c r="A315" s="2" t="s">
        <v>403</v>
      </c>
      <c r="B315" s="1" t="s">
        <v>404</v>
      </c>
      <c r="C315" s="2" t="s">
        <v>35</v>
      </c>
      <c r="D315" s="1" t="s">
        <v>36</v>
      </c>
    </row>
    <row r="316">
      <c r="A316" s="2" t="s">
        <v>403</v>
      </c>
      <c r="B316" s="1" t="s">
        <v>404</v>
      </c>
      <c r="C316" s="2" t="s">
        <v>405</v>
      </c>
      <c r="D316" s="1" t="s">
        <v>406</v>
      </c>
    </row>
    <row r="317">
      <c r="A317" s="2" t="s">
        <v>403</v>
      </c>
      <c r="B317" s="1" t="s">
        <v>404</v>
      </c>
      <c r="C317" s="2" t="s">
        <v>128</v>
      </c>
      <c r="D317" s="1" t="s">
        <v>129</v>
      </c>
    </row>
    <row r="318">
      <c r="A318" s="2" t="s">
        <v>398</v>
      </c>
      <c r="B318" s="1" t="s">
        <v>399</v>
      </c>
      <c r="C318" s="2" t="s">
        <v>141</v>
      </c>
      <c r="D318" s="1" t="s">
        <v>142</v>
      </c>
    </row>
    <row r="319">
      <c r="A319" s="2" t="s">
        <v>365</v>
      </c>
      <c r="B319" s="1" t="s">
        <v>366</v>
      </c>
      <c r="C319" s="2" t="s">
        <v>407</v>
      </c>
      <c r="D319" s="1" t="s">
        <v>408</v>
      </c>
      <c r="E319" s="2" t="s">
        <v>367</v>
      </c>
    </row>
    <row r="320">
      <c r="A320" s="2" t="s">
        <v>393</v>
      </c>
      <c r="B320" s="1" t="s">
        <v>394</v>
      </c>
      <c r="C320" s="2" t="s">
        <v>12</v>
      </c>
      <c r="D320" s="1" t="s">
        <v>13</v>
      </c>
      <c r="E320" s="2" t="s">
        <v>397</v>
      </c>
    </row>
    <row r="321">
      <c r="A321" s="2" t="s">
        <v>409</v>
      </c>
      <c r="B321" s="1" t="s">
        <v>410</v>
      </c>
      <c r="C321" s="2" t="s">
        <v>41</v>
      </c>
      <c r="D321" s="1" t="s">
        <v>42</v>
      </c>
      <c r="E321" s="2" t="s">
        <v>411</v>
      </c>
    </row>
    <row r="322">
      <c r="A322" s="2" t="s">
        <v>393</v>
      </c>
      <c r="B322" s="1" t="s">
        <v>394</v>
      </c>
      <c r="C322" s="2" t="s">
        <v>103</v>
      </c>
      <c r="D322" s="1" t="s">
        <v>104</v>
      </c>
      <c r="E322" s="2" t="s">
        <v>397</v>
      </c>
    </row>
    <row r="323">
      <c r="A323" s="2" t="s">
        <v>393</v>
      </c>
      <c r="B323" s="1" t="s">
        <v>394</v>
      </c>
      <c r="C323" s="2" t="s">
        <v>77</v>
      </c>
      <c r="D323" s="1" t="s">
        <v>78</v>
      </c>
      <c r="E323" s="2" t="s">
        <v>397</v>
      </c>
    </row>
    <row r="324">
      <c r="A324" s="2" t="s">
        <v>398</v>
      </c>
      <c r="B324" s="1" t="s">
        <v>399</v>
      </c>
      <c r="C324" s="2" t="s">
        <v>225</v>
      </c>
      <c r="D324" s="1" t="s">
        <v>226</v>
      </c>
    </row>
    <row r="325">
      <c r="A325" s="2" t="s">
        <v>409</v>
      </c>
      <c r="B325" s="1" t="s">
        <v>410</v>
      </c>
      <c r="C325" s="2" t="s">
        <v>84</v>
      </c>
      <c r="D325" s="1" t="s">
        <v>85</v>
      </c>
      <c r="E325" s="2" t="s">
        <v>411</v>
      </c>
    </row>
    <row r="326">
      <c r="A326" s="2" t="s">
        <v>403</v>
      </c>
      <c r="B326" s="1" t="s">
        <v>404</v>
      </c>
      <c r="C326" s="2" t="s">
        <v>225</v>
      </c>
      <c r="D326" s="1" t="s">
        <v>226</v>
      </c>
    </row>
    <row r="327">
      <c r="A327" s="2" t="s">
        <v>412</v>
      </c>
      <c r="B327" s="1" t="s">
        <v>413</v>
      </c>
      <c r="C327" s="2" t="s">
        <v>414</v>
      </c>
      <c r="D327" s="1" t="s">
        <v>415</v>
      </c>
    </row>
    <row r="328">
      <c r="A328" s="2" t="s">
        <v>400</v>
      </c>
      <c r="B328" s="1" t="s">
        <v>401</v>
      </c>
      <c r="C328" s="2" t="s">
        <v>126</v>
      </c>
      <c r="D328" s="1" t="s">
        <v>127</v>
      </c>
      <c r="E328" s="2" t="s">
        <v>402</v>
      </c>
    </row>
    <row r="329">
      <c r="A329" s="2" t="s">
        <v>409</v>
      </c>
      <c r="B329" s="1" t="s">
        <v>410</v>
      </c>
      <c r="C329" s="2" t="s">
        <v>49</v>
      </c>
      <c r="D329" s="1" t="s">
        <v>50</v>
      </c>
      <c r="E329" s="2" t="s">
        <v>411</v>
      </c>
    </row>
    <row r="330">
      <c r="A330" s="2" t="s">
        <v>416</v>
      </c>
      <c r="B330" s="1" t="s">
        <v>417</v>
      </c>
      <c r="C330" s="2" t="s">
        <v>41</v>
      </c>
      <c r="D330" s="1" t="s">
        <v>42</v>
      </c>
      <c r="E330" s="2" t="s">
        <v>418</v>
      </c>
    </row>
    <row r="331">
      <c r="A331" s="2" t="s">
        <v>372</v>
      </c>
      <c r="B331" s="1" t="s">
        <v>373</v>
      </c>
      <c r="C331" s="2" t="s">
        <v>370</v>
      </c>
      <c r="D331" s="1" t="s">
        <v>371</v>
      </c>
      <c r="E331" s="2" t="s">
        <v>374</v>
      </c>
    </row>
    <row r="332">
      <c r="A332" s="2" t="s">
        <v>375</v>
      </c>
      <c r="B332" s="1" t="s">
        <v>376</v>
      </c>
      <c r="C332" s="2" t="s">
        <v>49</v>
      </c>
      <c r="D332" s="1" t="s">
        <v>50</v>
      </c>
      <c r="E332" s="2" t="s">
        <v>379</v>
      </c>
    </row>
    <row r="333">
      <c r="A333" s="2" t="s">
        <v>416</v>
      </c>
      <c r="B333" s="1" t="s">
        <v>417</v>
      </c>
      <c r="C333" s="2" t="s">
        <v>12</v>
      </c>
      <c r="D333" s="1" t="s">
        <v>13</v>
      </c>
      <c r="E333" s="2" t="s">
        <v>418</v>
      </c>
    </row>
    <row r="334">
      <c r="A334" s="2" t="s">
        <v>390</v>
      </c>
      <c r="B334" s="1" t="s">
        <v>391</v>
      </c>
      <c r="C334" s="2" t="s">
        <v>377</v>
      </c>
      <c r="D334" s="1" t="s">
        <v>378</v>
      </c>
      <c r="E334" s="2" t="s">
        <v>392</v>
      </c>
    </row>
    <row r="335">
      <c r="A335" s="2" t="s">
        <v>419</v>
      </c>
      <c r="B335" s="1" t="s">
        <v>420</v>
      </c>
      <c r="C335" s="2" t="s">
        <v>12</v>
      </c>
      <c r="D335" s="1" t="s">
        <v>13</v>
      </c>
    </row>
    <row r="336">
      <c r="A336" s="2" t="s">
        <v>419</v>
      </c>
      <c r="B336" s="1" t="s">
        <v>420</v>
      </c>
      <c r="C336" s="2" t="s">
        <v>77</v>
      </c>
      <c r="D336" s="1" t="s">
        <v>78</v>
      </c>
    </row>
    <row r="337">
      <c r="A337" s="2" t="s">
        <v>419</v>
      </c>
      <c r="B337" s="1" t="s">
        <v>420</v>
      </c>
      <c r="C337" s="2" t="s">
        <v>180</v>
      </c>
      <c r="D337" s="1" t="s">
        <v>181</v>
      </c>
    </row>
    <row r="338">
      <c r="A338" s="2" t="s">
        <v>375</v>
      </c>
      <c r="B338" s="1" t="s">
        <v>376</v>
      </c>
      <c r="C338" s="2" t="s">
        <v>99</v>
      </c>
      <c r="D338" s="1" t="s">
        <v>100</v>
      </c>
      <c r="E338" s="2" t="s">
        <v>379</v>
      </c>
    </row>
    <row r="339">
      <c r="A339" s="2" t="s">
        <v>416</v>
      </c>
      <c r="B339" s="1" t="s">
        <v>417</v>
      </c>
      <c r="C339" s="2" t="s">
        <v>49</v>
      </c>
      <c r="D339" s="1" t="s">
        <v>50</v>
      </c>
      <c r="E339" s="2" t="s">
        <v>418</v>
      </c>
    </row>
    <row r="340">
      <c r="A340" s="2" t="s">
        <v>375</v>
      </c>
      <c r="B340" s="1" t="s">
        <v>376</v>
      </c>
      <c r="C340" s="2" t="s">
        <v>254</v>
      </c>
      <c r="D340" s="1" t="s">
        <v>255</v>
      </c>
      <c r="E340" s="2" t="s">
        <v>379</v>
      </c>
    </row>
    <row r="341">
      <c r="A341" s="2" t="s">
        <v>375</v>
      </c>
      <c r="B341" s="1" t="s">
        <v>376</v>
      </c>
      <c r="C341" s="2" t="s">
        <v>421</v>
      </c>
      <c r="D341" s="1" t="s">
        <v>422</v>
      </c>
      <c r="E341" s="2" t="s">
        <v>379</v>
      </c>
    </row>
    <row r="342">
      <c r="A342" s="2" t="s">
        <v>400</v>
      </c>
      <c r="B342" s="1" t="s">
        <v>401</v>
      </c>
      <c r="C342" s="2" t="s">
        <v>25</v>
      </c>
      <c r="D342" s="1" t="s">
        <v>26</v>
      </c>
      <c r="E342" s="2" t="s">
        <v>402</v>
      </c>
    </row>
    <row r="343">
      <c r="A343" s="2" t="s">
        <v>385</v>
      </c>
      <c r="B343" s="1" t="s">
        <v>386</v>
      </c>
      <c r="C343" s="2" t="s">
        <v>56</v>
      </c>
      <c r="D343" s="1" t="s">
        <v>57</v>
      </c>
      <c r="E343" s="2" t="s">
        <v>389</v>
      </c>
    </row>
    <row r="344">
      <c r="A344" s="2" t="s">
        <v>409</v>
      </c>
      <c r="B344" s="1" t="s">
        <v>410</v>
      </c>
      <c r="C344" s="2" t="s">
        <v>133</v>
      </c>
      <c r="D344" s="1" t="s">
        <v>134</v>
      </c>
      <c r="E344" s="2" t="s">
        <v>411</v>
      </c>
    </row>
    <row r="345">
      <c r="A345" s="2" t="s">
        <v>423</v>
      </c>
      <c r="B345" s="1" t="s">
        <v>424</v>
      </c>
      <c r="C345" s="2" t="s">
        <v>56</v>
      </c>
      <c r="D345" s="1" t="s">
        <v>57</v>
      </c>
      <c r="E345" s="2" t="s">
        <v>425</v>
      </c>
    </row>
    <row r="346">
      <c r="A346" s="2" t="s">
        <v>375</v>
      </c>
      <c r="B346" s="1" t="s">
        <v>376</v>
      </c>
      <c r="C346" s="2" t="s">
        <v>128</v>
      </c>
      <c r="D346" s="1" t="s">
        <v>129</v>
      </c>
      <c r="E346" s="2" t="s">
        <v>379</v>
      </c>
    </row>
    <row r="347">
      <c r="A347" s="2" t="s">
        <v>426</v>
      </c>
      <c r="B347" s="1" t="s">
        <v>427</v>
      </c>
      <c r="C347" s="2" t="s">
        <v>12</v>
      </c>
      <c r="D347" s="1" t="s">
        <v>13</v>
      </c>
    </row>
    <row r="348">
      <c r="A348" s="2" t="s">
        <v>426</v>
      </c>
      <c r="B348" s="1" t="s">
        <v>427</v>
      </c>
      <c r="C348" s="2" t="s">
        <v>405</v>
      </c>
      <c r="D348" s="1" t="s">
        <v>406</v>
      </c>
    </row>
    <row r="349">
      <c r="A349" s="2" t="s">
        <v>426</v>
      </c>
      <c r="B349" s="1" t="s">
        <v>427</v>
      </c>
      <c r="C349" s="2" t="s">
        <v>128</v>
      </c>
      <c r="D349" s="1" t="s">
        <v>129</v>
      </c>
    </row>
    <row r="350">
      <c r="A350" s="2" t="s">
        <v>428</v>
      </c>
      <c r="B350" s="1" t="s">
        <v>429</v>
      </c>
      <c r="C350" s="2" t="s">
        <v>12</v>
      </c>
      <c r="D350" s="1" t="s">
        <v>13</v>
      </c>
      <c r="E350" s="2" t="s">
        <v>430</v>
      </c>
    </row>
    <row r="351">
      <c r="A351" s="2" t="s">
        <v>409</v>
      </c>
      <c r="B351" s="1" t="s">
        <v>410</v>
      </c>
      <c r="C351" s="2" t="s">
        <v>43</v>
      </c>
      <c r="D351" s="1" t="s">
        <v>44</v>
      </c>
      <c r="E351" s="2" t="s">
        <v>411</v>
      </c>
    </row>
    <row r="352">
      <c r="A352" s="2" t="s">
        <v>426</v>
      </c>
      <c r="B352" s="1" t="s">
        <v>427</v>
      </c>
      <c r="C352" s="2" t="s">
        <v>139</v>
      </c>
      <c r="D352" s="1" t="s">
        <v>140</v>
      </c>
    </row>
    <row r="353">
      <c r="A353" s="2" t="s">
        <v>385</v>
      </c>
      <c r="B353" s="1" t="s">
        <v>386</v>
      </c>
      <c r="C353" s="2" t="s">
        <v>431</v>
      </c>
      <c r="D353" s="1" t="s">
        <v>432</v>
      </c>
      <c r="E353" s="2" t="s">
        <v>389</v>
      </c>
    </row>
    <row r="354">
      <c r="A354" s="2" t="s">
        <v>368</v>
      </c>
      <c r="B354" s="1" t="s">
        <v>369</v>
      </c>
      <c r="C354" s="2" t="s">
        <v>41</v>
      </c>
      <c r="D354" s="1" t="s">
        <v>42</v>
      </c>
    </row>
    <row r="355">
      <c r="A355" s="2" t="s">
        <v>368</v>
      </c>
      <c r="B355" s="1" t="s">
        <v>369</v>
      </c>
      <c r="C355" s="2" t="s">
        <v>43</v>
      </c>
      <c r="D355" s="1" t="s">
        <v>44</v>
      </c>
    </row>
    <row r="356">
      <c r="A356" s="2" t="s">
        <v>385</v>
      </c>
      <c r="B356" s="1" t="s">
        <v>386</v>
      </c>
      <c r="C356" s="2" t="s">
        <v>216</v>
      </c>
      <c r="D356" s="1" t="s">
        <v>217</v>
      </c>
      <c r="E356" s="2" t="s">
        <v>389</v>
      </c>
    </row>
    <row r="357">
      <c r="A357" s="2" t="s">
        <v>409</v>
      </c>
      <c r="B357" s="1" t="s">
        <v>410</v>
      </c>
      <c r="C357" s="2" t="s">
        <v>22</v>
      </c>
      <c r="D357" s="1" t="s">
        <v>23</v>
      </c>
      <c r="E357" s="2" t="s">
        <v>411</v>
      </c>
    </row>
    <row r="358">
      <c r="A358" s="2" t="s">
        <v>409</v>
      </c>
      <c r="B358" s="1" t="s">
        <v>410</v>
      </c>
      <c r="C358" s="2" t="s">
        <v>25</v>
      </c>
      <c r="D358" s="1" t="s">
        <v>26</v>
      </c>
      <c r="E358" s="2" t="s">
        <v>411</v>
      </c>
    </row>
    <row r="359">
      <c r="A359" s="2" t="s">
        <v>375</v>
      </c>
      <c r="B359" s="1" t="s">
        <v>376</v>
      </c>
      <c r="C359" s="2" t="s">
        <v>22</v>
      </c>
      <c r="D359" s="1" t="s">
        <v>23</v>
      </c>
      <c r="E359" s="2" t="s">
        <v>379</v>
      </c>
    </row>
    <row r="360">
      <c r="A360" s="2" t="s">
        <v>416</v>
      </c>
      <c r="B360" s="1" t="s">
        <v>417</v>
      </c>
      <c r="C360" s="2" t="s">
        <v>133</v>
      </c>
      <c r="D360" s="1" t="s">
        <v>134</v>
      </c>
      <c r="E360" s="2" t="s">
        <v>418</v>
      </c>
    </row>
    <row r="361">
      <c r="A361" s="2" t="s">
        <v>368</v>
      </c>
      <c r="B361" s="1" t="s">
        <v>369</v>
      </c>
      <c r="C361" s="2" t="s">
        <v>49</v>
      </c>
      <c r="D361" s="1" t="s">
        <v>50</v>
      </c>
    </row>
    <row r="362">
      <c r="A362" s="2" t="s">
        <v>416</v>
      </c>
      <c r="B362" s="1" t="s">
        <v>417</v>
      </c>
      <c r="C362" s="2" t="s">
        <v>225</v>
      </c>
      <c r="D362" s="1" t="s">
        <v>226</v>
      </c>
      <c r="E362" s="2" t="s">
        <v>418</v>
      </c>
    </row>
    <row r="363">
      <c r="A363" s="2" t="s">
        <v>385</v>
      </c>
      <c r="B363" s="1" t="s">
        <v>386</v>
      </c>
      <c r="C363" s="2" t="s">
        <v>133</v>
      </c>
      <c r="D363" s="1" t="s">
        <v>134</v>
      </c>
      <c r="E363" s="2" t="s">
        <v>389</v>
      </c>
    </row>
    <row r="364">
      <c r="A364" s="2" t="s">
        <v>385</v>
      </c>
      <c r="B364" s="1" t="s">
        <v>386</v>
      </c>
      <c r="C364" s="2" t="s">
        <v>43</v>
      </c>
      <c r="D364" s="1" t="s">
        <v>44</v>
      </c>
      <c r="E364" s="2" t="s">
        <v>389</v>
      </c>
    </row>
    <row r="365">
      <c r="A365" s="2" t="s">
        <v>423</v>
      </c>
      <c r="B365" s="1" t="s">
        <v>424</v>
      </c>
      <c r="C365" s="2" t="s">
        <v>43</v>
      </c>
      <c r="D365" s="1" t="s">
        <v>44</v>
      </c>
      <c r="E365" s="2" t="s">
        <v>425</v>
      </c>
    </row>
    <row r="366">
      <c r="A366" s="2" t="s">
        <v>416</v>
      </c>
      <c r="B366" s="1" t="s">
        <v>417</v>
      </c>
      <c r="C366" s="2" t="s">
        <v>433</v>
      </c>
      <c r="D366" s="1" t="s">
        <v>434</v>
      </c>
      <c r="E366" s="2" t="s">
        <v>418</v>
      </c>
    </row>
    <row r="367">
      <c r="A367" s="2" t="s">
        <v>416</v>
      </c>
      <c r="B367" s="1" t="s">
        <v>417</v>
      </c>
      <c r="C367" s="2" t="s">
        <v>22</v>
      </c>
      <c r="D367" s="1" t="s">
        <v>23</v>
      </c>
      <c r="E367" s="2" t="s">
        <v>418</v>
      </c>
    </row>
    <row r="368">
      <c r="A368" s="2" t="s">
        <v>382</v>
      </c>
      <c r="B368" s="1" t="s">
        <v>383</v>
      </c>
      <c r="C368" s="2" t="s">
        <v>435</v>
      </c>
      <c r="D368" s="1" t="s">
        <v>436</v>
      </c>
      <c r="E368" s="2" t="s">
        <v>384</v>
      </c>
    </row>
    <row r="369">
      <c r="A369" s="2" t="s">
        <v>437</v>
      </c>
      <c r="B369" s="1" t="s">
        <v>438</v>
      </c>
      <c r="C369" s="2" t="s">
        <v>77</v>
      </c>
      <c r="D369" s="1" t="s">
        <v>78</v>
      </c>
    </row>
    <row r="370">
      <c r="A370" s="2" t="s">
        <v>437</v>
      </c>
      <c r="B370" s="1" t="s">
        <v>438</v>
      </c>
      <c r="C370" s="2" t="s">
        <v>133</v>
      </c>
      <c r="D370" s="1" t="s">
        <v>134</v>
      </c>
    </row>
    <row r="371">
      <c r="A371" s="2" t="s">
        <v>437</v>
      </c>
      <c r="B371" s="1" t="s">
        <v>438</v>
      </c>
      <c r="C371" s="2" t="s">
        <v>43</v>
      </c>
      <c r="D371" s="1" t="s">
        <v>44</v>
      </c>
    </row>
    <row r="372">
      <c r="A372" s="2" t="s">
        <v>428</v>
      </c>
      <c r="B372" s="1" t="s">
        <v>429</v>
      </c>
      <c r="C372" s="2" t="s">
        <v>439</v>
      </c>
      <c r="D372" s="1" t="s">
        <v>440</v>
      </c>
      <c r="E372" s="2" t="s">
        <v>430</v>
      </c>
    </row>
    <row r="373">
      <c r="A373" s="2" t="s">
        <v>382</v>
      </c>
      <c r="B373" s="1" t="s">
        <v>383</v>
      </c>
      <c r="C373" s="2" t="s">
        <v>116</v>
      </c>
      <c r="D373" s="1" t="s">
        <v>117</v>
      </c>
      <c r="E373" s="2" t="s">
        <v>384</v>
      </c>
    </row>
    <row r="374">
      <c r="A374" s="2" t="s">
        <v>437</v>
      </c>
      <c r="B374" s="1" t="s">
        <v>438</v>
      </c>
      <c r="C374" s="2" t="s">
        <v>49</v>
      </c>
      <c r="D374" s="1" t="s">
        <v>50</v>
      </c>
    </row>
    <row r="375">
      <c r="A375" s="2" t="s">
        <v>390</v>
      </c>
      <c r="B375" s="1" t="s">
        <v>391</v>
      </c>
      <c r="C375" s="2" t="s">
        <v>99</v>
      </c>
      <c r="D375" s="1" t="s">
        <v>100</v>
      </c>
      <c r="E375" s="2" t="s">
        <v>392</v>
      </c>
    </row>
    <row r="376">
      <c r="A376" s="2" t="s">
        <v>368</v>
      </c>
      <c r="B376" s="1" t="s">
        <v>369</v>
      </c>
      <c r="C376" s="2" t="s">
        <v>69</v>
      </c>
      <c r="D376" s="1" t="s">
        <v>70</v>
      </c>
    </row>
    <row r="377">
      <c r="A377" s="2" t="s">
        <v>375</v>
      </c>
      <c r="B377" s="1" t="s">
        <v>376</v>
      </c>
      <c r="C377" s="2" t="s">
        <v>180</v>
      </c>
      <c r="D377" s="1" t="s">
        <v>181</v>
      </c>
      <c r="E377" s="2" t="s">
        <v>379</v>
      </c>
    </row>
    <row r="378">
      <c r="A378" s="2" t="s">
        <v>403</v>
      </c>
      <c r="B378" s="1" t="s">
        <v>404</v>
      </c>
      <c r="C378" s="2" t="s">
        <v>22</v>
      </c>
      <c r="D378" s="1" t="s">
        <v>23</v>
      </c>
    </row>
    <row r="379">
      <c r="A379" s="2" t="s">
        <v>403</v>
      </c>
      <c r="B379" s="1" t="s">
        <v>404</v>
      </c>
      <c r="C379" s="2" t="s">
        <v>25</v>
      </c>
      <c r="D379" s="1" t="s">
        <v>26</v>
      </c>
    </row>
    <row r="380">
      <c r="A380" s="2" t="s">
        <v>393</v>
      </c>
      <c r="B380" s="1" t="s">
        <v>394</v>
      </c>
      <c r="C380" s="2" t="s">
        <v>302</v>
      </c>
      <c r="D380" s="1" t="s">
        <v>303</v>
      </c>
      <c r="E380" s="2" t="s">
        <v>397</v>
      </c>
    </row>
    <row r="381">
      <c r="A381" s="2" t="s">
        <v>437</v>
      </c>
      <c r="B381" s="1" t="s">
        <v>438</v>
      </c>
      <c r="C381" s="2" t="s">
        <v>223</v>
      </c>
      <c r="D381" s="1" t="s">
        <v>224</v>
      </c>
    </row>
    <row r="382">
      <c r="A382" s="2" t="s">
        <v>390</v>
      </c>
      <c r="B382" s="1" t="s">
        <v>391</v>
      </c>
      <c r="C382" s="2" t="s">
        <v>22</v>
      </c>
      <c r="D382" s="1" t="s">
        <v>23</v>
      </c>
      <c r="E382" s="2" t="s">
        <v>392</v>
      </c>
    </row>
    <row r="383">
      <c r="A383" s="2" t="s">
        <v>390</v>
      </c>
      <c r="B383" s="1" t="s">
        <v>391</v>
      </c>
      <c r="C383" s="2" t="s">
        <v>25</v>
      </c>
      <c r="D383" s="1" t="s">
        <v>26</v>
      </c>
      <c r="E383" s="2" t="s">
        <v>392</v>
      </c>
    </row>
    <row r="384">
      <c r="A384" s="2" t="s">
        <v>419</v>
      </c>
      <c r="B384" s="1" t="s">
        <v>420</v>
      </c>
      <c r="C384" s="2" t="s">
        <v>114</v>
      </c>
      <c r="D384" s="1" t="s">
        <v>115</v>
      </c>
    </row>
    <row r="385">
      <c r="A385" s="2" t="s">
        <v>428</v>
      </c>
      <c r="B385" s="1" t="s">
        <v>429</v>
      </c>
      <c r="C385" s="2" t="s">
        <v>441</v>
      </c>
      <c r="D385" s="1" t="s">
        <v>442</v>
      </c>
      <c r="E385" s="2" t="s">
        <v>430</v>
      </c>
    </row>
    <row r="386">
      <c r="A386" s="2" t="s">
        <v>390</v>
      </c>
      <c r="B386" s="1" t="s">
        <v>391</v>
      </c>
      <c r="C386" s="2" t="s">
        <v>79</v>
      </c>
      <c r="D386" s="1" t="s">
        <v>80</v>
      </c>
      <c r="E386" s="2" t="s">
        <v>392</v>
      </c>
    </row>
    <row r="387">
      <c r="A387" s="2" t="s">
        <v>416</v>
      </c>
      <c r="B387" s="1" t="s">
        <v>417</v>
      </c>
      <c r="C387" s="2" t="s">
        <v>118</v>
      </c>
      <c r="D387" s="1" t="s">
        <v>119</v>
      </c>
      <c r="E387" s="2" t="s">
        <v>418</v>
      </c>
    </row>
    <row r="388">
      <c r="A388" s="2" t="s">
        <v>400</v>
      </c>
      <c r="B388" s="1" t="s">
        <v>401</v>
      </c>
      <c r="C388" s="2" t="s">
        <v>116</v>
      </c>
      <c r="D388" s="1" t="s">
        <v>117</v>
      </c>
      <c r="E388" s="2" t="s">
        <v>402</v>
      </c>
    </row>
    <row r="389">
      <c r="A389" s="2" t="s">
        <v>428</v>
      </c>
      <c r="B389" s="1" t="s">
        <v>429</v>
      </c>
      <c r="C389" s="2" t="s">
        <v>443</v>
      </c>
      <c r="D389" s="1" t="s">
        <v>444</v>
      </c>
      <c r="E389" s="2" t="s">
        <v>430</v>
      </c>
    </row>
    <row r="390">
      <c r="A390" s="2" t="s">
        <v>426</v>
      </c>
      <c r="B390" s="1" t="s">
        <v>427</v>
      </c>
      <c r="C390" s="2" t="s">
        <v>22</v>
      </c>
      <c r="D390" s="1" t="s">
        <v>23</v>
      </c>
    </row>
    <row r="391">
      <c r="A391" s="2" t="s">
        <v>390</v>
      </c>
      <c r="B391" s="1" t="s">
        <v>391</v>
      </c>
      <c r="C391" s="2" t="s">
        <v>180</v>
      </c>
      <c r="D391" s="1" t="s">
        <v>181</v>
      </c>
      <c r="E391" s="2" t="s">
        <v>392</v>
      </c>
    </row>
    <row r="392">
      <c r="A392" s="2" t="s">
        <v>445</v>
      </c>
      <c r="B392" s="1" t="s">
        <v>446</v>
      </c>
      <c r="C392" s="2" t="s">
        <v>41</v>
      </c>
      <c r="D392" s="1" t="s">
        <v>42</v>
      </c>
    </row>
    <row r="393">
      <c r="A393" s="2" t="s">
        <v>445</v>
      </c>
      <c r="B393" s="1" t="s">
        <v>446</v>
      </c>
      <c r="C393" s="2" t="s">
        <v>84</v>
      </c>
      <c r="D393" s="1" t="s">
        <v>85</v>
      </c>
    </row>
    <row r="394">
      <c r="A394" s="2" t="s">
        <v>447</v>
      </c>
      <c r="B394" s="1" t="s">
        <v>448</v>
      </c>
      <c r="C394" s="2" t="s">
        <v>449</v>
      </c>
      <c r="D394" s="1" t="s">
        <v>450</v>
      </c>
    </row>
    <row r="395">
      <c r="A395" s="2" t="s">
        <v>447</v>
      </c>
      <c r="B395" s="1" t="s">
        <v>448</v>
      </c>
      <c r="C395" s="2" t="s">
        <v>35</v>
      </c>
      <c r="D395" s="1" t="s">
        <v>36</v>
      </c>
    </row>
    <row r="396">
      <c r="A396" s="2" t="s">
        <v>445</v>
      </c>
      <c r="B396" s="1" t="s">
        <v>446</v>
      </c>
      <c r="C396" s="2" t="s">
        <v>216</v>
      </c>
      <c r="D396" s="1" t="s">
        <v>217</v>
      </c>
    </row>
    <row r="397">
      <c r="A397" s="2" t="s">
        <v>451</v>
      </c>
      <c r="B397" s="1" t="s">
        <v>452</v>
      </c>
      <c r="C397" s="2" t="s">
        <v>77</v>
      </c>
      <c r="D397" s="1" t="s">
        <v>78</v>
      </c>
      <c r="E397" s="2" t="s">
        <v>453</v>
      </c>
    </row>
    <row r="398">
      <c r="A398" s="2" t="s">
        <v>445</v>
      </c>
      <c r="B398" s="1" t="s">
        <v>446</v>
      </c>
      <c r="C398" s="2" t="s">
        <v>43</v>
      </c>
      <c r="D398" s="1" t="s">
        <v>44</v>
      </c>
    </row>
    <row r="399">
      <c r="A399" s="2" t="s">
        <v>454</v>
      </c>
      <c r="B399" s="1" t="s">
        <v>455</v>
      </c>
      <c r="C399" s="2" t="s">
        <v>41</v>
      </c>
      <c r="D399" s="1" t="s">
        <v>42</v>
      </c>
    </row>
    <row r="400">
      <c r="A400" s="2" t="s">
        <v>456</v>
      </c>
      <c r="B400" s="1" t="s">
        <v>457</v>
      </c>
      <c r="C400" s="2" t="s">
        <v>128</v>
      </c>
      <c r="D400" s="1" t="s">
        <v>129</v>
      </c>
    </row>
    <row r="401">
      <c r="A401" s="2" t="s">
        <v>454</v>
      </c>
      <c r="B401" s="1" t="s">
        <v>455</v>
      </c>
      <c r="C401" s="2" t="s">
        <v>84</v>
      </c>
      <c r="D401" s="1" t="s">
        <v>85</v>
      </c>
    </row>
    <row r="402">
      <c r="A402" s="2" t="s">
        <v>454</v>
      </c>
      <c r="B402" s="1" t="s">
        <v>455</v>
      </c>
      <c r="C402" s="2" t="s">
        <v>43</v>
      </c>
      <c r="D402" s="1" t="s">
        <v>44</v>
      </c>
    </row>
    <row r="403">
      <c r="A403" s="2" t="s">
        <v>458</v>
      </c>
      <c r="B403" s="1" t="s">
        <v>459</v>
      </c>
      <c r="C403" s="2" t="s">
        <v>41</v>
      </c>
      <c r="D403" s="1" t="s">
        <v>42</v>
      </c>
    </row>
    <row r="404">
      <c r="A404" s="2" t="s">
        <v>460</v>
      </c>
      <c r="B404" s="1" t="s">
        <v>461</v>
      </c>
      <c r="C404" s="2" t="s">
        <v>462</v>
      </c>
      <c r="D404" s="1" t="s">
        <v>463</v>
      </c>
    </row>
    <row r="405">
      <c r="A405" s="2" t="s">
        <v>464</v>
      </c>
      <c r="B405" s="1" t="s">
        <v>465</v>
      </c>
      <c r="C405" s="2" t="s">
        <v>53</v>
      </c>
      <c r="D405" s="1" t="s">
        <v>54</v>
      </c>
    </row>
    <row r="406">
      <c r="A406" s="2" t="s">
        <v>454</v>
      </c>
      <c r="B406" s="1" t="s">
        <v>455</v>
      </c>
      <c r="C406" s="2" t="s">
        <v>49</v>
      </c>
      <c r="D406" s="1" t="s">
        <v>50</v>
      </c>
    </row>
    <row r="407">
      <c r="A407" s="2" t="s">
        <v>466</v>
      </c>
      <c r="B407" s="1" t="s">
        <v>467</v>
      </c>
      <c r="C407" s="2" t="s">
        <v>202</v>
      </c>
      <c r="D407" s="1" t="s">
        <v>203</v>
      </c>
    </row>
    <row r="408">
      <c r="A408" s="2" t="s">
        <v>460</v>
      </c>
      <c r="B408" s="1" t="s">
        <v>461</v>
      </c>
      <c r="C408" s="2" t="s">
        <v>162</v>
      </c>
      <c r="D408" s="1" t="s">
        <v>163</v>
      </c>
    </row>
    <row r="409">
      <c r="A409" s="2" t="s">
        <v>460</v>
      </c>
      <c r="B409" s="1" t="s">
        <v>461</v>
      </c>
      <c r="C409" s="2" t="s">
        <v>216</v>
      </c>
      <c r="D409" s="1" t="s">
        <v>217</v>
      </c>
    </row>
    <row r="410">
      <c r="A410" s="2" t="s">
        <v>468</v>
      </c>
      <c r="B410" s="1" t="s">
        <v>469</v>
      </c>
      <c r="C410" s="2" t="s">
        <v>470</v>
      </c>
      <c r="D410" s="1" t="s">
        <v>471</v>
      </c>
    </row>
    <row r="411">
      <c r="A411" s="2" t="s">
        <v>468</v>
      </c>
      <c r="B411" s="1" t="s">
        <v>469</v>
      </c>
      <c r="C411" s="2" t="s">
        <v>43</v>
      </c>
      <c r="D411" s="1" t="s">
        <v>44</v>
      </c>
    </row>
    <row r="412">
      <c r="A412" s="2" t="s">
        <v>460</v>
      </c>
      <c r="B412" s="1" t="s">
        <v>461</v>
      </c>
      <c r="C412" s="2" t="s">
        <v>49</v>
      </c>
      <c r="D412" s="1" t="s">
        <v>50</v>
      </c>
    </row>
    <row r="413">
      <c r="A413" s="2" t="s">
        <v>472</v>
      </c>
      <c r="B413" s="1" t="s">
        <v>473</v>
      </c>
      <c r="C413" s="2" t="s">
        <v>22</v>
      </c>
      <c r="D413" s="1" t="s">
        <v>23</v>
      </c>
    </row>
    <row r="414">
      <c r="A414" s="2" t="s">
        <v>472</v>
      </c>
      <c r="B414" s="1" t="s">
        <v>473</v>
      </c>
      <c r="C414" s="2" t="s">
        <v>25</v>
      </c>
      <c r="D414" s="1" t="s">
        <v>26</v>
      </c>
    </row>
    <row r="415">
      <c r="A415" s="2" t="s">
        <v>454</v>
      </c>
      <c r="B415" s="1" t="s">
        <v>455</v>
      </c>
      <c r="C415" s="2" t="s">
        <v>92</v>
      </c>
      <c r="D415" s="1" t="s">
        <v>93</v>
      </c>
    </row>
    <row r="416">
      <c r="A416" s="2" t="s">
        <v>474</v>
      </c>
      <c r="B416" s="1" t="s">
        <v>475</v>
      </c>
      <c r="C416" s="2" t="s">
        <v>43</v>
      </c>
      <c r="D416" s="1" t="s">
        <v>44</v>
      </c>
    </row>
    <row r="417">
      <c r="A417" s="2" t="s">
        <v>464</v>
      </c>
      <c r="B417" s="1" t="s">
        <v>465</v>
      </c>
      <c r="C417" s="2" t="s">
        <v>41</v>
      </c>
      <c r="D417" s="1" t="s">
        <v>42</v>
      </c>
    </row>
    <row r="418">
      <c r="A418" s="2" t="s">
        <v>466</v>
      </c>
      <c r="B418" s="1" t="s">
        <v>467</v>
      </c>
      <c r="C418" s="2" t="s">
        <v>41</v>
      </c>
      <c r="D418" s="1" t="s">
        <v>42</v>
      </c>
    </row>
    <row r="419">
      <c r="A419" s="2" t="s">
        <v>476</v>
      </c>
      <c r="B419" s="1" t="s">
        <v>477</v>
      </c>
      <c r="C419" s="2" t="s">
        <v>288</v>
      </c>
      <c r="D419" s="1" t="s">
        <v>289</v>
      </c>
    </row>
    <row r="420">
      <c r="A420" s="2" t="s">
        <v>478</v>
      </c>
      <c r="B420" s="1" t="s">
        <v>479</v>
      </c>
      <c r="C420" s="2" t="s">
        <v>84</v>
      </c>
      <c r="D420" s="1" t="s">
        <v>85</v>
      </c>
    </row>
    <row r="421">
      <c r="A421" s="2" t="s">
        <v>476</v>
      </c>
      <c r="B421" s="1" t="s">
        <v>477</v>
      </c>
      <c r="C421" s="2" t="s">
        <v>35</v>
      </c>
      <c r="D421" s="1" t="s">
        <v>36</v>
      </c>
    </row>
    <row r="422">
      <c r="A422" s="2" t="s">
        <v>480</v>
      </c>
      <c r="B422" s="1" t="s">
        <v>481</v>
      </c>
      <c r="C422" s="2" t="s">
        <v>22</v>
      </c>
      <c r="D422" s="1" t="s">
        <v>23</v>
      </c>
    </row>
    <row r="423">
      <c r="A423" s="2" t="s">
        <v>468</v>
      </c>
      <c r="B423" s="1" t="s">
        <v>469</v>
      </c>
      <c r="C423" s="2" t="s">
        <v>49</v>
      </c>
      <c r="D423" s="1" t="s">
        <v>50</v>
      </c>
    </row>
    <row r="424">
      <c r="A424" s="2" t="s">
        <v>464</v>
      </c>
      <c r="B424" s="1" t="s">
        <v>465</v>
      </c>
      <c r="C424" s="2" t="s">
        <v>43</v>
      </c>
      <c r="D424" s="1" t="s">
        <v>44</v>
      </c>
    </row>
    <row r="425">
      <c r="A425" s="2" t="s">
        <v>478</v>
      </c>
      <c r="B425" s="1" t="s">
        <v>479</v>
      </c>
      <c r="C425" s="2" t="s">
        <v>133</v>
      </c>
      <c r="D425" s="1" t="s">
        <v>134</v>
      </c>
    </row>
    <row r="426">
      <c r="A426" s="2" t="s">
        <v>478</v>
      </c>
      <c r="B426" s="1" t="s">
        <v>479</v>
      </c>
      <c r="C426" s="2" t="s">
        <v>43</v>
      </c>
      <c r="D426" s="1" t="s">
        <v>44</v>
      </c>
    </row>
    <row r="427">
      <c r="A427" s="2" t="s">
        <v>466</v>
      </c>
      <c r="B427" s="1" t="s">
        <v>467</v>
      </c>
      <c r="C427" s="2" t="s">
        <v>43</v>
      </c>
      <c r="D427" s="1" t="s">
        <v>44</v>
      </c>
    </row>
    <row r="428">
      <c r="A428" s="2" t="s">
        <v>478</v>
      </c>
      <c r="B428" s="1" t="s">
        <v>479</v>
      </c>
      <c r="C428" s="2" t="s">
        <v>79</v>
      </c>
      <c r="D428" s="1" t="s">
        <v>80</v>
      </c>
    </row>
    <row r="429">
      <c r="A429" s="2" t="s">
        <v>458</v>
      </c>
      <c r="B429" s="1" t="s">
        <v>459</v>
      </c>
      <c r="C429" s="2" t="s">
        <v>482</v>
      </c>
      <c r="D429" s="1" t="s">
        <v>483</v>
      </c>
    </row>
    <row r="430">
      <c r="A430" s="2" t="s">
        <v>484</v>
      </c>
      <c r="B430" s="1" t="s">
        <v>485</v>
      </c>
      <c r="C430" s="2" t="s">
        <v>486</v>
      </c>
      <c r="D430" s="1" t="s">
        <v>487</v>
      </c>
    </row>
    <row r="431">
      <c r="A431" s="2" t="s">
        <v>474</v>
      </c>
      <c r="B431" s="1" t="s">
        <v>475</v>
      </c>
      <c r="C431" s="2" t="s">
        <v>49</v>
      </c>
      <c r="D431" s="1" t="s">
        <v>50</v>
      </c>
    </row>
    <row r="432">
      <c r="A432" s="2" t="s">
        <v>445</v>
      </c>
      <c r="B432" s="1" t="s">
        <v>446</v>
      </c>
      <c r="C432" s="2" t="s">
        <v>69</v>
      </c>
      <c r="D432" s="1" t="s">
        <v>70</v>
      </c>
    </row>
    <row r="433">
      <c r="A433" s="2" t="s">
        <v>488</v>
      </c>
      <c r="B433" s="1" t="s">
        <v>489</v>
      </c>
      <c r="C433" s="2" t="s">
        <v>53</v>
      </c>
      <c r="D433" s="1" t="s">
        <v>54</v>
      </c>
    </row>
    <row r="434">
      <c r="A434" s="2" t="s">
        <v>478</v>
      </c>
      <c r="B434" s="1" t="s">
        <v>479</v>
      </c>
      <c r="C434" s="2" t="s">
        <v>49</v>
      </c>
      <c r="D434" s="1" t="s">
        <v>50</v>
      </c>
    </row>
    <row r="435">
      <c r="A435" s="2" t="s">
        <v>458</v>
      </c>
      <c r="B435" s="1" t="s">
        <v>459</v>
      </c>
      <c r="C435" s="2" t="s">
        <v>490</v>
      </c>
      <c r="D435" s="1" t="s">
        <v>491</v>
      </c>
    </row>
    <row r="436">
      <c r="A436" s="2" t="s">
        <v>454</v>
      </c>
      <c r="B436" s="1" t="s">
        <v>455</v>
      </c>
      <c r="C436" s="2" t="s">
        <v>492</v>
      </c>
      <c r="D436" s="1" t="s">
        <v>493</v>
      </c>
    </row>
    <row r="437">
      <c r="A437" s="2" t="s">
        <v>460</v>
      </c>
      <c r="B437" s="1" t="s">
        <v>461</v>
      </c>
      <c r="C437" s="2" t="s">
        <v>494</v>
      </c>
      <c r="D437" s="1" t="s">
        <v>495</v>
      </c>
    </row>
    <row r="438">
      <c r="A438" s="2" t="s">
        <v>476</v>
      </c>
      <c r="B438" s="1" t="s">
        <v>477</v>
      </c>
      <c r="C438" s="2" t="s">
        <v>496</v>
      </c>
      <c r="D438" s="1" t="s">
        <v>497</v>
      </c>
    </row>
    <row r="439">
      <c r="A439" s="2" t="s">
        <v>451</v>
      </c>
      <c r="B439" s="1" t="s">
        <v>452</v>
      </c>
      <c r="C439" s="2" t="s">
        <v>22</v>
      </c>
      <c r="D439" s="1" t="s">
        <v>23</v>
      </c>
      <c r="E439" s="2" t="s">
        <v>453</v>
      </c>
    </row>
    <row r="440">
      <c r="A440" s="2" t="s">
        <v>460</v>
      </c>
      <c r="B440" s="1" t="s">
        <v>461</v>
      </c>
      <c r="C440" s="2" t="s">
        <v>306</v>
      </c>
      <c r="D440" s="1" t="s">
        <v>307</v>
      </c>
    </row>
    <row r="441">
      <c r="A441" s="2" t="s">
        <v>498</v>
      </c>
      <c r="B441" s="1" t="s">
        <v>499</v>
      </c>
      <c r="C441" s="2" t="s">
        <v>41</v>
      </c>
      <c r="D441" s="1" t="s">
        <v>42</v>
      </c>
    </row>
    <row r="442">
      <c r="A442" s="2" t="s">
        <v>498</v>
      </c>
      <c r="B442" s="1" t="s">
        <v>499</v>
      </c>
      <c r="C442" s="2" t="s">
        <v>216</v>
      </c>
      <c r="D442" s="1" t="s">
        <v>217</v>
      </c>
    </row>
    <row r="443">
      <c r="A443" s="2" t="s">
        <v>488</v>
      </c>
      <c r="B443" s="1" t="s">
        <v>489</v>
      </c>
      <c r="C443" s="2" t="s">
        <v>41</v>
      </c>
      <c r="D443" s="1" t="s">
        <v>42</v>
      </c>
    </row>
    <row r="444">
      <c r="A444" s="2" t="s">
        <v>498</v>
      </c>
      <c r="B444" s="1" t="s">
        <v>499</v>
      </c>
      <c r="C444" s="2" t="s">
        <v>43</v>
      </c>
      <c r="D444" s="1" t="s">
        <v>44</v>
      </c>
    </row>
    <row r="445">
      <c r="A445" s="2" t="s">
        <v>488</v>
      </c>
      <c r="B445" s="1" t="s">
        <v>489</v>
      </c>
      <c r="C445" s="2" t="s">
        <v>43</v>
      </c>
      <c r="D445" s="1" t="s">
        <v>44</v>
      </c>
    </row>
    <row r="446">
      <c r="A446" s="2" t="s">
        <v>466</v>
      </c>
      <c r="B446" s="1" t="s">
        <v>467</v>
      </c>
      <c r="C446" s="2" t="s">
        <v>147</v>
      </c>
      <c r="D446" s="1" t="s">
        <v>148</v>
      </c>
    </row>
    <row r="447">
      <c r="A447" s="2" t="s">
        <v>500</v>
      </c>
      <c r="B447" s="1" t="s">
        <v>501</v>
      </c>
      <c r="C447" s="2" t="s">
        <v>41</v>
      </c>
      <c r="D447" s="1" t="s">
        <v>42</v>
      </c>
    </row>
    <row r="448">
      <c r="A448" s="2" t="s">
        <v>500</v>
      </c>
      <c r="B448" s="1" t="s">
        <v>501</v>
      </c>
      <c r="C448" s="2" t="s">
        <v>84</v>
      </c>
      <c r="D448" s="1" t="s">
        <v>85</v>
      </c>
    </row>
    <row r="449">
      <c r="A449" s="2" t="s">
        <v>502</v>
      </c>
      <c r="B449" s="1" t="s">
        <v>503</v>
      </c>
      <c r="C449" s="2" t="s">
        <v>43</v>
      </c>
      <c r="D449" s="1" t="s">
        <v>44</v>
      </c>
    </row>
    <row r="450">
      <c r="A450" s="2" t="s">
        <v>464</v>
      </c>
      <c r="B450" s="1" t="s">
        <v>465</v>
      </c>
      <c r="C450" s="2" t="s">
        <v>69</v>
      </c>
      <c r="D450" s="1" t="s">
        <v>70</v>
      </c>
    </row>
    <row r="451">
      <c r="A451" s="2" t="s">
        <v>466</v>
      </c>
      <c r="B451" s="1" t="s">
        <v>467</v>
      </c>
      <c r="C451" s="2" t="s">
        <v>69</v>
      </c>
      <c r="D451" s="1" t="s">
        <v>70</v>
      </c>
    </row>
    <row r="452">
      <c r="A452" s="2" t="s">
        <v>476</v>
      </c>
      <c r="B452" s="1" t="s">
        <v>477</v>
      </c>
      <c r="C452" s="2" t="s">
        <v>69</v>
      </c>
      <c r="D452" s="1" t="s">
        <v>70</v>
      </c>
    </row>
    <row r="453">
      <c r="A453" s="2" t="s">
        <v>500</v>
      </c>
      <c r="B453" s="1" t="s">
        <v>501</v>
      </c>
      <c r="C453" s="2" t="s">
        <v>49</v>
      </c>
      <c r="D453" s="1" t="s">
        <v>50</v>
      </c>
    </row>
    <row r="454">
      <c r="A454" s="2" t="s">
        <v>478</v>
      </c>
      <c r="B454" s="1" t="s">
        <v>479</v>
      </c>
      <c r="C454" s="2" t="s">
        <v>223</v>
      </c>
      <c r="D454" s="1" t="s">
        <v>224</v>
      </c>
    </row>
    <row r="455">
      <c r="A455" s="2" t="s">
        <v>504</v>
      </c>
      <c r="B455" s="1" t="s">
        <v>505</v>
      </c>
    </row>
    <row r="456">
      <c r="A456" s="2" t="s">
        <v>451</v>
      </c>
      <c r="B456" s="1" t="s">
        <v>452</v>
      </c>
      <c r="C456" s="2" t="s">
        <v>506</v>
      </c>
      <c r="D456" s="1" t="s">
        <v>507</v>
      </c>
      <c r="E456" s="2" t="s">
        <v>453</v>
      </c>
    </row>
    <row r="457">
      <c r="A457" s="2" t="s">
        <v>498</v>
      </c>
      <c r="B457" s="1" t="s">
        <v>499</v>
      </c>
      <c r="C457" s="2" t="s">
        <v>92</v>
      </c>
      <c r="D457" s="1" t="s">
        <v>93</v>
      </c>
    </row>
    <row r="458">
      <c r="A458" s="2" t="s">
        <v>474</v>
      </c>
      <c r="B458" s="1" t="s">
        <v>475</v>
      </c>
      <c r="C458" s="2" t="s">
        <v>221</v>
      </c>
      <c r="D458" s="1" t="s">
        <v>222</v>
      </c>
    </row>
    <row r="459">
      <c r="A459" s="2" t="s">
        <v>476</v>
      </c>
      <c r="B459" s="1" t="s">
        <v>477</v>
      </c>
      <c r="C459" s="2" t="s">
        <v>221</v>
      </c>
      <c r="D459" s="1" t="s">
        <v>222</v>
      </c>
    </row>
    <row r="460">
      <c r="A460" s="2" t="s">
        <v>500</v>
      </c>
      <c r="B460" s="1" t="s">
        <v>501</v>
      </c>
      <c r="C460" s="2" t="s">
        <v>508</v>
      </c>
      <c r="D460" s="1" t="s">
        <v>509</v>
      </c>
    </row>
    <row r="461">
      <c r="A461" s="2" t="s">
        <v>498</v>
      </c>
      <c r="B461" s="1" t="s">
        <v>499</v>
      </c>
      <c r="C461" s="2" t="s">
        <v>69</v>
      </c>
      <c r="D461" s="1" t="s">
        <v>70</v>
      </c>
    </row>
    <row r="462">
      <c r="A462" s="2" t="s">
        <v>488</v>
      </c>
      <c r="B462" s="1" t="s">
        <v>489</v>
      </c>
      <c r="C462" s="2" t="s">
        <v>69</v>
      </c>
      <c r="D462" s="1" t="s">
        <v>70</v>
      </c>
    </row>
    <row r="463">
      <c r="A463" s="2" t="s">
        <v>510</v>
      </c>
      <c r="B463" s="1" t="s">
        <v>511</v>
      </c>
      <c r="C463" s="2" t="s">
        <v>41</v>
      </c>
      <c r="D463" s="1" t="s">
        <v>42</v>
      </c>
    </row>
    <row r="464">
      <c r="A464" s="2" t="s">
        <v>510</v>
      </c>
      <c r="B464" s="1" t="s">
        <v>511</v>
      </c>
      <c r="C464" s="2" t="s">
        <v>133</v>
      </c>
      <c r="D464" s="1" t="s">
        <v>134</v>
      </c>
    </row>
    <row r="465">
      <c r="A465" s="2" t="s">
        <v>510</v>
      </c>
      <c r="B465" s="1" t="s">
        <v>511</v>
      </c>
      <c r="C465" s="2" t="s">
        <v>165</v>
      </c>
      <c r="D465" s="1" t="s">
        <v>166</v>
      </c>
    </row>
    <row r="466">
      <c r="A466" s="2" t="s">
        <v>510</v>
      </c>
      <c r="B466" s="1" t="s">
        <v>511</v>
      </c>
      <c r="C466" s="2" t="s">
        <v>49</v>
      </c>
      <c r="D466" s="1" t="s">
        <v>50</v>
      </c>
    </row>
    <row r="467">
      <c r="A467" s="2" t="s">
        <v>456</v>
      </c>
      <c r="B467" s="1" t="s">
        <v>457</v>
      </c>
      <c r="C467" s="2" t="s">
        <v>114</v>
      </c>
      <c r="D467" s="1" t="s">
        <v>115</v>
      </c>
    </row>
    <row r="468">
      <c r="A468" s="2" t="s">
        <v>456</v>
      </c>
      <c r="B468" s="1" t="s">
        <v>457</v>
      </c>
      <c r="C468" s="2" t="s">
        <v>22</v>
      </c>
      <c r="D468" s="1" t="s">
        <v>23</v>
      </c>
    </row>
    <row r="469">
      <c r="A469" s="2" t="s">
        <v>447</v>
      </c>
      <c r="B469" s="1" t="s">
        <v>448</v>
      </c>
      <c r="C469" s="2" t="s">
        <v>22</v>
      </c>
      <c r="D469" s="1" t="s">
        <v>23</v>
      </c>
    </row>
    <row r="470">
      <c r="A470" s="2" t="s">
        <v>512</v>
      </c>
      <c r="B470" s="1" t="s">
        <v>513</v>
      </c>
      <c r="C470" s="2" t="s">
        <v>114</v>
      </c>
      <c r="D470" s="1" t="s">
        <v>115</v>
      </c>
    </row>
    <row r="471">
      <c r="A471" s="2" t="s">
        <v>514</v>
      </c>
      <c r="B471" s="1" t="s">
        <v>515</v>
      </c>
      <c r="C471" s="2" t="s">
        <v>516</v>
      </c>
      <c r="D471" s="1" t="s">
        <v>517</v>
      </c>
    </row>
    <row r="472">
      <c r="A472" s="2" t="s">
        <v>460</v>
      </c>
      <c r="B472" s="1" t="s">
        <v>461</v>
      </c>
      <c r="C472" s="2" t="s">
        <v>118</v>
      </c>
      <c r="D472" s="1" t="s">
        <v>119</v>
      </c>
    </row>
    <row r="473">
      <c r="A473" s="2" t="s">
        <v>510</v>
      </c>
      <c r="B473" s="1" t="s">
        <v>511</v>
      </c>
      <c r="C473" s="2" t="s">
        <v>508</v>
      </c>
      <c r="D473" s="1" t="s">
        <v>509</v>
      </c>
    </row>
    <row r="474">
      <c r="A474" s="2" t="s">
        <v>484</v>
      </c>
      <c r="B474" s="1" t="s">
        <v>485</v>
      </c>
      <c r="C474" s="2" t="s">
        <v>341</v>
      </c>
      <c r="D474" s="1" t="s">
        <v>342</v>
      </c>
    </row>
    <row r="475">
      <c r="A475" s="2" t="s">
        <v>510</v>
      </c>
      <c r="B475" s="1" t="s">
        <v>511</v>
      </c>
      <c r="C475" s="2" t="s">
        <v>69</v>
      </c>
      <c r="D475" s="1" t="s">
        <v>70</v>
      </c>
    </row>
    <row r="476">
      <c r="A476" s="2" t="s">
        <v>484</v>
      </c>
      <c r="B476" s="1" t="s">
        <v>485</v>
      </c>
      <c r="C476" s="2" t="s">
        <v>139</v>
      </c>
      <c r="D476" s="1" t="s">
        <v>140</v>
      </c>
    </row>
    <row r="477">
      <c r="A477" s="2" t="s">
        <v>472</v>
      </c>
      <c r="B477" s="1" t="s">
        <v>473</v>
      </c>
      <c r="C477" s="2" t="s">
        <v>77</v>
      </c>
      <c r="D477" s="1" t="s">
        <v>78</v>
      </c>
    </row>
    <row r="478">
      <c r="A478" s="2" t="s">
        <v>466</v>
      </c>
      <c r="B478" s="1" t="s">
        <v>467</v>
      </c>
      <c r="C478" s="2" t="s">
        <v>25</v>
      </c>
      <c r="D478" s="1" t="s">
        <v>26</v>
      </c>
    </row>
    <row r="479">
      <c r="A479" s="2" t="s">
        <v>476</v>
      </c>
      <c r="B479" s="1" t="s">
        <v>477</v>
      </c>
      <c r="C479" s="2" t="s">
        <v>118</v>
      </c>
      <c r="D479" s="1" t="s">
        <v>119</v>
      </c>
    </row>
    <row r="480">
      <c r="A480" s="2" t="s">
        <v>484</v>
      </c>
      <c r="B480" s="1" t="s">
        <v>485</v>
      </c>
      <c r="C480" s="2" t="s">
        <v>141</v>
      </c>
      <c r="D480" s="1" t="s">
        <v>142</v>
      </c>
    </row>
    <row r="481">
      <c r="A481" s="2" t="s">
        <v>480</v>
      </c>
      <c r="B481" s="1" t="s">
        <v>481</v>
      </c>
      <c r="C481" s="2" t="s">
        <v>35</v>
      </c>
      <c r="D481" s="1" t="s">
        <v>36</v>
      </c>
    </row>
    <row r="482">
      <c r="A482" s="2" t="s">
        <v>480</v>
      </c>
      <c r="B482" s="1" t="s">
        <v>481</v>
      </c>
      <c r="C482" s="2" t="s">
        <v>43</v>
      </c>
      <c r="D482" s="1" t="s">
        <v>44</v>
      </c>
    </row>
    <row r="483">
      <c r="A483" s="2" t="s">
        <v>480</v>
      </c>
      <c r="B483" s="1" t="s">
        <v>481</v>
      </c>
      <c r="C483" s="2" t="s">
        <v>49</v>
      </c>
      <c r="D483" s="1" t="s">
        <v>50</v>
      </c>
    </row>
    <row r="484">
      <c r="A484" s="2" t="s">
        <v>468</v>
      </c>
      <c r="B484" s="1" t="s">
        <v>469</v>
      </c>
      <c r="C484" s="2" t="s">
        <v>143</v>
      </c>
      <c r="D484" s="1" t="s">
        <v>144</v>
      </c>
    </row>
    <row r="485">
      <c r="A485" s="2" t="s">
        <v>472</v>
      </c>
      <c r="B485" s="1" t="s">
        <v>473</v>
      </c>
      <c r="C485" s="2" t="s">
        <v>252</v>
      </c>
      <c r="D485" s="1" t="s">
        <v>253</v>
      </c>
    </row>
    <row r="486">
      <c r="A486" s="2" t="s">
        <v>472</v>
      </c>
      <c r="B486" s="1" t="s">
        <v>473</v>
      </c>
      <c r="C486" s="2" t="s">
        <v>518</v>
      </c>
      <c r="D486" s="1" t="s">
        <v>519</v>
      </c>
    </row>
    <row r="487">
      <c r="A487" s="2" t="s">
        <v>472</v>
      </c>
      <c r="B487" s="1" t="s">
        <v>473</v>
      </c>
      <c r="C487" s="2" t="s">
        <v>520</v>
      </c>
      <c r="D487" s="1" t="s">
        <v>521</v>
      </c>
    </row>
    <row r="488">
      <c r="A488" s="2" t="s">
        <v>196</v>
      </c>
      <c r="B488" s="1" t="s">
        <v>197</v>
      </c>
      <c r="C488" s="2" t="s">
        <v>60</v>
      </c>
      <c r="D488" s="1" t="s">
        <v>61</v>
      </c>
    </row>
    <row r="489">
      <c r="A489" s="2" t="s">
        <v>480</v>
      </c>
      <c r="B489" s="1" t="s">
        <v>481</v>
      </c>
      <c r="C489" s="2" t="s">
        <v>296</v>
      </c>
      <c r="D489" s="1" t="s">
        <v>297</v>
      </c>
    </row>
    <row r="490">
      <c r="A490" s="2" t="s">
        <v>451</v>
      </c>
      <c r="B490" s="1" t="s">
        <v>452</v>
      </c>
      <c r="C490" s="2" t="s">
        <v>522</v>
      </c>
      <c r="D490" s="1" t="s">
        <v>523</v>
      </c>
      <c r="E490" s="2" t="s">
        <v>453</v>
      </c>
    </row>
    <row r="491">
      <c r="A491" s="2" t="s">
        <v>514</v>
      </c>
      <c r="B491" s="1" t="s">
        <v>515</v>
      </c>
      <c r="C491" s="2" t="s">
        <v>22</v>
      </c>
      <c r="D491" s="1" t="s">
        <v>23</v>
      </c>
    </row>
    <row r="492">
      <c r="A492" s="2" t="s">
        <v>524</v>
      </c>
      <c r="B492" s="1" t="s">
        <v>525</v>
      </c>
      <c r="C492" s="2" t="s">
        <v>49</v>
      </c>
      <c r="D492" s="1" t="s">
        <v>50</v>
      </c>
      <c r="E492" s="2" t="s">
        <v>526</v>
      </c>
    </row>
    <row r="493">
      <c r="A493" s="2" t="s">
        <v>527</v>
      </c>
      <c r="B493" s="1" t="s">
        <v>528</v>
      </c>
      <c r="C493" s="2" t="s">
        <v>529</v>
      </c>
      <c r="D493" s="1" t="s">
        <v>530</v>
      </c>
    </row>
    <row r="494">
      <c r="A494" s="2" t="s">
        <v>531</v>
      </c>
      <c r="B494" s="1" t="s">
        <v>532</v>
      </c>
      <c r="C494" s="2" t="s">
        <v>216</v>
      </c>
      <c r="D494" s="1" t="s">
        <v>217</v>
      </c>
    </row>
    <row r="495">
      <c r="A495" s="2" t="s">
        <v>531</v>
      </c>
      <c r="B495" s="1" t="s">
        <v>532</v>
      </c>
      <c r="C495" s="2" t="s">
        <v>43</v>
      </c>
      <c r="D495" s="1" t="s">
        <v>44</v>
      </c>
    </row>
    <row r="496">
      <c r="A496" s="2" t="s">
        <v>533</v>
      </c>
      <c r="B496" s="1" t="s">
        <v>534</v>
      </c>
      <c r="C496" s="2" t="s">
        <v>216</v>
      </c>
      <c r="D496" s="1" t="s">
        <v>217</v>
      </c>
    </row>
    <row r="497">
      <c r="A497" s="2" t="s">
        <v>533</v>
      </c>
      <c r="B497" s="1" t="s">
        <v>534</v>
      </c>
      <c r="C497" s="2" t="s">
        <v>43</v>
      </c>
      <c r="D497" s="1" t="s">
        <v>44</v>
      </c>
    </row>
    <row r="498">
      <c r="A498" s="2" t="s">
        <v>524</v>
      </c>
      <c r="B498" s="1" t="s">
        <v>525</v>
      </c>
      <c r="C498" s="2" t="s">
        <v>405</v>
      </c>
      <c r="D498" s="1" t="s">
        <v>406</v>
      </c>
      <c r="E498" s="2" t="s">
        <v>526</v>
      </c>
    </row>
    <row r="499">
      <c r="A499" s="2" t="s">
        <v>535</v>
      </c>
      <c r="B499" s="1" t="s">
        <v>536</v>
      </c>
      <c r="C499" s="2" t="s">
        <v>53</v>
      </c>
      <c r="D499" s="1" t="s">
        <v>54</v>
      </c>
    </row>
    <row r="500">
      <c r="A500" s="2" t="s">
        <v>533</v>
      </c>
      <c r="B500" s="1" t="s">
        <v>534</v>
      </c>
      <c r="C500" s="2" t="s">
        <v>49</v>
      </c>
      <c r="D500" s="1" t="s">
        <v>50</v>
      </c>
    </row>
    <row r="501">
      <c r="A501" s="2" t="s">
        <v>537</v>
      </c>
      <c r="B501" s="1" t="s">
        <v>538</v>
      </c>
      <c r="C501" s="2" t="s">
        <v>69</v>
      </c>
      <c r="D501" s="1" t="s">
        <v>70</v>
      </c>
    </row>
    <row r="502">
      <c r="A502" s="2" t="s">
        <v>539</v>
      </c>
      <c r="B502" s="1" t="s">
        <v>540</v>
      </c>
      <c r="C502" s="2" t="s">
        <v>114</v>
      </c>
      <c r="D502" s="1" t="s">
        <v>115</v>
      </c>
    </row>
    <row r="503">
      <c r="A503" s="2" t="s">
        <v>541</v>
      </c>
      <c r="B503" s="1" t="s">
        <v>542</v>
      </c>
      <c r="C503" s="2" t="s">
        <v>53</v>
      </c>
      <c r="D503" s="1" t="s">
        <v>54</v>
      </c>
    </row>
    <row r="504">
      <c r="A504" s="2" t="s">
        <v>524</v>
      </c>
      <c r="B504" s="1" t="s">
        <v>525</v>
      </c>
      <c r="C504" s="2" t="s">
        <v>128</v>
      </c>
      <c r="D504" s="1" t="s">
        <v>129</v>
      </c>
      <c r="E504" s="2" t="s">
        <v>526</v>
      </c>
    </row>
    <row r="505">
      <c r="A505" s="2" t="s">
        <v>543</v>
      </c>
      <c r="B505" s="1" t="s">
        <v>544</v>
      </c>
      <c r="C505" s="2" t="s">
        <v>41</v>
      </c>
      <c r="D505" s="1" t="s">
        <v>42</v>
      </c>
    </row>
    <row r="506">
      <c r="A506" s="2" t="s">
        <v>524</v>
      </c>
      <c r="B506" s="1" t="s">
        <v>525</v>
      </c>
      <c r="C506" s="2" t="s">
        <v>133</v>
      </c>
      <c r="D506" s="1" t="s">
        <v>134</v>
      </c>
      <c r="E506" s="2" t="s">
        <v>526</v>
      </c>
    </row>
    <row r="507">
      <c r="A507" s="2" t="s">
        <v>535</v>
      </c>
      <c r="B507" s="1" t="s">
        <v>536</v>
      </c>
      <c r="C507" s="2" t="s">
        <v>43</v>
      </c>
      <c r="D507" s="1" t="s">
        <v>44</v>
      </c>
    </row>
    <row r="508">
      <c r="A508" s="2" t="s">
        <v>524</v>
      </c>
      <c r="B508" s="1" t="s">
        <v>525</v>
      </c>
      <c r="C508" s="2" t="s">
        <v>43</v>
      </c>
      <c r="D508" s="1" t="s">
        <v>44</v>
      </c>
      <c r="E508" s="2" t="s">
        <v>526</v>
      </c>
    </row>
    <row r="509">
      <c r="A509" s="2" t="s">
        <v>545</v>
      </c>
      <c r="B509" s="1" t="s">
        <v>546</v>
      </c>
      <c r="C509" s="2" t="s">
        <v>41</v>
      </c>
      <c r="D509" s="1" t="s">
        <v>42</v>
      </c>
    </row>
    <row r="510">
      <c r="A510" s="2" t="s">
        <v>535</v>
      </c>
      <c r="B510" s="1" t="s">
        <v>536</v>
      </c>
      <c r="C510" s="2" t="s">
        <v>49</v>
      </c>
      <c r="D510" s="1" t="s">
        <v>50</v>
      </c>
    </row>
    <row r="511">
      <c r="A511" s="2" t="s">
        <v>545</v>
      </c>
      <c r="B511" s="1" t="s">
        <v>546</v>
      </c>
      <c r="C511" s="2" t="s">
        <v>43</v>
      </c>
      <c r="D511" s="1" t="s">
        <v>44</v>
      </c>
    </row>
    <row r="512">
      <c r="A512" s="2" t="s">
        <v>547</v>
      </c>
      <c r="B512" s="1" t="s">
        <v>548</v>
      </c>
      <c r="C512" s="2" t="s">
        <v>43</v>
      </c>
      <c r="D512" s="1" t="s">
        <v>44</v>
      </c>
    </row>
    <row r="513">
      <c r="A513" s="2" t="s">
        <v>524</v>
      </c>
      <c r="B513" s="1" t="s">
        <v>525</v>
      </c>
      <c r="C513" s="2" t="s">
        <v>22</v>
      </c>
      <c r="D513" s="1" t="s">
        <v>23</v>
      </c>
      <c r="E513" s="2" t="s">
        <v>526</v>
      </c>
    </row>
    <row r="514">
      <c r="A514" s="2" t="s">
        <v>541</v>
      </c>
      <c r="B514" s="1" t="s">
        <v>542</v>
      </c>
      <c r="C514" s="2" t="s">
        <v>41</v>
      </c>
      <c r="D514" s="1" t="s">
        <v>42</v>
      </c>
    </row>
    <row r="515">
      <c r="A515" s="2" t="s">
        <v>541</v>
      </c>
      <c r="B515" s="1" t="s">
        <v>542</v>
      </c>
      <c r="C515" s="2" t="s">
        <v>43</v>
      </c>
      <c r="D515" s="1" t="s">
        <v>44</v>
      </c>
    </row>
    <row r="516">
      <c r="A516" s="2" t="s">
        <v>547</v>
      </c>
      <c r="B516" s="1" t="s">
        <v>548</v>
      </c>
      <c r="C516" s="2" t="s">
        <v>49</v>
      </c>
      <c r="D516" s="1" t="s">
        <v>50</v>
      </c>
    </row>
    <row r="517">
      <c r="A517" s="2" t="s">
        <v>541</v>
      </c>
      <c r="B517" s="1" t="s">
        <v>542</v>
      </c>
      <c r="C517" s="2" t="s">
        <v>49</v>
      </c>
      <c r="D517" s="1" t="s">
        <v>50</v>
      </c>
    </row>
    <row r="518">
      <c r="A518" s="2" t="s">
        <v>549</v>
      </c>
      <c r="B518" s="1" t="s">
        <v>550</v>
      </c>
      <c r="C518" s="2" t="s">
        <v>12</v>
      </c>
      <c r="D518" s="1" t="s">
        <v>13</v>
      </c>
    </row>
    <row r="519">
      <c r="A519" s="2" t="s">
        <v>527</v>
      </c>
      <c r="B519" s="1" t="s">
        <v>528</v>
      </c>
      <c r="C519" s="2" t="s">
        <v>133</v>
      </c>
      <c r="D519" s="1" t="s">
        <v>134</v>
      </c>
    </row>
    <row r="520">
      <c r="A520" s="2" t="s">
        <v>527</v>
      </c>
      <c r="B520" s="1" t="s">
        <v>528</v>
      </c>
      <c r="C520" s="2" t="s">
        <v>43</v>
      </c>
      <c r="D520" s="1" t="s">
        <v>44</v>
      </c>
    </row>
    <row r="521">
      <c r="A521" s="2" t="s">
        <v>551</v>
      </c>
      <c r="B521" s="1" t="s">
        <v>552</v>
      </c>
      <c r="C521" s="2" t="s">
        <v>553</v>
      </c>
      <c r="D521" s="1" t="s">
        <v>554</v>
      </c>
    </row>
    <row r="522">
      <c r="A522" s="2" t="s">
        <v>543</v>
      </c>
      <c r="B522" s="1" t="s">
        <v>544</v>
      </c>
      <c r="C522" s="2" t="s">
        <v>508</v>
      </c>
      <c r="D522" s="1" t="s">
        <v>509</v>
      </c>
    </row>
    <row r="523">
      <c r="A523" s="2" t="s">
        <v>527</v>
      </c>
      <c r="B523" s="1" t="s">
        <v>528</v>
      </c>
      <c r="C523" s="2" t="s">
        <v>79</v>
      </c>
      <c r="D523" s="1" t="s">
        <v>80</v>
      </c>
    </row>
    <row r="524">
      <c r="A524" s="2" t="s">
        <v>533</v>
      </c>
      <c r="B524" s="1" t="s">
        <v>534</v>
      </c>
      <c r="C524" s="2" t="s">
        <v>221</v>
      </c>
      <c r="D524" s="1" t="s">
        <v>222</v>
      </c>
    </row>
    <row r="525">
      <c r="A525" s="2" t="s">
        <v>527</v>
      </c>
      <c r="B525" s="1" t="s">
        <v>528</v>
      </c>
      <c r="C525" s="2" t="s">
        <v>7</v>
      </c>
      <c r="D525" s="1" t="s">
        <v>8</v>
      </c>
    </row>
    <row r="526">
      <c r="A526" s="2" t="s">
        <v>555</v>
      </c>
      <c r="B526" s="1" t="s">
        <v>556</v>
      </c>
      <c r="C526" s="2" t="s">
        <v>41</v>
      </c>
      <c r="D526" s="1" t="s">
        <v>42</v>
      </c>
    </row>
    <row r="527">
      <c r="A527" s="2" t="s">
        <v>557</v>
      </c>
      <c r="B527" s="1" t="s">
        <v>558</v>
      </c>
      <c r="C527" s="2" t="s">
        <v>41</v>
      </c>
      <c r="D527" s="1" t="s">
        <v>42</v>
      </c>
    </row>
    <row r="528">
      <c r="A528" s="2" t="s">
        <v>557</v>
      </c>
      <c r="B528" s="1" t="s">
        <v>558</v>
      </c>
      <c r="C528" s="2" t="s">
        <v>84</v>
      </c>
      <c r="D528" s="1" t="s">
        <v>85</v>
      </c>
    </row>
    <row r="529">
      <c r="A529" s="2" t="s">
        <v>527</v>
      </c>
      <c r="B529" s="1" t="s">
        <v>528</v>
      </c>
      <c r="C529" s="2" t="s">
        <v>49</v>
      </c>
      <c r="D529" s="1" t="s">
        <v>50</v>
      </c>
    </row>
    <row r="530">
      <c r="A530" s="2" t="s">
        <v>543</v>
      </c>
      <c r="B530" s="1" t="s">
        <v>544</v>
      </c>
      <c r="C530" s="2" t="s">
        <v>69</v>
      </c>
      <c r="D530" s="1" t="s">
        <v>70</v>
      </c>
    </row>
    <row r="531">
      <c r="A531" s="2" t="s">
        <v>535</v>
      </c>
      <c r="B531" s="1" t="s">
        <v>536</v>
      </c>
      <c r="C531" s="2" t="s">
        <v>69</v>
      </c>
      <c r="D531" s="1" t="s">
        <v>70</v>
      </c>
    </row>
    <row r="532">
      <c r="A532" s="2" t="s">
        <v>555</v>
      </c>
      <c r="B532" s="1" t="s">
        <v>556</v>
      </c>
      <c r="C532" s="2" t="s">
        <v>43</v>
      </c>
      <c r="D532" s="1" t="s">
        <v>44</v>
      </c>
    </row>
    <row r="533">
      <c r="A533" s="2" t="s">
        <v>557</v>
      </c>
      <c r="B533" s="1" t="s">
        <v>558</v>
      </c>
      <c r="C533" s="2" t="s">
        <v>43</v>
      </c>
      <c r="D533" s="1" t="s">
        <v>44</v>
      </c>
    </row>
    <row r="534">
      <c r="A534" s="2" t="s">
        <v>524</v>
      </c>
      <c r="B534" s="1" t="s">
        <v>525</v>
      </c>
      <c r="C534" s="2" t="s">
        <v>252</v>
      </c>
      <c r="D534" s="1" t="s">
        <v>253</v>
      </c>
      <c r="E534" s="2" t="s">
        <v>526</v>
      </c>
    </row>
    <row r="535">
      <c r="A535" s="2" t="s">
        <v>559</v>
      </c>
      <c r="B535" s="1" t="s">
        <v>560</v>
      </c>
      <c r="C535" s="2" t="s">
        <v>41</v>
      </c>
      <c r="D535" s="1" t="s">
        <v>42</v>
      </c>
    </row>
    <row r="536">
      <c r="A536" s="2" t="s">
        <v>559</v>
      </c>
      <c r="B536" s="1" t="s">
        <v>560</v>
      </c>
      <c r="C536" s="2" t="s">
        <v>43</v>
      </c>
      <c r="D536" s="1" t="s">
        <v>44</v>
      </c>
    </row>
    <row r="537">
      <c r="A537" s="2" t="s">
        <v>561</v>
      </c>
      <c r="B537" s="1" t="s">
        <v>562</v>
      </c>
      <c r="C537" s="2" t="s">
        <v>41</v>
      </c>
      <c r="D537" s="1" t="s">
        <v>42</v>
      </c>
    </row>
    <row r="538">
      <c r="A538" s="2" t="s">
        <v>561</v>
      </c>
      <c r="B538" s="1" t="s">
        <v>562</v>
      </c>
      <c r="C538" s="2" t="s">
        <v>43</v>
      </c>
      <c r="D538" s="1" t="s">
        <v>44</v>
      </c>
    </row>
    <row r="539">
      <c r="A539" s="2" t="s">
        <v>555</v>
      </c>
      <c r="B539" s="1" t="s">
        <v>556</v>
      </c>
      <c r="C539" s="2" t="s">
        <v>49</v>
      </c>
      <c r="D539" s="1" t="s">
        <v>50</v>
      </c>
    </row>
    <row r="540">
      <c r="A540" s="2" t="s">
        <v>557</v>
      </c>
      <c r="B540" s="1" t="s">
        <v>558</v>
      </c>
      <c r="C540" s="2" t="s">
        <v>49</v>
      </c>
      <c r="D540" s="1" t="s">
        <v>50</v>
      </c>
    </row>
    <row r="541">
      <c r="A541" s="2" t="s">
        <v>545</v>
      </c>
      <c r="B541" s="1" t="s">
        <v>546</v>
      </c>
      <c r="C541" s="2" t="s">
        <v>69</v>
      </c>
      <c r="D541" s="1" t="s">
        <v>70</v>
      </c>
    </row>
    <row r="542">
      <c r="A542" s="2" t="s">
        <v>527</v>
      </c>
      <c r="B542" s="1" t="s">
        <v>528</v>
      </c>
      <c r="C542" s="2" t="s">
        <v>90</v>
      </c>
      <c r="D542" s="1" t="s">
        <v>91</v>
      </c>
    </row>
    <row r="543">
      <c r="A543" s="2" t="s">
        <v>549</v>
      </c>
      <c r="B543" s="1" t="s">
        <v>550</v>
      </c>
      <c r="C543" s="2" t="s">
        <v>516</v>
      </c>
      <c r="D543" s="1" t="s">
        <v>517</v>
      </c>
    </row>
    <row r="544">
      <c r="A544" s="2" t="s">
        <v>559</v>
      </c>
      <c r="B544" s="1" t="s">
        <v>560</v>
      </c>
      <c r="C544" s="2" t="s">
        <v>49</v>
      </c>
      <c r="D544" s="1" t="s">
        <v>50</v>
      </c>
    </row>
    <row r="545">
      <c r="A545" s="2" t="s">
        <v>547</v>
      </c>
      <c r="B545" s="1" t="s">
        <v>548</v>
      </c>
      <c r="C545" s="2" t="s">
        <v>296</v>
      </c>
      <c r="D545" s="1" t="s">
        <v>297</v>
      </c>
    </row>
    <row r="546">
      <c r="A546" s="2" t="s">
        <v>563</v>
      </c>
      <c r="B546" s="1" t="s">
        <v>564</v>
      </c>
      <c r="C546" s="2" t="s">
        <v>41</v>
      </c>
      <c r="D546" s="1" t="s">
        <v>42</v>
      </c>
    </row>
    <row r="547">
      <c r="A547" s="2" t="s">
        <v>541</v>
      </c>
      <c r="B547" s="1" t="s">
        <v>542</v>
      </c>
      <c r="C547" s="2" t="s">
        <v>69</v>
      </c>
      <c r="D547" s="1" t="s">
        <v>70</v>
      </c>
    </row>
    <row r="548">
      <c r="A548" s="2" t="s">
        <v>563</v>
      </c>
      <c r="B548" s="1" t="s">
        <v>564</v>
      </c>
      <c r="C548" s="2" t="s">
        <v>43</v>
      </c>
      <c r="D548" s="1" t="s">
        <v>44</v>
      </c>
    </row>
    <row r="549">
      <c r="A549" s="2" t="s">
        <v>565</v>
      </c>
      <c r="B549" s="1" t="s">
        <v>566</v>
      </c>
      <c r="C549" s="2" t="s">
        <v>567</v>
      </c>
      <c r="D549" s="1" t="s">
        <v>568</v>
      </c>
    </row>
    <row r="550">
      <c r="A550" s="2" t="s">
        <v>565</v>
      </c>
      <c r="B550" s="1" t="s">
        <v>566</v>
      </c>
      <c r="C550" s="2" t="s">
        <v>345</v>
      </c>
      <c r="D550" s="1" t="s">
        <v>346</v>
      </c>
    </row>
    <row r="551">
      <c r="A551" s="2" t="s">
        <v>565</v>
      </c>
      <c r="B551" s="1" t="s">
        <v>566</v>
      </c>
      <c r="C551" s="2" t="s">
        <v>139</v>
      </c>
      <c r="D551" s="1" t="s">
        <v>140</v>
      </c>
    </row>
    <row r="552">
      <c r="A552" s="2" t="s">
        <v>563</v>
      </c>
      <c r="B552" s="1" t="s">
        <v>564</v>
      </c>
      <c r="C552" s="2" t="s">
        <v>49</v>
      </c>
      <c r="D552" s="1" t="s">
        <v>50</v>
      </c>
    </row>
    <row r="553">
      <c r="A553" s="2" t="s">
        <v>527</v>
      </c>
      <c r="B553" s="1" t="s">
        <v>528</v>
      </c>
      <c r="C553" s="2" t="s">
        <v>296</v>
      </c>
      <c r="D553" s="1" t="s">
        <v>297</v>
      </c>
    </row>
    <row r="554">
      <c r="A554" s="2" t="s">
        <v>423</v>
      </c>
      <c r="B554" s="1" t="s">
        <v>424</v>
      </c>
      <c r="C554" s="2" t="s">
        <v>569</v>
      </c>
      <c r="D554" s="1" t="s">
        <v>570</v>
      </c>
      <c r="E554" s="2" t="s">
        <v>425</v>
      </c>
    </row>
    <row r="555">
      <c r="A555" s="2" t="s">
        <v>571</v>
      </c>
      <c r="B555" s="1" t="s">
        <v>572</v>
      </c>
      <c r="C555" s="2" t="s">
        <v>41</v>
      </c>
      <c r="D555" s="1" t="s">
        <v>42</v>
      </c>
    </row>
    <row r="556">
      <c r="A556" s="2" t="s">
        <v>571</v>
      </c>
      <c r="B556" s="1" t="s">
        <v>572</v>
      </c>
      <c r="C556" s="2" t="s">
        <v>405</v>
      </c>
      <c r="D556" s="1" t="s">
        <v>406</v>
      </c>
    </row>
    <row r="557">
      <c r="A557" s="2" t="s">
        <v>571</v>
      </c>
      <c r="B557" s="1" t="s">
        <v>572</v>
      </c>
      <c r="C557" s="2" t="s">
        <v>43</v>
      </c>
      <c r="D557" s="1" t="s">
        <v>44</v>
      </c>
    </row>
    <row r="558">
      <c r="A558" s="2" t="s">
        <v>573</v>
      </c>
      <c r="B558" s="1" t="s">
        <v>574</v>
      </c>
      <c r="C558" s="2" t="s">
        <v>49</v>
      </c>
      <c r="D558" s="1" t="s">
        <v>50</v>
      </c>
      <c r="E558" s="2" t="s">
        <v>575</v>
      </c>
    </row>
    <row r="559">
      <c r="A559" s="2" t="s">
        <v>559</v>
      </c>
      <c r="B559" s="1" t="s">
        <v>560</v>
      </c>
      <c r="C559" s="2" t="s">
        <v>69</v>
      </c>
      <c r="D559" s="1" t="s">
        <v>70</v>
      </c>
    </row>
    <row r="560">
      <c r="A560" s="2" t="s">
        <v>563</v>
      </c>
      <c r="B560" s="1" t="s">
        <v>564</v>
      </c>
      <c r="C560" s="2" t="s">
        <v>92</v>
      </c>
      <c r="D560" s="1" t="s">
        <v>93</v>
      </c>
    </row>
    <row r="561">
      <c r="A561" s="2" t="s">
        <v>571</v>
      </c>
      <c r="B561" s="1" t="s">
        <v>572</v>
      </c>
      <c r="C561" s="2" t="s">
        <v>49</v>
      </c>
      <c r="D561" s="1" t="s">
        <v>50</v>
      </c>
    </row>
    <row r="562">
      <c r="A562" s="2" t="s">
        <v>565</v>
      </c>
      <c r="B562" s="1" t="s">
        <v>566</v>
      </c>
      <c r="C562" s="2" t="s">
        <v>576</v>
      </c>
      <c r="D562" s="1" t="s">
        <v>577</v>
      </c>
    </row>
    <row r="563">
      <c r="A563" s="2" t="s">
        <v>561</v>
      </c>
      <c r="B563" s="1" t="s">
        <v>562</v>
      </c>
      <c r="C563" s="2" t="s">
        <v>69</v>
      </c>
      <c r="D563" s="1" t="s">
        <v>70</v>
      </c>
    </row>
    <row r="564">
      <c r="A564" s="2" t="s">
        <v>551</v>
      </c>
      <c r="B564" s="1" t="s">
        <v>552</v>
      </c>
      <c r="C564" s="2" t="s">
        <v>280</v>
      </c>
      <c r="D564" s="1" t="s">
        <v>281</v>
      </c>
    </row>
    <row r="565">
      <c r="A565" s="2" t="s">
        <v>423</v>
      </c>
      <c r="B565" s="1" t="s">
        <v>424</v>
      </c>
      <c r="C565" s="2" t="s">
        <v>133</v>
      </c>
      <c r="D565" s="1" t="s">
        <v>134</v>
      </c>
      <c r="E565" s="2" t="s">
        <v>425</v>
      </c>
    </row>
    <row r="566">
      <c r="A566" s="2" t="s">
        <v>423</v>
      </c>
      <c r="B566" s="1" t="s">
        <v>424</v>
      </c>
      <c r="C566" s="2" t="s">
        <v>433</v>
      </c>
      <c r="D566" s="1" t="s">
        <v>434</v>
      </c>
      <c r="E566" s="2" t="s">
        <v>425</v>
      </c>
    </row>
    <row r="567">
      <c r="A567" s="2" t="s">
        <v>539</v>
      </c>
      <c r="B567" s="1" t="s">
        <v>540</v>
      </c>
      <c r="C567" s="2" t="s">
        <v>12</v>
      </c>
      <c r="D567" s="1" t="s">
        <v>13</v>
      </c>
    </row>
    <row r="568">
      <c r="A568" s="2" t="s">
        <v>571</v>
      </c>
      <c r="B568" s="1" t="s">
        <v>572</v>
      </c>
      <c r="C568" s="2" t="s">
        <v>69</v>
      </c>
      <c r="D568" s="1" t="s">
        <v>70</v>
      </c>
    </row>
    <row r="569">
      <c r="A569" s="2" t="s">
        <v>557</v>
      </c>
      <c r="B569" s="1" t="s">
        <v>558</v>
      </c>
      <c r="C569" s="2" t="s">
        <v>578</v>
      </c>
      <c r="D569" s="1" t="s">
        <v>579</v>
      </c>
    </row>
    <row r="570">
      <c r="A570" s="2" t="s">
        <v>580</v>
      </c>
      <c r="B570" s="1" t="s">
        <v>581</v>
      </c>
      <c r="C570" s="2" t="s">
        <v>84</v>
      </c>
      <c r="D570" s="1" t="s">
        <v>85</v>
      </c>
    </row>
    <row r="571">
      <c r="A571" s="2" t="s">
        <v>582</v>
      </c>
      <c r="B571" s="1" t="s">
        <v>583</v>
      </c>
      <c r="C571" s="2" t="s">
        <v>56</v>
      </c>
      <c r="D571" s="1" t="s">
        <v>57</v>
      </c>
    </row>
    <row r="572">
      <c r="A572" s="2" t="s">
        <v>582</v>
      </c>
      <c r="B572" s="1" t="s">
        <v>583</v>
      </c>
      <c r="C572" s="2" t="s">
        <v>43</v>
      </c>
      <c r="D572" s="1" t="s">
        <v>44</v>
      </c>
    </row>
    <row r="573">
      <c r="A573" s="2" t="s">
        <v>580</v>
      </c>
      <c r="B573" s="1" t="s">
        <v>581</v>
      </c>
      <c r="C573" s="2" t="s">
        <v>43</v>
      </c>
      <c r="D573" s="1" t="s">
        <v>44</v>
      </c>
    </row>
    <row r="574">
      <c r="A574" s="2" t="s">
        <v>423</v>
      </c>
      <c r="B574" s="1" t="s">
        <v>424</v>
      </c>
      <c r="C574" s="2" t="s">
        <v>79</v>
      </c>
      <c r="D574" s="1" t="s">
        <v>80</v>
      </c>
      <c r="E574" s="2" t="s">
        <v>425</v>
      </c>
    </row>
    <row r="575">
      <c r="A575" s="2" t="s">
        <v>580</v>
      </c>
      <c r="B575" s="1" t="s">
        <v>581</v>
      </c>
      <c r="C575" s="2" t="s">
        <v>49</v>
      </c>
      <c r="D575" s="1" t="s">
        <v>50</v>
      </c>
    </row>
    <row r="576">
      <c r="A576" s="2" t="s">
        <v>549</v>
      </c>
      <c r="B576" s="1" t="s">
        <v>550</v>
      </c>
      <c r="C576" s="2" t="s">
        <v>114</v>
      </c>
      <c r="D576" s="1" t="s">
        <v>115</v>
      </c>
    </row>
    <row r="577">
      <c r="A577" s="2" t="s">
        <v>551</v>
      </c>
      <c r="B577" s="1" t="s">
        <v>552</v>
      </c>
      <c r="C577" s="2" t="s">
        <v>22</v>
      </c>
      <c r="D577" s="1" t="s">
        <v>23</v>
      </c>
    </row>
    <row r="578">
      <c r="A578" s="2" t="s">
        <v>580</v>
      </c>
      <c r="B578" s="1" t="s">
        <v>581</v>
      </c>
      <c r="C578" s="2" t="s">
        <v>92</v>
      </c>
      <c r="D578" s="1" t="s">
        <v>93</v>
      </c>
    </row>
    <row r="579">
      <c r="A579" s="2" t="s">
        <v>584</v>
      </c>
      <c r="B579" s="1" t="s">
        <v>585</v>
      </c>
      <c r="C579" s="2" t="s">
        <v>79</v>
      </c>
      <c r="D579" s="1" t="s">
        <v>80</v>
      </c>
    </row>
    <row r="580">
      <c r="A580" s="2" t="s">
        <v>584</v>
      </c>
      <c r="B580" s="1" t="s">
        <v>585</v>
      </c>
      <c r="C580" s="2" t="s">
        <v>49</v>
      </c>
      <c r="D580" s="1" t="s">
        <v>50</v>
      </c>
    </row>
    <row r="581">
      <c r="A581" s="2" t="s">
        <v>580</v>
      </c>
      <c r="B581" s="1" t="s">
        <v>581</v>
      </c>
      <c r="C581" s="2" t="s">
        <v>223</v>
      </c>
      <c r="D581" s="1" t="s">
        <v>224</v>
      </c>
    </row>
    <row r="582">
      <c r="A582" s="2" t="s">
        <v>565</v>
      </c>
      <c r="B582" s="1" t="s">
        <v>566</v>
      </c>
      <c r="C582" s="2" t="s">
        <v>22</v>
      </c>
      <c r="D582" s="1" t="s">
        <v>23</v>
      </c>
    </row>
    <row r="583">
      <c r="A583" s="2" t="s">
        <v>565</v>
      </c>
      <c r="B583" s="1" t="s">
        <v>566</v>
      </c>
      <c r="C583" s="2" t="s">
        <v>443</v>
      </c>
      <c r="D583" s="1" t="s">
        <v>444</v>
      </c>
    </row>
    <row r="584">
      <c r="A584" s="2" t="s">
        <v>584</v>
      </c>
      <c r="B584" s="1" t="s">
        <v>585</v>
      </c>
      <c r="C584" s="2" t="s">
        <v>60</v>
      </c>
      <c r="D584" s="1" t="s">
        <v>61</v>
      </c>
    </row>
    <row r="585">
      <c r="A585" s="2" t="s">
        <v>537</v>
      </c>
      <c r="B585" s="1" t="s">
        <v>538</v>
      </c>
      <c r="C585" s="2" t="s">
        <v>77</v>
      </c>
      <c r="D585" s="1" t="s">
        <v>78</v>
      </c>
    </row>
    <row r="586">
      <c r="A586" s="2" t="s">
        <v>537</v>
      </c>
      <c r="B586" s="1" t="s">
        <v>538</v>
      </c>
      <c r="C586" s="2" t="s">
        <v>43</v>
      </c>
      <c r="D586" s="1" t="s">
        <v>44</v>
      </c>
    </row>
    <row r="587">
      <c r="A587" s="2" t="s">
        <v>573</v>
      </c>
      <c r="B587" s="1" t="s">
        <v>574</v>
      </c>
      <c r="C587" s="2" t="s">
        <v>443</v>
      </c>
      <c r="D587" s="1" t="s">
        <v>444</v>
      </c>
      <c r="E587" s="2" t="s">
        <v>575</v>
      </c>
    </row>
    <row r="588">
      <c r="A588" s="2" t="s">
        <v>524</v>
      </c>
      <c r="B588" s="1" t="s">
        <v>525</v>
      </c>
      <c r="C588" s="2" t="s">
        <v>41</v>
      </c>
      <c r="D588" s="1" t="s">
        <v>42</v>
      </c>
      <c r="E588" s="2" t="s">
        <v>526</v>
      </c>
    </row>
    <row r="589">
      <c r="A589" s="2" t="s">
        <v>537</v>
      </c>
      <c r="B589" s="1" t="s">
        <v>538</v>
      </c>
      <c r="C589" s="2" t="s">
        <v>7</v>
      </c>
      <c r="D589" s="1" t="s">
        <v>8</v>
      </c>
    </row>
    <row r="590">
      <c r="A590" s="2" t="s">
        <v>524</v>
      </c>
      <c r="B590" s="1" t="s">
        <v>525</v>
      </c>
      <c r="C590" s="2" t="s">
        <v>77</v>
      </c>
      <c r="D590" s="1" t="s">
        <v>78</v>
      </c>
      <c r="E590" s="2" t="s">
        <v>526</v>
      </c>
    </row>
    <row r="591">
      <c r="A591" s="2" t="s">
        <v>537</v>
      </c>
      <c r="B591" s="1" t="s">
        <v>538</v>
      </c>
      <c r="C591" s="2" t="s">
        <v>90</v>
      </c>
      <c r="D591" s="1" t="s">
        <v>91</v>
      </c>
    </row>
    <row r="592">
      <c r="A592" s="2" t="s">
        <v>586</v>
      </c>
      <c r="B592" s="1" t="s">
        <v>587</v>
      </c>
    </row>
    <row r="593">
      <c r="A593" s="2" t="s">
        <v>588</v>
      </c>
      <c r="B593" s="1" t="s">
        <v>589</v>
      </c>
      <c r="C593" s="2" t="s">
        <v>341</v>
      </c>
      <c r="D593" s="1" t="s">
        <v>342</v>
      </c>
    </row>
    <row r="594">
      <c r="A594" s="2" t="s">
        <v>588</v>
      </c>
      <c r="B594" s="1" t="s">
        <v>589</v>
      </c>
      <c r="C594" s="2" t="s">
        <v>103</v>
      </c>
      <c r="D594" s="1" t="s">
        <v>104</v>
      </c>
    </row>
    <row r="595">
      <c r="A595" s="2" t="s">
        <v>590</v>
      </c>
      <c r="B595" s="1" t="s">
        <v>591</v>
      </c>
      <c r="C595" s="2" t="s">
        <v>216</v>
      </c>
      <c r="D595" s="1" t="s">
        <v>217</v>
      </c>
    </row>
    <row r="596">
      <c r="A596" s="2" t="s">
        <v>590</v>
      </c>
      <c r="B596" s="1" t="s">
        <v>591</v>
      </c>
      <c r="C596" s="2" t="s">
        <v>133</v>
      </c>
      <c r="D596" s="1" t="s">
        <v>134</v>
      </c>
    </row>
    <row r="597">
      <c r="A597" s="2" t="s">
        <v>590</v>
      </c>
      <c r="B597" s="1" t="s">
        <v>591</v>
      </c>
      <c r="C597" s="2" t="s">
        <v>43</v>
      </c>
      <c r="D597" s="1" t="s">
        <v>44</v>
      </c>
    </row>
    <row r="598">
      <c r="A598" s="2" t="s">
        <v>588</v>
      </c>
      <c r="B598" s="1" t="s">
        <v>589</v>
      </c>
      <c r="C598" s="2" t="s">
        <v>139</v>
      </c>
      <c r="D598" s="1" t="s">
        <v>140</v>
      </c>
    </row>
    <row r="599">
      <c r="A599" s="2" t="s">
        <v>592</v>
      </c>
      <c r="B599" s="1" t="s">
        <v>593</v>
      </c>
      <c r="C599" s="2" t="s">
        <v>594</v>
      </c>
      <c r="D599" s="1" t="s">
        <v>595</v>
      </c>
    </row>
    <row r="600">
      <c r="A600" s="2" t="s">
        <v>596</v>
      </c>
      <c r="B600" s="1" t="s">
        <v>597</v>
      </c>
      <c r="C600" s="2" t="s">
        <v>508</v>
      </c>
      <c r="D600" s="1" t="s">
        <v>509</v>
      </c>
    </row>
    <row r="601">
      <c r="A601" s="2" t="s">
        <v>596</v>
      </c>
      <c r="B601" s="1" t="s">
        <v>597</v>
      </c>
      <c r="C601" s="2" t="s">
        <v>69</v>
      </c>
      <c r="D601" s="1" t="s">
        <v>70</v>
      </c>
    </row>
    <row r="602">
      <c r="A602" s="2" t="s">
        <v>598</v>
      </c>
      <c r="B602" s="1" t="s">
        <v>599</v>
      </c>
      <c r="C602" s="2" t="s">
        <v>600</v>
      </c>
      <c r="D602" s="1" t="s">
        <v>601</v>
      </c>
    </row>
    <row r="603">
      <c r="A603" s="2" t="s">
        <v>602</v>
      </c>
      <c r="B603" s="1" t="s">
        <v>603</v>
      </c>
      <c r="C603" s="2" t="s">
        <v>604</v>
      </c>
      <c r="D603" s="1" t="s">
        <v>605</v>
      </c>
      <c r="E603" s="2" t="s">
        <v>606</v>
      </c>
    </row>
    <row r="604">
      <c r="A604" s="2" t="s">
        <v>598</v>
      </c>
      <c r="B604" s="1" t="s">
        <v>599</v>
      </c>
      <c r="C604" s="2" t="s">
        <v>607</v>
      </c>
      <c r="D604" s="1" t="s">
        <v>608</v>
      </c>
    </row>
    <row r="605">
      <c r="A605" s="2" t="s">
        <v>609</v>
      </c>
      <c r="B605" s="1" t="s">
        <v>610</v>
      </c>
      <c r="C605" s="2" t="s">
        <v>53</v>
      </c>
      <c r="D605" s="1" t="s">
        <v>54</v>
      </c>
    </row>
    <row r="606">
      <c r="A606" s="2" t="s">
        <v>611</v>
      </c>
      <c r="B606" s="1" t="s">
        <v>612</v>
      </c>
      <c r="C606" s="2" t="s">
        <v>41</v>
      </c>
      <c r="D606" s="1" t="s">
        <v>42</v>
      </c>
    </row>
    <row r="607">
      <c r="A607" s="2" t="s">
        <v>611</v>
      </c>
      <c r="B607" s="1" t="s">
        <v>612</v>
      </c>
      <c r="C607" s="2" t="s">
        <v>216</v>
      </c>
      <c r="D607" s="1" t="s">
        <v>217</v>
      </c>
    </row>
    <row r="608">
      <c r="A608" s="2" t="s">
        <v>611</v>
      </c>
      <c r="B608" s="1" t="s">
        <v>612</v>
      </c>
      <c r="C608" s="2" t="s">
        <v>43</v>
      </c>
      <c r="D608" s="1" t="s">
        <v>44</v>
      </c>
    </row>
    <row r="609">
      <c r="A609" s="2" t="s">
        <v>613</v>
      </c>
      <c r="B609" s="1" t="s">
        <v>614</v>
      </c>
      <c r="C609" s="2" t="s">
        <v>22</v>
      </c>
      <c r="D609" s="1" t="s">
        <v>23</v>
      </c>
    </row>
    <row r="610">
      <c r="A610" s="2" t="s">
        <v>611</v>
      </c>
      <c r="B610" s="1" t="s">
        <v>612</v>
      </c>
      <c r="C610" s="2" t="s">
        <v>49</v>
      </c>
      <c r="D610" s="1" t="s">
        <v>50</v>
      </c>
    </row>
    <row r="611">
      <c r="A611" s="2" t="s">
        <v>609</v>
      </c>
      <c r="B611" s="1" t="s">
        <v>610</v>
      </c>
      <c r="C611" s="2" t="s">
        <v>43</v>
      </c>
      <c r="D611" s="1" t="s">
        <v>44</v>
      </c>
    </row>
    <row r="612">
      <c r="A612" s="2" t="s">
        <v>615</v>
      </c>
      <c r="B612" s="1" t="s">
        <v>616</v>
      </c>
      <c r="C612" s="2" t="s">
        <v>35</v>
      </c>
      <c r="D612" s="1" t="s">
        <v>36</v>
      </c>
    </row>
    <row r="613">
      <c r="A613" s="2" t="s">
        <v>615</v>
      </c>
      <c r="B613" s="1" t="s">
        <v>616</v>
      </c>
      <c r="C613" s="2" t="s">
        <v>43</v>
      </c>
      <c r="D613" s="1" t="s">
        <v>44</v>
      </c>
    </row>
    <row r="614">
      <c r="A614" s="2" t="s">
        <v>617</v>
      </c>
      <c r="B614" s="1" t="s">
        <v>618</v>
      </c>
      <c r="C614" s="2" t="s">
        <v>216</v>
      </c>
      <c r="D614" s="1" t="s">
        <v>217</v>
      </c>
    </row>
    <row r="615">
      <c r="A615" s="2" t="s">
        <v>619</v>
      </c>
      <c r="B615" s="1" t="s">
        <v>620</v>
      </c>
      <c r="C615" s="2" t="s">
        <v>41</v>
      </c>
      <c r="D615" s="1" t="s">
        <v>42</v>
      </c>
    </row>
    <row r="616">
      <c r="A616" s="2" t="s">
        <v>619</v>
      </c>
      <c r="B616" s="1" t="s">
        <v>620</v>
      </c>
      <c r="C616" s="2" t="s">
        <v>133</v>
      </c>
      <c r="D616" s="1" t="s">
        <v>134</v>
      </c>
    </row>
    <row r="617">
      <c r="A617" s="2" t="s">
        <v>619</v>
      </c>
      <c r="B617" s="1" t="s">
        <v>620</v>
      </c>
      <c r="C617" s="2" t="s">
        <v>43</v>
      </c>
      <c r="D617" s="1" t="s">
        <v>44</v>
      </c>
    </row>
    <row r="618">
      <c r="A618" s="2" t="s">
        <v>317</v>
      </c>
      <c r="B618" s="1" t="s">
        <v>318</v>
      </c>
      <c r="C618" s="2" t="s">
        <v>49</v>
      </c>
      <c r="D618" s="1" t="s">
        <v>50</v>
      </c>
    </row>
    <row r="619">
      <c r="A619" s="2" t="s">
        <v>619</v>
      </c>
      <c r="B619" s="1" t="s">
        <v>620</v>
      </c>
      <c r="C619" s="2" t="s">
        <v>49</v>
      </c>
      <c r="D619" s="1" t="s">
        <v>50</v>
      </c>
    </row>
    <row r="620">
      <c r="A620" s="2" t="s">
        <v>621</v>
      </c>
      <c r="B620" s="1" t="s">
        <v>622</v>
      </c>
      <c r="C620" s="2" t="s">
        <v>151</v>
      </c>
      <c r="D620" s="1" t="s">
        <v>152</v>
      </c>
    </row>
    <row r="621">
      <c r="A621" s="2" t="s">
        <v>623</v>
      </c>
      <c r="B621" s="1" t="s">
        <v>624</v>
      </c>
      <c r="C621" s="2" t="s">
        <v>41</v>
      </c>
      <c r="D621" s="1" t="s">
        <v>42</v>
      </c>
    </row>
    <row r="622">
      <c r="A622" s="2" t="s">
        <v>623</v>
      </c>
      <c r="B622" s="1" t="s">
        <v>624</v>
      </c>
      <c r="C622" s="2" t="s">
        <v>43</v>
      </c>
      <c r="D622" s="1" t="s">
        <v>44</v>
      </c>
    </row>
    <row r="623">
      <c r="A623" s="2" t="s">
        <v>623</v>
      </c>
      <c r="B623" s="1" t="s">
        <v>624</v>
      </c>
      <c r="C623" s="2" t="s">
        <v>139</v>
      </c>
      <c r="D623" s="1" t="s">
        <v>140</v>
      </c>
    </row>
    <row r="624">
      <c r="A624" s="2" t="s">
        <v>609</v>
      </c>
      <c r="B624" s="1" t="s">
        <v>610</v>
      </c>
      <c r="C624" s="2" t="s">
        <v>69</v>
      </c>
      <c r="D624" s="1" t="s">
        <v>70</v>
      </c>
    </row>
    <row r="625">
      <c r="A625" s="2" t="s">
        <v>623</v>
      </c>
      <c r="B625" s="1" t="s">
        <v>624</v>
      </c>
      <c r="C625" s="2" t="s">
        <v>49</v>
      </c>
      <c r="D625" s="1" t="s">
        <v>50</v>
      </c>
    </row>
    <row r="626">
      <c r="A626" s="2" t="s">
        <v>617</v>
      </c>
      <c r="B626" s="1" t="s">
        <v>618</v>
      </c>
      <c r="C626" s="2" t="s">
        <v>508</v>
      </c>
      <c r="D626" s="1" t="s">
        <v>509</v>
      </c>
    </row>
    <row r="627">
      <c r="A627" s="2" t="s">
        <v>317</v>
      </c>
      <c r="B627" s="1" t="s">
        <v>318</v>
      </c>
      <c r="C627" s="2" t="s">
        <v>69</v>
      </c>
      <c r="D627" s="1" t="s">
        <v>70</v>
      </c>
    </row>
    <row r="628">
      <c r="A628" s="2" t="s">
        <v>611</v>
      </c>
      <c r="B628" s="1" t="s">
        <v>612</v>
      </c>
      <c r="C628" s="2" t="s">
        <v>221</v>
      </c>
      <c r="D628" s="1" t="s">
        <v>222</v>
      </c>
    </row>
    <row r="629">
      <c r="A629" s="2" t="s">
        <v>625</v>
      </c>
      <c r="B629" s="1" t="s">
        <v>626</v>
      </c>
      <c r="C629" s="2" t="s">
        <v>604</v>
      </c>
      <c r="D629" s="1" t="s">
        <v>605</v>
      </c>
    </row>
    <row r="630">
      <c r="A630" s="2" t="s">
        <v>627</v>
      </c>
      <c r="B630" s="1" t="s">
        <v>628</v>
      </c>
      <c r="C630" s="2" t="s">
        <v>280</v>
      </c>
      <c r="D630" s="1" t="s">
        <v>281</v>
      </c>
      <c r="E630" s="2" t="s">
        <v>629</v>
      </c>
    </row>
    <row r="631">
      <c r="A631" s="2" t="s">
        <v>630</v>
      </c>
      <c r="B631" s="1" t="s">
        <v>631</v>
      </c>
      <c r="C631" s="2" t="s">
        <v>490</v>
      </c>
      <c r="D631" s="1" t="s">
        <v>491</v>
      </c>
    </row>
    <row r="632">
      <c r="A632" s="2" t="s">
        <v>615</v>
      </c>
      <c r="B632" s="1" t="s">
        <v>616</v>
      </c>
      <c r="C632" s="2" t="s">
        <v>221</v>
      </c>
      <c r="D632" s="1" t="s">
        <v>222</v>
      </c>
    </row>
    <row r="633">
      <c r="A633" s="2" t="s">
        <v>632</v>
      </c>
      <c r="B633" s="1" t="s">
        <v>633</v>
      </c>
      <c r="C633" s="2" t="s">
        <v>202</v>
      </c>
      <c r="D633" s="1" t="s">
        <v>203</v>
      </c>
    </row>
    <row r="634">
      <c r="A634" s="2" t="s">
        <v>634</v>
      </c>
      <c r="B634" s="1" t="s">
        <v>635</v>
      </c>
      <c r="C634" s="2" t="s">
        <v>636</v>
      </c>
      <c r="D634" s="1" t="s">
        <v>637</v>
      </c>
      <c r="E634" s="2" t="s">
        <v>638</v>
      </c>
    </row>
    <row r="635">
      <c r="A635" s="2" t="s">
        <v>639</v>
      </c>
      <c r="B635" s="1" t="s">
        <v>640</v>
      </c>
      <c r="C635" s="2" t="s">
        <v>216</v>
      </c>
      <c r="D635" s="1" t="s">
        <v>217</v>
      </c>
    </row>
    <row r="636">
      <c r="A636" s="2" t="s">
        <v>639</v>
      </c>
      <c r="B636" s="1" t="s">
        <v>640</v>
      </c>
      <c r="C636" s="2" t="s">
        <v>43</v>
      </c>
      <c r="D636" s="1" t="s">
        <v>44</v>
      </c>
    </row>
    <row r="637">
      <c r="A637" s="2" t="s">
        <v>621</v>
      </c>
      <c r="B637" s="1" t="s">
        <v>622</v>
      </c>
      <c r="C637" s="2" t="s">
        <v>641</v>
      </c>
      <c r="D637" s="1" t="s">
        <v>642</v>
      </c>
    </row>
    <row r="638">
      <c r="A638" s="2" t="s">
        <v>643</v>
      </c>
      <c r="B638" s="1" t="s">
        <v>644</v>
      </c>
      <c r="C638" s="2" t="s">
        <v>645</v>
      </c>
      <c r="D638" s="1" t="s">
        <v>646</v>
      </c>
    </row>
    <row r="639">
      <c r="A639" s="2" t="s">
        <v>623</v>
      </c>
      <c r="B639" s="1" t="s">
        <v>624</v>
      </c>
      <c r="C639" s="2" t="s">
        <v>647</v>
      </c>
      <c r="D639" s="1" t="s">
        <v>648</v>
      </c>
    </row>
    <row r="640">
      <c r="A640" s="2" t="s">
        <v>649</v>
      </c>
      <c r="B640" s="1" t="s">
        <v>650</v>
      </c>
      <c r="C640" s="2" t="s">
        <v>651</v>
      </c>
      <c r="D640" s="1" t="s">
        <v>652</v>
      </c>
    </row>
    <row r="641">
      <c r="A641" s="2" t="s">
        <v>653</v>
      </c>
      <c r="B641" s="1" t="s">
        <v>654</v>
      </c>
      <c r="C641" s="2" t="s">
        <v>490</v>
      </c>
      <c r="D641" s="1" t="s">
        <v>491</v>
      </c>
    </row>
    <row r="642">
      <c r="A642" s="2" t="s">
        <v>632</v>
      </c>
      <c r="B642" s="1" t="s">
        <v>633</v>
      </c>
      <c r="C642" s="2" t="s">
        <v>43</v>
      </c>
      <c r="D642" s="1" t="s">
        <v>44</v>
      </c>
    </row>
    <row r="643">
      <c r="A643" s="2" t="s">
        <v>632</v>
      </c>
      <c r="B643" s="1" t="s">
        <v>633</v>
      </c>
      <c r="C643" s="2" t="s">
        <v>79</v>
      </c>
      <c r="D643" s="1" t="s">
        <v>80</v>
      </c>
    </row>
    <row r="644">
      <c r="A644" s="2" t="s">
        <v>655</v>
      </c>
      <c r="B644" s="1" t="s">
        <v>656</v>
      </c>
      <c r="C644" s="2" t="s">
        <v>53</v>
      </c>
      <c r="D644" s="1" t="s">
        <v>54</v>
      </c>
    </row>
    <row r="645">
      <c r="A645" s="2" t="s">
        <v>655</v>
      </c>
      <c r="B645" s="1" t="s">
        <v>656</v>
      </c>
      <c r="C645" s="2" t="s">
        <v>202</v>
      </c>
      <c r="D645" s="1" t="s">
        <v>203</v>
      </c>
    </row>
    <row r="646">
      <c r="A646" s="2" t="s">
        <v>657</v>
      </c>
      <c r="B646" s="1" t="s">
        <v>658</v>
      </c>
      <c r="C646" s="2" t="s">
        <v>202</v>
      </c>
      <c r="D646" s="1" t="s">
        <v>203</v>
      </c>
    </row>
    <row r="647">
      <c r="A647" s="2" t="s">
        <v>659</v>
      </c>
      <c r="B647" s="1" t="s">
        <v>660</v>
      </c>
      <c r="C647" s="2" t="s">
        <v>607</v>
      </c>
      <c r="D647" s="1" t="s">
        <v>608</v>
      </c>
    </row>
    <row r="648">
      <c r="A648" s="2" t="s">
        <v>611</v>
      </c>
      <c r="B648" s="1" t="s">
        <v>612</v>
      </c>
      <c r="C648" s="2" t="s">
        <v>22</v>
      </c>
      <c r="D648" s="1" t="s">
        <v>23</v>
      </c>
    </row>
    <row r="649">
      <c r="A649" s="2" t="s">
        <v>661</v>
      </c>
      <c r="B649" s="1" t="s">
        <v>662</v>
      </c>
      <c r="C649" s="2" t="s">
        <v>41</v>
      </c>
      <c r="D649" s="1" t="s">
        <v>42</v>
      </c>
    </row>
    <row r="650">
      <c r="A650" s="2" t="s">
        <v>661</v>
      </c>
      <c r="B650" s="1" t="s">
        <v>662</v>
      </c>
      <c r="C650" s="2" t="s">
        <v>43</v>
      </c>
      <c r="D650" s="1" t="s">
        <v>44</v>
      </c>
    </row>
    <row r="651">
      <c r="A651" s="2" t="s">
        <v>627</v>
      </c>
      <c r="B651" s="1" t="s">
        <v>628</v>
      </c>
      <c r="C651" s="2" t="s">
        <v>22</v>
      </c>
      <c r="D651" s="1" t="s">
        <v>23</v>
      </c>
      <c r="E651" s="2" t="s">
        <v>629</v>
      </c>
    </row>
    <row r="652">
      <c r="A652" s="2" t="s">
        <v>655</v>
      </c>
      <c r="B652" s="1" t="s">
        <v>656</v>
      </c>
      <c r="C652" s="2" t="s">
        <v>41</v>
      </c>
      <c r="D652" s="1" t="s">
        <v>42</v>
      </c>
    </row>
    <row r="653">
      <c r="A653" s="2" t="s">
        <v>663</v>
      </c>
      <c r="B653" s="1" t="s">
        <v>664</v>
      </c>
      <c r="C653" s="2" t="s">
        <v>665</v>
      </c>
      <c r="D653" s="1" t="s">
        <v>666</v>
      </c>
    </row>
    <row r="654">
      <c r="A654" s="2" t="s">
        <v>657</v>
      </c>
      <c r="B654" s="1" t="s">
        <v>658</v>
      </c>
      <c r="C654" s="2" t="s">
        <v>41</v>
      </c>
      <c r="D654" s="1" t="s">
        <v>42</v>
      </c>
    </row>
    <row r="655">
      <c r="A655" s="2" t="s">
        <v>667</v>
      </c>
      <c r="B655" s="1" t="s">
        <v>668</v>
      </c>
      <c r="C655" s="2" t="s">
        <v>41</v>
      </c>
      <c r="D655" s="1" t="s">
        <v>42</v>
      </c>
    </row>
    <row r="656">
      <c r="A656" s="2" t="s">
        <v>667</v>
      </c>
      <c r="B656" s="1" t="s">
        <v>668</v>
      </c>
      <c r="C656" s="2" t="s">
        <v>288</v>
      </c>
      <c r="D656" s="1" t="s">
        <v>289</v>
      </c>
    </row>
    <row r="657">
      <c r="A657" s="2" t="s">
        <v>602</v>
      </c>
      <c r="B657" s="1" t="s">
        <v>603</v>
      </c>
      <c r="C657" s="2" t="s">
        <v>151</v>
      </c>
      <c r="D657" s="1" t="s">
        <v>152</v>
      </c>
      <c r="E657" s="2" t="s">
        <v>606</v>
      </c>
    </row>
    <row r="658">
      <c r="A658" s="2" t="s">
        <v>669</v>
      </c>
      <c r="B658" s="1" t="s">
        <v>670</v>
      </c>
      <c r="C658" s="2" t="s">
        <v>41</v>
      </c>
      <c r="D658" s="1" t="s">
        <v>42</v>
      </c>
    </row>
    <row r="659">
      <c r="A659" s="2" t="s">
        <v>671</v>
      </c>
      <c r="B659" s="1" t="s">
        <v>672</v>
      </c>
      <c r="C659" s="2" t="s">
        <v>41</v>
      </c>
      <c r="D659" s="1" t="s">
        <v>42</v>
      </c>
    </row>
    <row r="660">
      <c r="A660" s="2" t="s">
        <v>669</v>
      </c>
      <c r="B660" s="1" t="s">
        <v>670</v>
      </c>
      <c r="C660" s="2" t="s">
        <v>288</v>
      </c>
      <c r="D660" s="1" t="s">
        <v>289</v>
      </c>
    </row>
    <row r="661">
      <c r="A661" s="2" t="s">
        <v>655</v>
      </c>
      <c r="B661" s="1" t="s">
        <v>656</v>
      </c>
      <c r="C661" s="2" t="s">
        <v>43</v>
      </c>
      <c r="D661" s="1" t="s">
        <v>44</v>
      </c>
    </row>
    <row r="662">
      <c r="A662" s="2" t="s">
        <v>657</v>
      </c>
      <c r="B662" s="1" t="s">
        <v>658</v>
      </c>
      <c r="C662" s="2" t="s">
        <v>133</v>
      </c>
      <c r="D662" s="1" t="s">
        <v>134</v>
      </c>
    </row>
    <row r="663">
      <c r="A663" s="2" t="s">
        <v>657</v>
      </c>
      <c r="B663" s="1" t="s">
        <v>658</v>
      </c>
      <c r="C663" s="2" t="s">
        <v>43</v>
      </c>
      <c r="D663" s="1" t="s">
        <v>44</v>
      </c>
    </row>
    <row r="664">
      <c r="A664" s="2" t="s">
        <v>667</v>
      </c>
      <c r="B664" s="1" t="s">
        <v>668</v>
      </c>
      <c r="C664" s="2" t="s">
        <v>43</v>
      </c>
      <c r="D664" s="1" t="s">
        <v>44</v>
      </c>
    </row>
    <row r="665">
      <c r="A665" s="2" t="s">
        <v>669</v>
      </c>
      <c r="B665" s="1" t="s">
        <v>670</v>
      </c>
      <c r="C665" s="2" t="s">
        <v>43</v>
      </c>
      <c r="D665" s="1" t="s">
        <v>44</v>
      </c>
    </row>
    <row r="666">
      <c r="A666" s="2" t="s">
        <v>671</v>
      </c>
      <c r="B666" s="1" t="s">
        <v>672</v>
      </c>
      <c r="C666" s="2" t="s">
        <v>43</v>
      </c>
      <c r="D666" s="1" t="s">
        <v>44</v>
      </c>
    </row>
    <row r="667">
      <c r="A667" s="2" t="s">
        <v>615</v>
      </c>
      <c r="B667" s="1" t="s">
        <v>616</v>
      </c>
      <c r="C667" s="2" t="s">
        <v>22</v>
      </c>
      <c r="D667" s="1" t="s">
        <v>23</v>
      </c>
    </row>
    <row r="668">
      <c r="A668" s="2" t="s">
        <v>655</v>
      </c>
      <c r="B668" s="1" t="s">
        <v>656</v>
      </c>
      <c r="C668" s="2" t="s">
        <v>86</v>
      </c>
      <c r="D668" s="1" t="s">
        <v>87</v>
      </c>
    </row>
    <row r="669">
      <c r="A669" s="2" t="s">
        <v>657</v>
      </c>
      <c r="B669" s="1" t="s">
        <v>658</v>
      </c>
      <c r="C669" s="2" t="s">
        <v>86</v>
      </c>
      <c r="D669" s="1" t="s">
        <v>87</v>
      </c>
    </row>
    <row r="670">
      <c r="A670" s="2" t="s">
        <v>592</v>
      </c>
      <c r="B670" s="1" t="s">
        <v>593</v>
      </c>
      <c r="C670" s="2" t="s">
        <v>673</v>
      </c>
      <c r="D670" s="1" t="s">
        <v>674</v>
      </c>
    </row>
    <row r="671">
      <c r="A671" s="2" t="s">
        <v>655</v>
      </c>
      <c r="B671" s="1" t="s">
        <v>656</v>
      </c>
      <c r="C671" s="2" t="s">
        <v>49</v>
      </c>
      <c r="D671" s="1" t="s">
        <v>50</v>
      </c>
    </row>
    <row r="672">
      <c r="A672" s="2" t="s">
        <v>657</v>
      </c>
      <c r="B672" s="1" t="s">
        <v>658</v>
      </c>
      <c r="C672" s="2" t="s">
        <v>49</v>
      </c>
      <c r="D672" s="1" t="s">
        <v>50</v>
      </c>
    </row>
    <row r="673">
      <c r="A673" s="2" t="s">
        <v>667</v>
      </c>
      <c r="B673" s="1" t="s">
        <v>668</v>
      </c>
      <c r="C673" s="2" t="s">
        <v>49</v>
      </c>
      <c r="D673" s="1" t="s">
        <v>50</v>
      </c>
    </row>
    <row r="674">
      <c r="A674" s="2" t="s">
        <v>669</v>
      </c>
      <c r="B674" s="1" t="s">
        <v>670</v>
      </c>
      <c r="C674" s="2" t="s">
        <v>49</v>
      </c>
      <c r="D674" s="1" t="s">
        <v>50</v>
      </c>
    </row>
    <row r="675">
      <c r="A675" s="2" t="s">
        <v>671</v>
      </c>
      <c r="B675" s="1" t="s">
        <v>672</v>
      </c>
      <c r="C675" s="2" t="s">
        <v>49</v>
      </c>
      <c r="D675" s="1" t="s">
        <v>50</v>
      </c>
    </row>
    <row r="676">
      <c r="A676" s="2" t="s">
        <v>632</v>
      </c>
      <c r="B676" s="1" t="s">
        <v>633</v>
      </c>
      <c r="C676" s="2" t="s">
        <v>306</v>
      </c>
      <c r="D676" s="1" t="s">
        <v>307</v>
      </c>
    </row>
    <row r="677">
      <c r="A677" s="2" t="s">
        <v>663</v>
      </c>
      <c r="B677" s="1" t="s">
        <v>664</v>
      </c>
      <c r="C677" s="2" t="s">
        <v>675</v>
      </c>
      <c r="D677" s="1" t="s">
        <v>676</v>
      </c>
    </row>
    <row r="678">
      <c r="A678" s="2" t="s">
        <v>643</v>
      </c>
      <c r="B678" s="1" t="s">
        <v>644</v>
      </c>
      <c r="C678" s="2" t="s">
        <v>677</v>
      </c>
      <c r="D678" s="1" t="s">
        <v>678</v>
      </c>
    </row>
    <row r="679">
      <c r="A679" s="2" t="s">
        <v>679</v>
      </c>
      <c r="B679" s="1" t="s">
        <v>680</v>
      </c>
      <c r="C679" s="2" t="s">
        <v>520</v>
      </c>
      <c r="D679" s="1" t="s">
        <v>521</v>
      </c>
    </row>
    <row r="680">
      <c r="A680" s="2" t="s">
        <v>661</v>
      </c>
      <c r="B680" s="1" t="s">
        <v>662</v>
      </c>
      <c r="C680" s="2" t="s">
        <v>69</v>
      </c>
      <c r="D680" s="1" t="s">
        <v>70</v>
      </c>
    </row>
    <row r="681">
      <c r="A681" s="2" t="s">
        <v>667</v>
      </c>
      <c r="B681" s="1" t="s">
        <v>668</v>
      </c>
      <c r="C681" s="2" t="s">
        <v>92</v>
      </c>
      <c r="D681" s="1" t="s">
        <v>93</v>
      </c>
    </row>
    <row r="682">
      <c r="A682" s="2" t="s">
        <v>596</v>
      </c>
      <c r="B682" s="1" t="s">
        <v>597</v>
      </c>
      <c r="C682" s="2" t="s">
        <v>41</v>
      </c>
      <c r="D682" s="1" t="s">
        <v>42</v>
      </c>
    </row>
    <row r="683">
      <c r="A683" s="2" t="s">
        <v>613</v>
      </c>
      <c r="B683" s="1" t="s">
        <v>614</v>
      </c>
      <c r="C683" s="2" t="s">
        <v>681</v>
      </c>
      <c r="D683" s="1" t="s">
        <v>682</v>
      </c>
    </row>
    <row r="684">
      <c r="A684" s="2" t="s">
        <v>683</v>
      </c>
      <c r="B684" s="1" t="s">
        <v>684</v>
      </c>
    </row>
    <row r="685">
      <c r="A685" s="2" t="s">
        <v>685</v>
      </c>
      <c r="B685" s="1" t="s">
        <v>686</v>
      </c>
    </row>
    <row r="686">
      <c r="A686" s="2" t="s">
        <v>667</v>
      </c>
      <c r="B686" s="1" t="s">
        <v>668</v>
      </c>
      <c r="C686" s="2" t="s">
        <v>69</v>
      </c>
      <c r="D686" s="1" t="s">
        <v>70</v>
      </c>
    </row>
    <row r="687">
      <c r="A687" s="2" t="s">
        <v>669</v>
      </c>
      <c r="B687" s="1" t="s">
        <v>670</v>
      </c>
      <c r="C687" s="2" t="s">
        <v>69</v>
      </c>
      <c r="D687" s="1" t="s">
        <v>70</v>
      </c>
    </row>
    <row r="688">
      <c r="A688" s="2" t="s">
        <v>687</v>
      </c>
      <c r="B688" s="1" t="s">
        <v>688</v>
      </c>
    </row>
    <row r="689">
      <c r="A689" s="2" t="s">
        <v>671</v>
      </c>
      <c r="B689" s="1" t="s">
        <v>672</v>
      </c>
      <c r="C689" s="2" t="s">
        <v>69</v>
      </c>
      <c r="D689" s="1" t="s">
        <v>70</v>
      </c>
    </row>
    <row r="690">
      <c r="A690" s="2" t="s">
        <v>689</v>
      </c>
      <c r="B690" s="1" t="s">
        <v>690</v>
      </c>
      <c r="C690" s="2" t="s">
        <v>69</v>
      </c>
      <c r="D690" s="1" t="s">
        <v>70</v>
      </c>
    </row>
    <row r="691">
      <c r="A691" s="2" t="s">
        <v>691</v>
      </c>
      <c r="B691" s="1" t="s">
        <v>692</v>
      </c>
      <c r="C691" s="2" t="s">
        <v>69</v>
      </c>
      <c r="D691" s="1" t="s">
        <v>70</v>
      </c>
    </row>
    <row r="692">
      <c r="A692" s="2" t="s">
        <v>693</v>
      </c>
      <c r="B692" s="1" t="s">
        <v>694</v>
      </c>
      <c r="C692" s="2" t="s">
        <v>41</v>
      </c>
      <c r="D692" s="1" t="s">
        <v>42</v>
      </c>
    </row>
    <row r="693">
      <c r="A693" s="2" t="s">
        <v>695</v>
      </c>
      <c r="B693" s="1" t="s">
        <v>696</v>
      </c>
      <c r="C693" s="2" t="s">
        <v>151</v>
      </c>
      <c r="D693" s="1" t="s">
        <v>152</v>
      </c>
    </row>
    <row r="694">
      <c r="A694" s="2" t="s">
        <v>693</v>
      </c>
      <c r="B694" s="1" t="s">
        <v>694</v>
      </c>
      <c r="C694" s="2" t="s">
        <v>49</v>
      </c>
      <c r="D694" s="1" t="s">
        <v>50</v>
      </c>
    </row>
    <row r="695">
      <c r="A695" s="2" t="s">
        <v>697</v>
      </c>
      <c r="B695" s="1" t="s">
        <v>698</v>
      </c>
      <c r="C695" s="2" t="s">
        <v>69</v>
      </c>
      <c r="D695" s="1" t="s">
        <v>70</v>
      </c>
    </row>
    <row r="696">
      <c r="A696" s="2" t="s">
        <v>699</v>
      </c>
      <c r="B696" s="1" t="s">
        <v>700</v>
      </c>
      <c r="C696" s="2" t="s">
        <v>162</v>
      </c>
      <c r="D696" s="1" t="s">
        <v>163</v>
      </c>
    </row>
    <row r="697">
      <c r="A697" s="2" t="s">
        <v>701</v>
      </c>
      <c r="B697" s="1" t="s">
        <v>702</v>
      </c>
      <c r="C697" s="2" t="s">
        <v>703</v>
      </c>
      <c r="D697" s="1" t="s">
        <v>704</v>
      </c>
    </row>
    <row r="698">
      <c r="A698" s="2" t="s">
        <v>699</v>
      </c>
      <c r="B698" s="1" t="s">
        <v>700</v>
      </c>
      <c r="C698" s="2" t="s">
        <v>133</v>
      </c>
      <c r="D698" s="1" t="s">
        <v>134</v>
      </c>
    </row>
    <row r="699">
      <c r="A699" s="2" t="s">
        <v>699</v>
      </c>
      <c r="B699" s="1" t="s">
        <v>700</v>
      </c>
      <c r="C699" s="2" t="s">
        <v>49</v>
      </c>
      <c r="D699" s="1" t="s">
        <v>50</v>
      </c>
    </row>
    <row r="700">
      <c r="A700" s="2" t="s">
        <v>705</v>
      </c>
      <c r="B700" s="1" t="s">
        <v>706</v>
      </c>
      <c r="C700" s="2" t="s">
        <v>673</v>
      </c>
      <c r="D700" s="1" t="s">
        <v>674</v>
      </c>
    </row>
    <row r="701">
      <c r="A701" s="2" t="s">
        <v>705</v>
      </c>
      <c r="B701" s="1" t="s">
        <v>706</v>
      </c>
      <c r="C701" s="2" t="s">
        <v>490</v>
      </c>
      <c r="D701" s="1" t="s">
        <v>491</v>
      </c>
    </row>
    <row r="702">
      <c r="A702" s="2" t="s">
        <v>693</v>
      </c>
      <c r="B702" s="1" t="s">
        <v>694</v>
      </c>
      <c r="C702" s="2" t="s">
        <v>508</v>
      </c>
      <c r="D702" s="1" t="s">
        <v>509</v>
      </c>
    </row>
    <row r="703">
      <c r="A703" s="2" t="s">
        <v>707</v>
      </c>
      <c r="B703" s="1" t="s">
        <v>708</v>
      </c>
      <c r="C703" s="2" t="s">
        <v>22</v>
      </c>
      <c r="D703" s="1" t="s">
        <v>23</v>
      </c>
    </row>
    <row r="704">
      <c r="A704" s="2" t="s">
        <v>709</v>
      </c>
      <c r="B704" s="1" t="s">
        <v>710</v>
      </c>
      <c r="C704" s="2" t="s">
        <v>711</v>
      </c>
      <c r="D704" s="1" t="s">
        <v>712</v>
      </c>
    </row>
    <row r="705">
      <c r="A705" s="2" t="s">
        <v>713</v>
      </c>
      <c r="B705" s="1" t="s">
        <v>714</v>
      </c>
      <c r="C705" s="2" t="s">
        <v>143</v>
      </c>
      <c r="D705" s="1" t="s">
        <v>144</v>
      </c>
    </row>
    <row r="706">
      <c r="A706" s="2" t="s">
        <v>693</v>
      </c>
      <c r="B706" s="1" t="s">
        <v>694</v>
      </c>
      <c r="C706" s="2" t="s">
        <v>69</v>
      </c>
      <c r="D706" s="1" t="s">
        <v>70</v>
      </c>
    </row>
    <row r="707">
      <c r="A707" s="2" t="s">
        <v>715</v>
      </c>
      <c r="B707" s="1" t="s">
        <v>716</v>
      </c>
      <c r="C707" s="2" t="s">
        <v>717</v>
      </c>
      <c r="D707" s="1" t="s">
        <v>718</v>
      </c>
    </row>
    <row r="708">
      <c r="A708" s="2" t="s">
        <v>709</v>
      </c>
      <c r="B708" s="1" t="s">
        <v>710</v>
      </c>
      <c r="C708" s="2" t="s">
        <v>22</v>
      </c>
      <c r="D708" s="1" t="s">
        <v>23</v>
      </c>
    </row>
    <row r="709">
      <c r="A709" s="2" t="s">
        <v>709</v>
      </c>
      <c r="B709" s="1" t="s">
        <v>710</v>
      </c>
      <c r="C709" s="2" t="s">
        <v>25</v>
      </c>
      <c r="D709" s="1" t="s">
        <v>26</v>
      </c>
    </row>
    <row r="710">
      <c r="A710" s="2" t="s">
        <v>502</v>
      </c>
      <c r="B710" s="1" t="s">
        <v>503</v>
      </c>
      <c r="C710" s="2" t="s">
        <v>41</v>
      </c>
      <c r="D710" s="1" t="s">
        <v>42</v>
      </c>
    </row>
    <row r="711">
      <c r="A711" s="2" t="s">
        <v>719</v>
      </c>
      <c r="B711" s="1" t="s">
        <v>720</v>
      </c>
      <c r="C711" s="2" t="s">
        <v>41</v>
      </c>
      <c r="D711" s="1" t="s">
        <v>42</v>
      </c>
    </row>
    <row r="712">
      <c r="A712" s="2" t="s">
        <v>502</v>
      </c>
      <c r="B712" s="1" t="s">
        <v>503</v>
      </c>
      <c r="C712" s="2" t="s">
        <v>133</v>
      </c>
      <c r="D712" s="1" t="s">
        <v>134</v>
      </c>
    </row>
    <row r="713">
      <c r="A713" s="2" t="s">
        <v>719</v>
      </c>
      <c r="B713" s="1" t="s">
        <v>720</v>
      </c>
      <c r="C713" s="2" t="s">
        <v>133</v>
      </c>
      <c r="D713" s="1" t="s">
        <v>134</v>
      </c>
    </row>
    <row r="714">
      <c r="A714" s="2" t="s">
        <v>719</v>
      </c>
      <c r="B714" s="1" t="s">
        <v>720</v>
      </c>
      <c r="C714" s="2" t="s">
        <v>43</v>
      </c>
      <c r="D714" s="1" t="s">
        <v>44</v>
      </c>
    </row>
    <row r="715">
      <c r="A715" s="2" t="s">
        <v>721</v>
      </c>
      <c r="B715" s="1" t="s">
        <v>722</v>
      </c>
      <c r="C715" s="2" t="s">
        <v>118</v>
      </c>
      <c r="D715" s="1" t="s">
        <v>119</v>
      </c>
    </row>
    <row r="716">
      <c r="A716" s="2" t="s">
        <v>723</v>
      </c>
      <c r="B716" s="1" t="s">
        <v>724</v>
      </c>
      <c r="C716" s="2" t="s">
        <v>41</v>
      </c>
      <c r="D716" s="1" t="s">
        <v>42</v>
      </c>
    </row>
    <row r="717">
      <c r="A717" s="2" t="s">
        <v>725</v>
      </c>
      <c r="B717" s="1" t="s">
        <v>726</v>
      </c>
      <c r="C717" s="2" t="s">
        <v>727</v>
      </c>
      <c r="D717" s="1" t="s">
        <v>728</v>
      </c>
    </row>
    <row r="718">
      <c r="A718" s="2" t="s">
        <v>502</v>
      </c>
      <c r="B718" s="1" t="s">
        <v>503</v>
      </c>
      <c r="C718" s="2" t="s">
        <v>49</v>
      </c>
      <c r="D718" s="1" t="s">
        <v>50</v>
      </c>
    </row>
    <row r="719">
      <c r="A719" s="2" t="s">
        <v>723</v>
      </c>
      <c r="B719" s="1" t="s">
        <v>724</v>
      </c>
      <c r="C719" s="2" t="s">
        <v>133</v>
      </c>
      <c r="D719" s="1" t="s">
        <v>134</v>
      </c>
    </row>
    <row r="720">
      <c r="A720" s="2" t="s">
        <v>723</v>
      </c>
      <c r="B720" s="1" t="s">
        <v>724</v>
      </c>
      <c r="C720" s="2" t="s">
        <v>43</v>
      </c>
      <c r="D720" s="1" t="s">
        <v>44</v>
      </c>
    </row>
    <row r="721">
      <c r="A721" s="2" t="s">
        <v>719</v>
      </c>
      <c r="B721" s="1" t="s">
        <v>720</v>
      </c>
      <c r="C721" s="2" t="s">
        <v>49</v>
      </c>
      <c r="D721" s="1" t="s">
        <v>50</v>
      </c>
    </row>
    <row r="722">
      <c r="A722" s="2" t="s">
        <v>723</v>
      </c>
      <c r="B722" s="1" t="s">
        <v>724</v>
      </c>
      <c r="C722" s="2" t="s">
        <v>49</v>
      </c>
      <c r="D722" s="1" t="s">
        <v>50</v>
      </c>
    </row>
    <row r="723">
      <c r="A723" s="2" t="s">
        <v>719</v>
      </c>
      <c r="B723" s="1" t="s">
        <v>720</v>
      </c>
      <c r="C723" s="2" t="s">
        <v>90</v>
      </c>
      <c r="D723" s="1" t="s">
        <v>91</v>
      </c>
    </row>
    <row r="724">
      <c r="A724" s="2" t="s">
        <v>729</v>
      </c>
      <c r="B724" s="1" t="s">
        <v>730</v>
      </c>
      <c r="C724" s="2" t="s">
        <v>84</v>
      </c>
      <c r="D724" s="1" t="s">
        <v>85</v>
      </c>
    </row>
    <row r="725">
      <c r="A725" s="2" t="s">
        <v>731</v>
      </c>
      <c r="B725" s="1" t="s">
        <v>732</v>
      </c>
      <c r="C725" s="2" t="s">
        <v>41</v>
      </c>
      <c r="D725" s="1" t="s">
        <v>42</v>
      </c>
    </row>
    <row r="726">
      <c r="A726" s="2" t="s">
        <v>731</v>
      </c>
      <c r="B726" s="1" t="s">
        <v>732</v>
      </c>
      <c r="C726" s="2" t="s">
        <v>43</v>
      </c>
      <c r="D726" s="1" t="s">
        <v>44</v>
      </c>
    </row>
    <row r="727">
      <c r="A727" s="2" t="s">
        <v>733</v>
      </c>
      <c r="B727" s="1" t="s">
        <v>734</v>
      </c>
      <c r="C727" s="2" t="s">
        <v>151</v>
      </c>
      <c r="D727" s="1" t="s">
        <v>152</v>
      </c>
      <c r="E727" s="2" t="s">
        <v>735</v>
      </c>
    </row>
    <row r="728">
      <c r="A728" s="2" t="s">
        <v>736</v>
      </c>
      <c r="B728" s="1" t="s">
        <v>737</v>
      </c>
      <c r="C728" s="2" t="s">
        <v>49</v>
      </c>
      <c r="D728" s="1" t="s">
        <v>50</v>
      </c>
      <c r="E728" s="2" t="s">
        <v>738</v>
      </c>
    </row>
    <row r="729">
      <c r="A729" s="2" t="s">
        <v>731</v>
      </c>
      <c r="B729" s="1" t="s">
        <v>732</v>
      </c>
      <c r="C729" s="2" t="s">
        <v>739</v>
      </c>
      <c r="D729" s="1" t="s">
        <v>740</v>
      </c>
    </row>
    <row r="730">
      <c r="A730" s="2" t="s">
        <v>731</v>
      </c>
      <c r="B730" s="1" t="s">
        <v>732</v>
      </c>
      <c r="C730" s="2" t="s">
        <v>49</v>
      </c>
      <c r="D730" s="1" t="s">
        <v>50</v>
      </c>
    </row>
    <row r="731">
      <c r="A731" s="2" t="s">
        <v>731</v>
      </c>
      <c r="B731" s="1" t="s">
        <v>732</v>
      </c>
      <c r="C731" s="2" t="s">
        <v>90</v>
      </c>
      <c r="D731" s="1" t="s">
        <v>91</v>
      </c>
    </row>
    <row r="732">
      <c r="A732" s="2" t="s">
        <v>502</v>
      </c>
      <c r="B732" s="1" t="s">
        <v>503</v>
      </c>
      <c r="C732" s="2" t="s">
        <v>69</v>
      </c>
      <c r="D732" s="1" t="s">
        <v>70</v>
      </c>
    </row>
    <row r="733">
      <c r="A733" s="2" t="s">
        <v>741</v>
      </c>
      <c r="B733" s="1" t="s">
        <v>742</v>
      </c>
      <c r="C733" s="2" t="s">
        <v>743</v>
      </c>
      <c r="D733" s="1" t="s">
        <v>744</v>
      </c>
    </row>
    <row r="734">
      <c r="A734" s="2" t="s">
        <v>729</v>
      </c>
      <c r="B734" s="1" t="s">
        <v>730</v>
      </c>
      <c r="C734" s="2" t="s">
        <v>604</v>
      </c>
      <c r="D734" s="1" t="s">
        <v>605</v>
      </c>
    </row>
    <row r="735">
      <c r="A735" s="2" t="s">
        <v>715</v>
      </c>
      <c r="B735" s="1" t="s">
        <v>716</v>
      </c>
      <c r="C735" s="2" t="s">
        <v>151</v>
      </c>
      <c r="D735" s="1" t="s">
        <v>152</v>
      </c>
    </row>
    <row r="736">
      <c r="A736" s="2" t="s">
        <v>741</v>
      </c>
      <c r="B736" s="1" t="s">
        <v>742</v>
      </c>
      <c r="C736" s="2" t="s">
        <v>745</v>
      </c>
      <c r="D736" s="1" t="s">
        <v>746</v>
      </c>
    </row>
    <row r="737">
      <c r="A737" s="2" t="s">
        <v>723</v>
      </c>
      <c r="B737" s="1" t="s">
        <v>724</v>
      </c>
      <c r="C737" s="2" t="s">
        <v>69</v>
      </c>
      <c r="D737" s="1" t="s">
        <v>70</v>
      </c>
    </row>
    <row r="738">
      <c r="A738" s="2" t="s">
        <v>695</v>
      </c>
      <c r="B738" s="1" t="s">
        <v>696</v>
      </c>
      <c r="C738" s="2" t="s">
        <v>247</v>
      </c>
      <c r="D738" s="1" t="s">
        <v>248</v>
      </c>
    </row>
    <row r="739">
      <c r="A739" s="2" t="s">
        <v>731</v>
      </c>
      <c r="B739" s="1" t="s">
        <v>732</v>
      </c>
      <c r="C739" s="2" t="s">
        <v>69</v>
      </c>
      <c r="D739" s="1" t="s">
        <v>70</v>
      </c>
    </row>
    <row r="740">
      <c r="A740" s="2" t="s">
        <v>699</v>
      </c>
      <c r="B740" s="1" t="s">
        <v>700</v>
      </c>
      <c r="C740" s="2" t="s">
        <v>151</v>
      </c>
      <c r="D740" s="1" t="s">
        <v>152</v>
      </c>
    </row>
    <row r="741">
      <c r="A741" s="2" t="s">
        <v>736</v>
      </c>
      <c r="B741" s="1" t="s">
        <v>737</v>
      </c>
      <c r="C741" s="2" t="s">
        <v>133</v>
      </c>
      <c r="D741" s="1" t="s">
        <v>134</v>
      </c>
      <c r="E741" s="2" t="s">
        <v>738</v>
      </c>
    </row>
    <row r="742">
      <c r="A742" s="2" t="s">
        <v>713</v>
      </c>
      <c r="B742" s="1" t="s">
        <v>714</v>
      </c>
      <c r="C742" s="2" t="s">
        <v>41</v>
      </c>
      <c r="D742" s="1" t="s">
        <v>42</v>
      </c>
    </row>
    <row r="743">
      <c r="A743" s="2" t="s">
        <v>747</v>
      </c>
      <c r="B743" s="1" t="s">
        <v>748</v>
      </c>
      <c r="C743" s="2" t="s">
        <v>12</v>
      </c>
      <c r="D743" s="1" t="s">
        <v>13</v>
      </c>
    </row>
    <row r="744">
      <c r="A744" s="2" t="s">
        <v>713</v>
      </c>
      <c r="B744" s="1" t="s">
        <v>714</v>
      </c>
      <c r="C744" s="2" t="s">
        <v>133</v>
      </c>
      <c r="D744" s="1" t="s">
        <v>134</v>
      </c>
    </row>
    <row r="745">
      <c r="A745" s="2" t="s">
        <v>736</v>
      </c>
      <c r="B745" s="1" t="s">
        <v>737</v>
      </c>
      <c r="C745" s="2" t="s">
        <v>43</v>
      </c>
      <c r="D745" s="1" t="s">
        <v>44</v>
      </c>
      <c r="E745" s="2" t="s">
        <v>738</v>
      </c>
    </row>
    <row r="746">
      <c r="A746" s="2" t="s">
        <v>747</v>
      </c>
      <c r="B746" s="1" t="s">
        <v>748</v>
      </c>
      <c r="C746" s="2" t="s">
        <v>139</v>
      </c>
      <c r="D746" s="1" t="s">
        <v>140</v>
      </c>
    </row>
    <row r="747">
      <c r="A747" s="2" t="s">
        <v>713</v>
      </c>
      <c r="B747" s="1" t="s">
        <v>714</v>
      </c>
      <c r="C747" s="2" t="s">
        <v>49</v>
      </c>
      <c r="D747" s="1" t="s">
        <v>50</v>
      </c>
    </row>
    <row r="748">
      <c r="A748" s="2" t="s">
        <v>747</v>
      </c>
      <c r="B748" s="1" t="s">
        <v>748</v>
      </c>
      <c r="C748" s="2" t="s">
        <v>141</v>
      </c>
      <c r="D748" s="1" t="s">
        <v>142</v>
      </c>
    </row>
    <row r="749">
      <c r="A749" s="2" t="s">
        <v>733</v>
      </c>
      <c r="B749" s="1" t="s">
        <v>734</v>
      </c>
      <c r="C749" s="2" t="s">
        <v>743</v>
      </c>
      <c r="D749" s="1" t="s">
        <v>744</v>
      </c>
      <c r="E749" s="2" t="s">
        <v>735</v>
      </c>
    </row>
    <row r="750">
      <c r="A750" s="2" t="s">
        <v>749</v>
      </c>
      <c r="B750" s="1" t="s">
        <v>750</v>
      </c>
      <c r="C750" s="2" t="s">
        <v>216</v>
      </c>
      <c r="D750" s="1" t="s">
        <v>217</v>
      </c>
    </row>
    <row r="751">
      <c r="A751" s="2" t="s">
        <v>747</v>
      </c>
      <c r="B751" s="1" t="s">
        <v>748</v>
      </c>
      <c r="C751" s="2" t="s">
        <v>252</v>
      </c>
      <c r="D751" s="1" t="s">
        <v>253</v>
      </c>
    </row>
    <row r="752">
      <c r="A752" s="2" t="s">
        <v>751</v>
      </c>
      <c r="B752" s="1" t="s">
        <v>752</v>
      </c>
      <c r="C752" s="2" t="s">
        <v>221</v>
      </c>
      <c r="D752" s="1" t="s">
        <v>222</v>
      </c>
    </row>
    <row r="753">
      <c r="A753" s="2" t="s">
        <v>707</v>
      </c>
      <c r="B753" s="1" t="s">
        <v>708</v>
      </c>
      <c r="C753" s="2" t="s">
        <v>522</v>
      </c>
      <c r="D753" s="1" t="s">
        <v>523</v>
      </c>
    </row>
    <row r="754">
      <c r="A754" s="2" t="s">
        <v>713</v>
      </c>
      <c r="B754" s="1" t="s">
        <v>714</v>
      </c>
      <c r="C754" s="2" t="s">
        <v>92</v>
      </c>
      <c r="D754" s="1" t="s">
        <v>93</v>
      </c>
    </row>
    <row r="755">
      <c r="A755" s="2" t="s">
        <v>707</v>
      </c>
      <c r="B755" s="1" t="s">
        <v>708</v>
      </c>
      <c r="C755" s="2" t="s">
        <v>49</v>
      </c>
      <c r="D755" s="1" t="s">
        <v>50</v>
      </c>
    </row>
    <row r="756">
      <c r="A756" s="2" t="s">
        <v>707</v>
      </c>
      <c r="B756" s="1" t="s">
        <v>708</v>
      </c>
      <c r="C756" s="2" t="s">
        <v>439</v>
      </c>
      <c r="D756" s="1" t="s">
        <v>440</v>
      </c>
    </row>
    <row r="757">
      <c r="A757" s="2" t="s">
        <v>689</v>
      </c>
      <c r="B757" s="1" t="s">
        <v>690</v>
      </c>
      <c r="C757" s="2" t="s">
        <v>202</v>
      </c>
      <c r="D757" s="1" t="s">
        <v>203</v>
      </c>
    </row>
    <row r="758">
      <c r="A758" s="2" t="s">
        <v>713</v>
      </c>
      <c r="B758" s="1" t="s">
        <v>714</v>
      </c>
      <c r="C758" s="2" t="s">
        <v>508</v>
      </c>
      <c r="D758" s="1" t="s">
        <v>509</v>
      </c>
    </row>
    <row r="759">
      <c r="A759" s="2" t="s">
        <v>725</v>
      </c>
      <c r="B759" s="1" t="s">
        <v>726</v>
      </c>
      <c r="C759" s="2" t="s">
        <v>151</v>
      </c>
      <c r="D759" s="1" t="s">
        <v>152</v>
      </c>
    </row>
    <row r="760">
      <c r="A760" s="2" t="s">
        <v>709</v>
      </c>
      <c r="B760" s="1" t="s">
        <v>710</v>
      </c>
      <c r="C760" s="2" t="s">
        <v>116</v>
      </c>
      <c r="D760" s="1" t="s">
        <v>117</v>
      </c>
    </row>
    <row r="761">
      <c r="A761" s="2" t="s">
        <v>709</v>
      </c>
      <c r="B761" s="1" t="s">
        <v>710</v>
      </c>
      <c r="C761" s="2" t="s">
        <v>103</v>
      </c>
      <c r="D761" s="1" t="s">
        <v>104</v>
      </c>
    </row>
    <row r="762">
      <c r="A762" s="2" t="s">
        <v>709</v>
      </c>
      <c r="B762" s="1" t="s">
        <v>710</v>
      </c>
      <c r="C762" s="2" t="s">
        <v>124</v>
      </c>
      <c r="D762" s="1" t="s">
        <v>125</v>
      </c>
    </row>
    <row r="763">
      <c r="A763" s="2" t="s">
        <v>709</v>
      </c>
      <c r="B763" s="1" t="s">
        <v>710</v>
      </c>
      <c r="C763" s="2" t="s">
        <v>247</v>
      </c>
      <c r="D763" s="1" t="s">
        <v>248</v>
      </c>
    </row>
    <row r="764">
      <c r="A764" s="2" t="s">
        <v>709</v>
      </c>
      <c r="B764" s="1" t="s">
        <v>710</v>
      </c>
      <c r="C764" s="2" t="s">
        <v>753</v>
      </c>
      <c r="D764" s="1" t="s">
        <v>754</v>
      </c>
    </row>
    <row r="765">
      <c r="A765" s="2" t="s">
        <v>736</v>
      </c>
      <c r="B765" s="1" t="s">
        <v>737</v>
      </c>
      <c r="C765" s="2" t="s">
        <v>223</v>
      </c>
      <c r="D765" s="1" t="s">
        <v>224</v>
      </c>
      <c r="E765" s="2" t="s">
        <v>738</v>
      </c>
    </row>
    <row r="766">
      <c r="A766" s="2" t="s">
        <v>755</v>
      </c>
      <c r="B766" s="1" t="s">
        <v>756</v>
      </c>
      <c r="C766" s="2" t="s">
        <v>727</v>
      </c>
      <c r="D766" s="1" t="s">
        <v>728</v>
      </c>
    </row>
    <row r="767">
      <c r="A767" s="2" t="s">
        <v>709</v>
      </c>
      <c r="B767" s="1" t="s">
        <v>710</v>
      </c>
      <c r="C767" s="2" t="s">
        <v>141</v>
      </c>
      <c r="D767" s="1" t="s">
        <v>142</v>
      </c>
    </row>
    <row r="768">
      <c r="A768" s="2" t="s">
        <v>689</v>
      </c>
      <c r="B768" s="1" t="s">
        <v>690</v>
      </c>
      <c r="C768" s="2" t="s">
        <v>41</v>
      </c>
      <c r="D768" s="1" t="s">
        <v>42</v>
      </c>
    </row>
    <row r="769">
      <c r="A769" s="2" t="s">
        <v>691</v>
      </c>
      <c r="B769" s="1" t="s">
        <v>692</v>
      </c>
      <c r="C769" s="2" t="s">
        <v>41</v>
      </c>
      <c r="D769" s="1" t="s">
        <v>42</v>
      </c>
    </row>
    <row r="770">
      <c r="A770" s="2" t="s">
        <v>689</v>
      </c>
      <c r="B770" s="1" t="s">
        <v>690</v>
      </c>
      <c r="C770" s="2" t="s">
        <v>43</v>
      </c>
      <c r="D770" s="1" t="s">
        <v>44</v>
      </c>
    </row>
    <row r="771">
      <c r="A771" s="2" t="s">
        <v>691</v>
      </c>
      <c r="B771" s="1" t="s">
        <v>692</v>
      </c>
      <c r="C771" s="2" t="s">
        <v>43</v>
      </c>
      <c r="D771" s="1" t="s">
        <v>44</v>
      </c>
    </row>
    <row r="772">
      <c r="A772" s="2" t="s">
        <v>689</v>
      </c>
      <c r="B772" s="1" t="s">
        <v>690</v>
      </c>
      <c r="C772" s="2" t="s">
        <v>49</v>
      </c>
      <c r="D772" s="1" t="s">
        <v>50</v>
      </c>
    </row>
    <row r="773">
      <c r="A773" s="2" t="s">
        <v>691</v>
      </c>
      <c r="B773" s="1" t="s">
        <v>692</v>
      </c>
      <c r="C773" s="2" t="s">
        <v>49</v>
      </c>
      <c r="D773" s="1" t="s">
        <v>50</v>
      </c>
    </row>
    <row r="774">
      <c r="A774" s="2" t="s">
        <v>709</v>
      </c>
      <c r="B774" s="1" t="s">
        <v>710</v>
      </c>
      <c r="C774" s="2" t="s">
        <v>757</v>
      </c>
      <c r="D774" s="1" t="s">
        <v>758</v>
      </c>
    </row>
    <row r="775">
      <c r="A775" s="2" t="s">
        <v>759</v>
      </c>
      <c r="B775" s="1" t="s">
        <v>760</v>
      </c>
      <c r="C775" s="2" t="s">
        <v>743</v>
      </c>
      <c r="D775" s="1" t="s">
        <v>744</v>
      </c>
    </row>
    <row r="776">
      <c r="A776" s="2" t="s">
        <v>697</v>
      </c>
      <c r="B776" s="1" t="s">
        <v>698</v>
      </c>
      <c r="C776" s="2" t="s">
        <v>43</v>
      </c>
      <c r="D776" s="1" t="s">
        <v>44</v>
      </c>
    </row>
    <row r="777">
      <c r="A777" s="2" t="s">
        <v>759</v>
      </c>
      <c r="B777" s="1" t="s">
        <v>760</v>
      </c>
      <c r="C777" s="2" t="s">
        <v>761</v>
      </c>
      <c r="D777" s="1" t="s">
        <v>762</v>
      </c>
    </row>
    <row r="778">
      <c r="A778" s="2" t="s">
        <v>763</v>
      </c>
      <c r="B778" s="1" t="s">
        <v>764</v>
      </c>
    </row>
    <row r="779">
      <c r="A779" s="2" t="s">
        <v>765</v>
      </c>
      <c r="B779" s="1" t="s">
        <v>766</v>
      </c>
    </row>
    <row r="780">
      <c r="A780" s="2" t="s">
        <v>691</v>
      </c>
      <c r="B780" s="1" t="s">
        <v>692</v>
      </c>
      <c r="C780" s="2" t="s">
        <v>92</v>
      </c>
      <c r="D780" s="1" t="s">
        <v>93</v>
      </c>
    </row>
    <row r="781">
      <c r="A781" s="2" t="s">
        <v>697</v>
      </c>
      <c r="B781" s="1" t="s">
        <v>698</v>
      </c>
      <c r="C781" s="2" t="s">
        <v>49</v>
      </c>
      <c r="D781" s="1" t="s">
        <v>50</v>
      </c>
    </row>
    <row r="782">
      <c r="A782" s="2" t="s">
        <v>767</v>
      </c>
      <c r="B782" s="1" t="s">
        <v>768</v>
      </c>
    </row>
    <row r="783">
      <c r="A783" s="2" t="s">
        <v>751</v>
      </c>
      <c r="B783" s="1" t="s">
        <v>752</v>
      </c>
      <c r="C783" s="2" t="s">
        <v>151</v>
      </c>
      <c r="D783" s="1" t="s">
        <v>152</v>
      </c>
    </row>
    <row r="784">
      <c r="A784" s="2" t="s">
        <v>736</v>
      </c>
      <c r="B784" s="1" t="s">
        <v>737</v>
      </c>
      <c r="C784" s="2" t="s">
        <v>296</v>
      </c>
      <c r="D784" s="1" t="s">
        <v>297</v>
      </c>
      <c r="E784" s="2" t="s">
        <v>738</v>
      </c>
    </row>
    <row r="785">
      <c r="A785" s="2" t="s">
        <v>769</v>
      </c>
      <c r="B785" s="1" t="s">
        <v>770</v>
      </c>
    </row>
    <row r="786">
      <c r="A786" s="2" t="s">
        <v>771</v>
      </c>
      <c r="B786" s="1" t="s">
        <v>772</v>
      </c>
    </row>
    <row r="787">
      <c r="A787" s="2" t="s">
        <v>751</v>
      </c>
      <c r="B787" s="1" t="s">
        <v>752</v>
      </c>
      <c r="C787" s="2" t="s">
        <v>118</v>
      </c>
      <c r="D787" s="1" t="s">
        <v>119</v>
      </c>
    </row>
    <row r="788">
      <c r="A788" s="2" t="s">
        <v>721</v>
      </c>
      <c r="B788" s="1" t="s">
        <v>722</v>
      </c>
      <c r="C788" s="2" t="s">
        <v>147</v>
      </c>
      <c r="D788" s="1" t="s">
        <v>148</v>
      </c>
    </row>
    <row r="789">
      <c r="A789" s="2" t="s">
        <v>733</v>
      </c>
      <c r="B789" s="1" t="s">
        <v>734</v>
      </c>
      <c r="C789" s="2" t="s">
        <v>594</v>
      </c>
      <c r="D789" s="1" t="s">
        <v>595</v>
      </c>
      <c r="E789" s="2" t="s">
        <v>735</v>
      </c>
    </row>
    <row r="790">
      <c r="A790" s="2" t="s">
        <v>773</v>
      </c>
      <c r="B790" s="1" t="s">
        <v>774</v>
      </c>
    </row>
    <row r="791">
      <c r="A791" s="2" t="s">
        <v>775</v>
      </c>
      <c r="B791" s="1" t="s">
        <v>776</v>
      </c>
    </row>
    <row r="792">
      <c r="A792" s="2" t="s">
        <v>777</v>
      </c>
      <c r="B792" s="1" t="s">
        <v>778</v>
      </c>
      <c r="C792" s="2" t="s">
        <v>779</v>
      </c>
      <c r="D792" s="1" t="s">
        <v>780</v>
      </c>
    </row>
    <row r="793">
      <c r="A793" s="2" t="s">
        <v>781</v>
      </c>
      <c r="B793" s="1" t="s">
        <v>782</v>
      </c>
    </row>
    <row r="794">
      <c r="A794" s="2" t="s">
        <v>783</v>
      </c>
      <c r="B794" s="1" t="s">
        <v>784</v>
      </c>
      <c r="C794" s="2" t="s">
        <v>151</v>
      </c>
      <c r="D794" s="1" t="s">
        <v>152</v>
      </c>
    </row>
    <row r="795">
      <c r="A795" s="2" t="s">
        <v>777</v>
      </c>
      <c r="B795" s="1" t="s">
        <v>778</v>
      </c>
      <c r="C795" s="2" t="s">
        <v>141</v>
      </c>
      <c r="D795" s="1" t="s">
        <v>142</v>
      </c>
    </row>
    <row r="796">
      <c r="A796" s="2" t="s">
        <v>785</v>
      </c>
      <c r="B796" s="1" t="s">
        <v>786</v>
      </c>
      <c r="C796" s="2" t="s">
        <v>69</v>
      </c>
      <c r="D796" s="1" t="s">
        <v>70</v>
      </c>
    </row>
    <row r="797">
      <c r="A797" s="2" t="s">
        <v>787</v>
      </c>
      <c r="B797" s="1" t="s">
        <v>788</v>
      </c>
      <c r="C797" s="2" t="s">
        <v>151</v>
      </c>
      <c r="D797" s="1" t="s">
        <v>152</v>
      </c>
    </row>
    <row r="798">
      <c r="A798" s="2" t="s">
        <v>789</v>
      </c>
      <c r="B798" s="1" t="s">
        <v>790</v>
      </c>
      <c r="C798" s="2" t="s">
        <v>135</v>
      </c>
      <c r="D798" s="1" t="s">
        <v>136</v>
      </c>
    </row>
    <row r="799">
      <c r="A799" s="2" t="s">
        <v>791</v>
      </c>
      <c r="B799" s="1" t="s">
        <v>792</v>
      </c>
      <c r="C799" s="2" t="s">
        <v>793</v>
      </c>
      <c r="D799" s="1" t="s">
        <v>794</v>
      </c>
    </row>
    <row r="800">
      <c r="A800" s="2" t="s">
        <v>789</v>
      </c>
      <c r="B800" s="1" t="s">
        <v>790</v>
      </c>
      <c r="C800" s="2" t="s">
        <v>128</v>
      </c>
      <c r="D800" s="1" t="s">
        <v>129</v>
      </c>
    </row>
    <row r="801">
      <c r="A801" s="2" t="s">
        <v>795</v>
      </c>
      <c r="B801" s="1" t="s">
        <v>796</v>
      </c>
      <c r="C801" s="2" t="s">
        <v>84</v>
      </c>
      <c r="D801" s="1" t="s">
        <v>85</v>
      </c>
    </row>
    <row r="802">
      <c r="A802" s="2" t="s">
        <v>797</v>
      </c>
      <c r="B802" s="1" t="s">
        <v>798</v>
      </c>
      <c r="C802" s="2" t="s">
        <v>69</v>
      </c>
      <c r="D802" s="1" t="s">
        <v>70</v>
      </c>
    </row>
    <row r="803">
      <c r="A803" s="2" t="s">
        <v>789</v>
      </c>
      <c r="B803" s="1" t="s">
        <v>790</v>
      </c>
      <c r="C803" s="2" t="s">
        <v>49</v>
      </c>
      <c r="D803" s="1" t="s">
        <v>50</v>
      </c>
    </row>
    <row r="804">
      <c r="A804" s="2" t="s">
        <v>789</v>
      </c>
      <c r="B804" s="1" t="s">
        <v>790</v>
      </c>
      <c r="C804" s="2" t="s">
        <v>126</v>
      </c>
      <c r="D804" s="1" t="s">
        <v>127</v>
      </c>
    </row>
    <row r="805">
      <c r="A805" s="2" t="s">
        <v>799</v>
      </c>
      <c r="B805" s="1" t="s">
        <v>800</v>
      </c>
      <c r="C805" s="2" t="s">
        <v>77</v>
      </c>
      <c r="D805" s="1" t="s">
        <v>78</v>
      </c>
    </row>
    <row r="806">
      <c r="A806" s="2" t="s">
        <v>801</v>
      </c>
      <c r="B806" s="1" t="s">
        <v>802</v>
      </c>
      <c r="C806" s="2" t="s">
        <v>137</v>
      </c>
      <c r="D806" s="1" t="s">
        <v>138</v>
      </c>
    </row>
    <row r="807">
      <c r="A807" s="2" t="s">
        <v>795</v>
      </c>
      <c r="B807" s="1" t="s">
        <v>796</v>
      </c>
      <c r="C807" s="2" t="s">
        <v>49</v>
      </c>
      <c r="D807" s="1" t="s">
        <v>50</v>
      </c>
    </row>
    <row r="808">
      <c r="A808" s="2" t="s">
        <v>801</v>
      </c>
      <c r="B808" s="1" t="s">
        <v>802</v>
      </c>
      <c r="C808" s="2" t="s">
        <v>522</v>
      </c>
      <c r="D808" s="1" t="s">
        <v>523</v>
      </c>
    </row>
    <row r="809">
      <c r="A809" s="2" t="s">
        <v>803</v>
      </c>
      <c r="B809" s="1" t="s">
        <v>804</v>
      </c>
      <c r="C809" s="2" t="s">
        <v>22</v>
      </c>
      <c r="D809" s="1" t="s">
        <v>23</v>
      </c>
    </row>
    <row r="810">
      <c r="A810" s="2" t="s">
        <v>805</v>
      </c>
      <c r="B810" s="1" t="s">
        <v>806</v>
      </c>
      <c r="C810" s="2" t="s">
        <v>470</v>
      </c>
      <c r="D810" s="1" t="s">
        <v>471</v>
      </c>
    </row>
    <row r="811">
      <c r="A811" s="2" t="s">
        <v>805</v>
      </c>
      <c r="B811" s="1" t="s">
        <v>806</v>
      </c>
      <c r="C811" s="2" t="s">
        <v>807</v>
      </c>
      <c r="D811" s="1" t="s">
        <v>808</v>
      </c>
    </row>
    <row r="812">
      <c r="A812" s="2" t="s">
        <v>809</v>
      </c>
      <c r="B812" s="1" t="s">
        <v>810</v>
      </c>
      <c r="C812" s="2" t="s">
        <v>604</v>
      </c>
      <c r="D812" s="1" t="s">
        <v>605</v>
      </c>
    </row>
    <row r="813">
      <c r="A813" s="2" t="s">
        <v>811</v>
      </c>
      <c r="B813" s="1" t="s">
        <v>812</v>
      </c>
      <c r="C813" s="2" t="s">
        <v>22</v>
      </c>
      <c r="D813" s="1" t="s">
        <v>23</v>
      </c>
    </row>
    <row r="814">
      <c r="A814" s="2" t="s">
        <v>811</v>
      </c>
      <c r="B814" s="1" t="s">
        <v>812</v>
      </c>
      <c r="C814" s="2" t="s">
        <v>25</v>
      </c>
      <c r="D814" s="1" t="s">
        <v>26</v>
      </c>
    </row>
    <row r="815">
      <c r="A815" s="2" t="s">
        <v>813</v>
      </c>
      <c r="B815" s="1" t="s">
        <v>814</v>
      </c>
      <c r="C815" s="2" t="s">
        <v>815</v>
      </c>
      <c r="D815" s="1" t="s">
        <v>816</v>
      </c>
    </row>
    <row r="816">
      <c r="A816" s="2" t="s">
        <v>813</v>
      </c>
      <c r="B816" s="1" t="s">
        <v>814</v>
      </c>
      <c r="C816" s="2" t="s">
        <v>636</v>
      </c>
      <c r="D816" s="1" t="s">
        <v>637</v>
      </c>
    </row>
    <row r="817">
      <c r="A817" s="2" t="s">
        <v>809</v>
      </c>
      <c r="B817" s="1" t="s">
        <v>810</v>
      </c>
      <c r="C817" s="2" t="s">
        <v>306</v>
      </c>
      <c r="D817" s="1" t="s">
        <v>307</v>
      </c>
    </row>
    <row r="818">
      <c r="A818" s="2" t="s">
        <v>817</v>
      </c>
      <c r="B818" s="1" t="s">
        <v>818</v>
      </c>
      <c r="C818" s="2" t="s">
        <v>128</v>
      </c>
      <c r="D818" s="1" t="s">
        <v>129</v>
      </c>
    </row>
    <row r="819">
      <c r="A819" s="2" t="s">
        <v>819</v>
      </c>
      <c r="B819" s="1" t="s">
        <v>820</v>
      </c>
      <c r="C819" s="2" t="s">
        <v>94</v>
      </c>
      <c r="D819" s="1" t="s">
        <v>95</v>
      </c>
      <c r="E819" s="2" t="s">
        <v>821</v>
      </c>
    </row>
    <row r="820">
      <c r="A820" s="2" t="s">
        <v>817</v>
      </c>
      <c r="B820" s="1" t="s">
        <v>818</v>
      </c>
      <c r="C820" s="2" t="s">
        <v>522</v>
      </c>
      <c r="D820" s="1" t="s">
        <v>523</v>
      </c>
    </row>
    <row r="821">
      <c r="A821" s="2" t="s">
        <v>822</v>
      </c>
      <c r="B821" s="1" t="s">
        <v>823</v>
      </c>
      <c r="C821" s="2" t="s">
        <v>22</v>
      </c>
      <c r="D821" s="1" t="s">
        <v>23</v>
      </c>
    </row>
    <row r="822">
      <c r="A822" s="2" t="s">
        <v>824</v>
      </c>
      <c r="B822" s="1" t="s">
        <v>825</v>
      </c>
      <c r="C822" s="2" t="s">
        <v>151</v>
      </c>
      <c r="D822" s="1" t="s">
        <v>152</v>
      </c>
    </row>
    <row r="823">
      <c r="A823" s="2" t="s">
        <v>826</v>
      </c>
      <c r="B823" s="1" t="s">
        <v>827</v>
      </c>
      <c r="C823" s="2" t="s">
        <v>828</v>
      </c>
      <c r="D823" s="1" t="s">
        <v>829</v>
      </c>
    </row>
    <row r="824">
      <c r="A824" s="2" t="s">
        <v>830</v>
      </c>
      <c r="B824" s="1" t="s">
        <v>831</v>
      </c>
      <c r="C824" s="2" t="s">
        <v>832</v>
      </c>
      <c r="D824" s="1" t="s">
        <v>833</v>
      </c>
    </row>
    <row r="825">
      <c r="A825" s="2" t="s">
        <v>834</v>
      </c>
      <c r="B825" s="1" t="s">
        <v>835</v>
      </c>
      <c r="C825" s="2" t="s">
        <v>41</v>
      </c>
      <c r="D825" s="1" t="s">
        <v>42</v>
      </c>
    </row>
    <row r="826">
      <c r="A826" s="2" t="s">
        <v>834</v>
      </c>
      <c r="B826" s="1" t="s">
        <v>835</v>
      </c>
      <c r="C826" s="2" t="s">
        <v>216</v>
      </c>
      <c r="D826" s="1" t="s">
        <v>217</v>
      </c>
    </row>
    <row r="827">
      <c r="A827" s="2" t="s">
        <v>819</v>
      </c>
      <c r="B827" s="1" t="s">
        <v>820</v>
      </c>
      <c r="C827" s="2" t="s">
        <v>836</v>
      </c>
      <c r="D827" s="1" t="s">
        <v>837</v>
      </c>
      <c r="E827" s="2" t="s">
        <v>821</v>
      </c>
    </row>
    <row r="828">
      <c r="A828" s="2" t="s">
        <v>834</v>
      </c>
      <c r="B828" s="1" t="s">
        <v>835</v>
      </c>
      <c r="C828" s="2" t="s">
        <v>43</v>
      </c>
      <c r="D828" s="1" t="s">
        <v>44</v>
      </c>
    </row>
    <row r="829">
      <c r="A829" s="2" t="s">
        <v>838</v>
      </c>
      <c r="B829" s="1" t="s">
        <v>839</v>
      </c>
      <c r="C829" s="2" t="s">
        <v>604</v>
      </c>
      <c r="D829" s="1" t="s">
        <v>605</v>
      </c>
    </row>
    <row r="830">
      <c r="A830" s="2" t="s">
        <v>840</v>
      </c>
      <c r="B830" s="1" t="s">
        <v>841</v>
      </c>
      <c r="E830" s="2" t="s">
        <v>842</v>
      </c>
    </row>
    <row r="831">
      <c r="A831" s="2" t="s">
        <v>561</v>
      </c>
      <c r="B831" s="1" t="s">
        <v>562</v>
      </c>
      <c r="C831" s="2" t="s">
        <v>49</v>
      </c>
      <c r="D831" s="1" t="s">
        <v>50</v>
      </c>
    </row>
    <row r="832">
      <c r="A832" s="2" t="s">
        <v>838</v>
      </c>
      <c r="B832" s="1" t="s">
        <v>839</v>
      </c>
      <c r="C832" s="2" t="s">
        <v>306</v>
      </c>
      <c r="D832" s="1" t="s">
        <v>307</v>
      </c>
    </row>
    <row r="833">
      <c r="A833" s="2" t="s">
        <v>799</v>
      </c>
      <c r="B833" s="1" t="s">
        <v>800</v>
      </c>
      <c r="C833" s="2" t="s">
        <v>651</v>
      </c>
      <c r="D833" s="1" t="s">
        <v>652</v>
      </c>
    </row>
    <row r="834">
      <c r="A834" s="2" t="s">
        <v>819</v>
      </c>
      <c r="B834" s="1" t="s">
        <v>820</v>
      </c>
      <c r="C834" s="2" t="s">
        <v>636</v>
      </c>
      <c r="D834" s="1" t="s">
        <v>637</v>
      </c>
      <c r="E834" s="2" t="s">
        <v>821</v>
      </c>
    </row>
    <row r="835">
      <c r="A835" s="2" t="s">
        <v>843</v>
      </c>
      <c r="B835" s="1" t="s">
        <v>844</v>
      </c>
      <c r="C835" s="2" t="s">
        <v>41</v>
      </c>
      <c r="D835" s="1" t="s">
        <v>42</v>
      </c>
    </row>
    <row r="836">
      <c r="A836" s="2" t="s">
        <v>843</v>
      </c>
      <c r="B836" s="1" t="s">
        <v>844</v>
      </c>
      <c r="C836" s="2" t="s">
        <v>43</v>
      </c>
      <c r="D836" s="1" t="s">
        <v>44</v>
      </c>
    </row>
    <row r="837">
      <c r="A837" s="2" t="s">
        <v>845</v>
      </c>
      <c r="B837" s="1" t="s">
        <v>846</v>
      </c>
      <c r="C837" s="2" t="s">
        <v>727</v>
      </c>
      <c r="D837" s="1" t="s">
        <v>728</v>
      </c>
    </row>
    <row r="838">
      <c r="A838" s="2" t="s">
        <v>847</v>
      </c>
      <c r="B838" s="1" t="s">
        <v>848</v>
      </c>
      <c r="C838" s="2" t="s">
        <v>849</v>
      </c>
      <c r="D838" s="1" t="s">
        <v>850</v>
      </c>
    </row>
    <row r="839">
      <c r="A839" s="2" t="s">
        <v>843</v>
      </c>
      <c r="B839" s="1" t="s">
        <v>844</v>
      </c>
      <c r="C839" s="2" t="s">
        <v>49</v>
      </c>
      <c r="D839" s="1" t="s">
        <v>50</v>
      </c>
    </row>
    <row r="840">
      <c r="A840" s="2" t="s">
        <v>834</v>
      </c>
      <c r="B840" s="1" t="s">
        <v>835</v>
      </c>
      <c r="C840" s="2" t="s">
        <v>92</v>
      </c>
      <c r="D840" s="1" t="s">
        <v>93</v>
      </c>
    </row>
    <row r="841">
      <c r="A841" s="2" t="s">
        <v>851</v>
      </c>
      <c r="B841" s="1" t="s">
        <v>852</v>
      </c>
      <c r="C841" s="2" t="s">
        <v>853</v>
      </c>
      <c r="D841" s="1" t="s">
        <v>854</v>
      </c>
    </row>
    <row r="842">
      <c r="A842" s="2" t="s">
        <v>855</v>
      </c>
      <c r="B842" s="1" t="s">
        <v>856</v>
      </c>
      <c r="C842" s="2" t="s">
        <v>604</v>
      </c>
      <c r="D842" s="1" t="s">
        <v>605</v>
      </c>
    </row>
    <row r="843">
      <c r="A843" s="2" t="s">
        <v>857</v>
      </c>
      <c r="B843" s="1" t="s">
        <v>858</v>
      </c>
      <c r="C843" s="2" t="s">
        <v>173</v>
      </c>
      <c r="D843" s="1" t="s">
        <v>174</v>
      </c>
    </row>
    <row r="844">
      <c r="A844" s="2" t="s">
        <v>859</v>
      </c>
      <c r="B844" s="1" t="s">
        <v>860</v>
      </c>
      <c r="C844" s="2" t="s">
        <v>380</v>
      </c>
      <c r="D844" s="1" t="s">
        <v>381</v>
      </c>
    </row>
    <row r="845">
      <c r="A845" s="2" t="s">
        <v>783</v>
      </c>
      <c r="B845" s="1" t="s">
        <v>784</v>
      </c>
      <c r="C845" s="2" t="s">
        <v>753</v>
      </c>
      <c r="D845" s="1" t="s">
        <v>754</v>
      </c>
    </row>
    <row r="846">
      <c r="A846" s="2" t="s">
        <v>861</v>
      </c>
      <c r="B846" s="1" t="s">
        <v>862</v>
      </c>
      <c r="C846" s="2" t="s">
        <v>173</v>
      </c>
      <c r="D846" s="1" t="s">
        <v>174</v>
      </c>
    </row>
    <row r="847">
      <c r="A847" s="2" t="s">
        <v>863</v>
      </c>
      <c r="B847" s="1" t="s">
        <v>864</v>
      </c>
      <c r="C847" s="2" t="s">
        <v>116</v>
      </c>
      <c r="D847" s="1" t="s">
        <v>117</v>
      </c>
    </row>
    <row r="848">
      <c r="A848" s="2" t="s">
        <v>789</v>
      </c>
      <c r="B848" s="1" t="s">
        <v>790</v>
      </c>
      <c r="C848" s="2" t="s">
        <v>22</v>
      </c>
      <c r="D848" s="1" t="s">
        <v>23</v>
      </c>
    </row>
    <row r="849">
      <c r="A849" s="2" t="s">
        <v>809</v>
      </c>
      <c r="B849" s="1" t="s">
        <v>810</v>
      </c>
      <c r="C849" s="2" t="s">
        <v>151</v>
      </c>
      <c r="D849" s="1" t="s">
        <v>152</v>
      </c>
    </row>
    <row r="850">
      <c r="A850" s="2" t="s">
        <v>783</v>
      </c>
      <c r="B850" s="1" t="s">
        <v>784</v>
      </c>
      <c r="C850" s="2" t="s">
        <v>865</v>
      </c>
      <c r="D850" s="1" t="s">
        <v>866</v>
      </c>
    </row>
    <row r="851">
      <c r="A851" s="2" t="s">
        <v>843</v>
      </c>
      <c r="B851" s="1" t="s">
        <v>844</v>
      </c>
      <c r="C851" s="2" t="s">
        <v>69</v>
      </c>
      <c r="D851" s="1" t="s">
        <v>70</v>
      </c>
    </row>
    <row r="852">
      <c r="A852" s="2" t="s">
        <v>783</v>
      </c>
      <c r="B852" s="1" t="s">
        <v>784</v>
      </c>
      <c r="C852" s="2" t="s">
        <v>867</v>
      </c>
      <c r="D852" s="1" t="s">
        <v>868</v>
      </c>
    </row>
    <row r="853">
      <c r="A853" s="2" t="s">
        <v>834</v>
      </c>
      <c r="B853" s="1" t="s">
        <v>835</v>
      </c>
      <c r="C853" s="2" t="s">
        <v>221</v>
      </c>
      <c r="D853" s="1" t="s">
        <v>222</v>
      </c>
    </row>
    <row r="854">
      <c r="A854" s="2" t="s">
        <v>803</v>
      </c>
      <c r="B854" s="1" t="s">
        <v>804</v>
      </c>
      <c r="C854" s="2" t="s">
        <v>35</v>
      </c>
      <c r="D854" s="1" t="s">
        <v>36</v>
      </c>
    </row>
    <row r="855">
      <c r="A855" s="2" t="s">
        <v>803</v>
      </c>
      <c r="B855" s="1" t="s">
        <v>804</v>
      </c>
      <c r="C855" s="2" t="s">
        <v>135</v>
      </c>
      <c r="D855" s="1" t="s">
        <v>136</v>
      </c>
    </row>
    <row r="856">
      <c r="A856" s="2" t="s">
        <v>838</v>
      </c>
      <c r="B856" s="1" t="s">
        <v>839</v>
      </c>
      <c r="C856" s="2" t="s">
        <v>151</v>
      </c>
      <c r="D856" s="1" t="s">
        <v>152</v>
      </c>
    </row>
    <row r="857">
      <c r="A857" s="2" t="s">
        <v>869</v>
      </c>
      <c r="B857" s="1" t="s">
        <v>870</v>
      </c>
      <c r="C857" s="2" t="s">
        <v>103</v>
      </c>
      <c r="D857" s="1" t="s">
        <v>104</v>
      </c>
    </row>
    <row r="858">
      <c r="A858" s="2" t="s">
        <v>811</v>
      </c>
      <c r="B858" s="1" t="s">
        <v>812</v>
      </c>
      <c r="C858" s="2" t="s">
        <v>49</v>
      </c>
      <c r="D858" s="1" t="s">
        <v>50</v>
      </c>
    </row>
    <row r="859">
      <c r="A859" s="2" t="s">
        <v>817</v>
      </c>
      <c r="B859" s="1" t="s">
        <v>818</v>
      </c>
      <c r="C859" s="2" t="s">
        <v>22</v>
      </c>
      <c r="D859" s="1" t="s">
        <v>23</v>
      </c>
    </row>
    <row r="860">
      <c r="A860" s="2" t="s">
        <v>869</v>
      </c>
      <c r="B860" s="1" t="s">
        <v>870</v>
      </c>
      <c r="C860" s="2" t="s">
        <v>124</v>
      </c>
      <c r="D860" s="1" t="s">
        <v>125</v>
      </c>
    </row>
    <row r="861">
      <c r="A861" s="2" t="s">
        <v>869</v>
      </c>
      <c r="B861" s="1" t="s">
        <v>870</v>
      </c>
      <c r="C861" s="2" t="s">
        <v>871</v>
      </c>
      <c r="D861" s="1" t="s">
        <v>642</v>
      </c>
    </row>
    <row r="862">
      <c r="A862" s="2" t="s">
        <v>872</v>
      </c>
      <c r="B862" s="1" t="s">
        <v>873</v>
      </c>
      <c r="C862" s="2" t="s">
        <v>41</v>
      </c>
      <c r="D862" s="1" t="s">
        <v>42</v>
      </c>
    </row>
    <row r="863">
      <c r="A863" s="2" t="s">
        <v>874</v>
      </c>
      <c r="B863" s="1" t="s">
        <v>875</v>
      </c>
      <c r="C863" s="2" t="s">
        <v>41</v>
      </c>
      <c r="D863" s="1" t="s">
        <v>42</v>
      </c>
    </row>
    <row r="864">
      <c r="A864" s="2" t="s">
        <v>872</v>
      </c>
      <c r="B864" s="1" t="s">
        <v>873</v>
      </c>
      <c r="C864" s="2" t="s">
        <v>43</v>
      </c>
      <c r="D864" s="1" t="s">
        <v>44</v>
      </c>
    </row>
    <row r="865">
      <c r="A865" s="2" t="s">
        <v>791</v>
      </c>
      <c r="B865" s="1" t="s">
        <v>792</v>
      </c>
      <c r="C865" s="2" t="s">
        <v>607</v>
      </c>
      <c r="D865" s="1" t="s">
        <v>608</v>
      </c>
    </row>
    <row r="866">
      <c r="A866" s="2" t="s">
        <v>874</v>
      </c>
      <c r="B866" s="1" t="s">
        <v>875</v>
      </c>
      <c r="C866" s="2" t="s">
        <v>43</v>
      </c>
      <c r="D866" s="1" t="s">
        <v>44</v>
      </c>
    </row>
    <row r="867">
      <c r="A867" s="2" t="s">
        <v>822</v>
      </c>
      <c r="B867" s="1" t="s">
        <v>823</v>
      </c>
      <c r="C867" s="2" t="s">
        <v>43</v>
      </c>
      <c r="D867" s="1" t="s">
        <v>44</v>
      </c>
    </row>
    <row r="868">
      <c r="A868" s="2" t="s">
        <v>872</v>
      </c>
      <c r="B868" s="1" t="s">
        <v>873</v>
      </c>
      <c r="C868" s="2" t="s">
        <v>49</v>
      </c>
      <c r="D868" s="1" t="s">
        <v>50</v>
      </c>
    </row>
    <row r="869">
      <c r="A869" s="2" t="s">
        <v>874</v>
      </c>
      <c r="B869" s="1" t="s">
        <v>875</v>
      </c>
      <c r="C869" s="2" t="s">
        <v>49</v>
      </c>
      <c r="D869" s="1" t="s">
        <v>50</v>
      </c>
    </row>
    <row r="870">
      <c r="A870" s="2" t="s">
        <v>876</v>
      </c>
      <c r="B870" s="1" t="s">
        <v>877</v>
      </c>
      <c r="C870" s="2" t="s">
        <v>173</v>
      </c>
      <c r="D870" s="1" t="s">
        <v>174</v>
      </c>
    </row>
    <row r="871">
      <c r="A871" s="2" t="s">
        <v>822</v>
      </c>
      <c r="B871" s="1" t="s">
        <v>823</v>
      </c>
      <c r="C871" s="2" t="s">
        <v>49</v>
      </c>
      <c r="D871" s="1" t="s">
        <v>50</v>
      </c>
    </row>
    <row r="872">
      <c r="A872" s="2" t="s">
        <v>785</v>
      </c>
      <c r="B872" s="1" t="s">
        <v>786</v>
      </c>
      <c r="C872" s="2" t="s">
        <v>41</v>
      </c>
      <c r="D872" s="1" t="s">
        <v>42</v>
      </c>
    </row>
    <row r="873">
      <c r="A873" s="2" t="s">
        <v>785</v>
      </c>
      <c r="B873" s="1" t="s">
        <v>786</v>
      </c>
      <c r="C873" s="2" t="s">
        <v>84</v>
      </c>
      <c r="D873" s="1" t="s">
        <v>85</v>
      </c>
    </row>
    <row r="874">
      <c r="A874" s="2" t="s">
        <v>878</v>
      </c>
      <c r="B874" s="1" t="s">
        <v>879</v>
      </c>
      <c r="C874" s="2" t="s">
        <v>12</v>
      </c>
      <c r="D874" s="1" t="s">
        <v>13</v>
      </c>
    </row>
    <row r="875">
      <c r="A875" s="2" t="s">
        <v>785</v>
      </c>
      <c r="B875" s="1" t="s">
        <v>786</v>
      </c>
      <c r="C875" s="2" t="s">
        <v>43</v>
      </c>
      <c r="D875" s="1" t="s">
        <v>44</v>
      </c>
    </row>
    <row r="876">
      <c r="A876" s="2" t="s">
        <v>878</v>
      </c>
      <c r="B876" s="1" t="s">
        <v>879</v>
      </c>
      <c r="C876" s="2" t="s">
        <v>522</v>
      </c>
      <c r="D876" s="1" t="s">
        <v>523</v>
      </c>
    </row>
    <row r="877">
      <c r="A877" s="2" t="s">
        <v>785</v>
      </c>
      <c r="B877" s="1" t="s">
        <v>786</v>
      </c>
      <c r="C877" s="2" t="s">
        <v>49</v>
      </c>
      <c r="D877" s="1" t="s">
        <v>50</v>
      </c>
    </row>
    <row r="878">
      <c r="A878" s="2" t="s">
        <v>880</v>
      </c>
      <c r="B878" s="1" t="s">
        <v>881</v>
      </c>
    </row>
    <row r="879">
      <c r="A879" s="2" t="s">
        <v>882</v>
      </c>
      <c r="B879" s="1" t="s">
        <v>883</v>
      </c>
    </row>
    <row r="880">
      <c r="A880" s="2" t="s">
        <v>884</v>
      </c>
      <c r="B880" s="1" t="s">
        <v>885</v>
      </c>
    </row>
    <row r="881">
      <c r="A881" s="2" t="s">
        <v>797</v>
      </c>
      <c r="B881" s="1" t="s">
        <v>798</v>
      </c>
      <c r="C881" s="2" t="s">
        <v>41</v>
      </c>
      <c r="D881" s="1" t="s">
        <v>42</v>
      </c>
    </row>
    <row r="882">
      <c r="A882" s="2" t="s">
        <v>797</v>
      </c>
      <c r="B882" s="1" t="s">
        <v>798</v>
      </c>
      <c r="C882" s="2" t="s">
        <v>43</v>
      </c>
      <c r="D882" s="1" t="s">
        <v>44</v>
      </c>
    </row>
    <row r="883">
      <c r="A883" s="2" t="s">
        <v>822</v>
      </c>
      <c r="B883" s="1" t="s">
        <v>823</v>
      </c>
      <c r="C883" s="2" t="s">
        <v>147</v>
      </c>
      <c r="D883" s="1" t="s">
        <v>148</v>
      </c>
    </row>
    <row r="884">
      <c r="A884" s="2" t="s">
        <v>886</v>
      </c>
      <c r="B884" s="1" t="s">
        <v>887</v>
      </c>
    </row>
    <row r="885">
      <c r="A885" s="2" t="s">
        <v>872</v>
      </c>
      <c r="B885" s="1" t="s">
        <v>873</v>
      </c>
      <c r="C885" s="2" t="s">
        <v>69</v>
      </c>
      <c r="D885" s="1" t="s">
        <v>70</v>
      </c>
    </row>
    <row r="886">
      <c r="A886" s="2" t="s">
        <v>888</v>
      </c>
      <c r="B886" s="1" t="s">
        <v>889</v>
      </c>
    </row>
    <row r="887">
      <c r="A887" s="2" t="s">
        <v>874</v>
      </c>
      <c r="B887" s="1" t="s">
        <v>875</v>
      </c>
      <c r="C887" s="2" t="s">
        <v>69</v>
      </c>
      <c r="D887" s="1" t="s">
        <v>70</v>
      </c>
    </row>
    <row r="888">
      <c r="A888" s="2" t="s">
        <v>890</v>
      </c>
      <c r="B888" s="1" t="s">
        <v>891</v>
      </c>
    </row>
    <row r="889">
      <c r="A889" s="2" t="s">
        <v>797</v>
      </c>
      <c r="B889" s="1" t="s">
        <v>798</v>
      </c>
      <c r="C889" s="2" t="s">
        <v>49</v>
      </c>
      <c r="D889" s="1" t="s">
        <v>50</v>
      </c>
    </row>
    <row r="890">
      <c r="A890" s="2" t="s">
        <v>892</v>
      </c>
      <c r="B890" s="1" t="s">
        <v>893</v>
      </c>
      <c r="C890" s="2" t="s">
        <v>49</v>
      </c>
      <c r="D890" s="1" t="s">
        <v>50</v>
      </c>
      <c r="E890" s="2" t="s">
        <v>894</v>
      </c>
    </row>
    <row r="891">
      <c r="A891" s="2" t="s">
        <v>895</v>
      </c>
      <c r="B891" s="1" t="s">
        <v>896</v>
      </c>
      <c r="C891" s="2" t="s">
        <v>69</v>
      </c>
      <c r="D891" s="1" t="s">
        <v>70</v>
      </c>
    </row>
    <row r="892">
      <c r="A892" s="2" t="s">
        <v>897</v>
      </c>
      <c r="B892" s="1" t="s">
        <v>898</v>
      </c>
      <c r="C892" s="2" t="s">
        <v>221</v>
      </c>
      <c r="D892" s="1" t="s">
        <v>222</v>
      </c>
    </row>
    <row r="893">
      <c r="A893" s="2" t="s">
        <v>899</v>
      </c>
      <c r="B893" s="1" t="s">
        <v>900</v>
      </c>
      <c r="C893" s="2" t="s">
        <v>114</v>
      </c>
      <c r="D893" s="1" t="s">
        <v>115</v>
      </c>
      <c r="E893" s="2" t="s">
        <v>901</v>
      </c>
    </row>
    <row r="894">
      <c r="A894" s="2" t="s">
        <v>899</v>
      </c>
      <c r="B894" s="1" t="s">
        <v>900</v>
      </c>
      <c r="C894" s="2" t="s">
        <v>902</v>
      </c>
      <c r="D894" s="1" t="s">
        <v>903</v>
      </c>
      <c r="E894" s="2" t="s">
        <v>901</v>
      </c>
    </row>
    <row r="895">
      <c r="A895" s="2" t="s">
        <v>899</v>
      </c>
      <c r="B895" s="1" t="s">
        <v>900</v>
      </c>
      <c r="C895" s="2" t="s">
        <v>22</v>
      </c>
      <c r="D895" s="1" t="s">
        <v>23</v>
      </c>
      <c r="E895" s="2" t="s">
        <v>901</v>
      </c>
    </row>
    <row r="896">
      <c r="A896" s="2" t="s">
        <v>899</v>
      </c>
      <c r="B896" s="1" t="s">
        <v>900</v>
      </c>
      <c r="C896" s="2" t="s">
        <v>25</v>
      </c>
      <c r="D896" s="1" t="s">
        <v>26</v>
      </c>
      <c r="E896" s="2" t="s">
        <v>901</v>
      </c>
    </row>
    <row r="897">
      <c r="A897" s="2" t="s">
        <v>904</v>
      </c>
      <c r="B897" s="1" t="s">
        <v>905</v>
      </c>
      <c r="C897" s="2" t="s">
        <v>906</v>
      </c>
      <c r="D897" s="1" t="s">
        <v>907</v>
      </c>
    </row>
    <row r="898">
      <c r="A898" s="2" t="s">
        <v>908</v>
      </c>
      <c r="B898" s="1" t="s">
        <v>909</v>
      </c>
      <c r="C898" s="2" t="s">
        <v>60</v>
      </c>
      <c r="D898" s="1" t="s">
        <v>61</v>
      </c>
      <c r="E898" s="2" t="s">
        <v>910</v>
      </c>
    </row>
    <row r="899">
      <c r="A899" s="2" t="s">
        <v>911</v>
      </c>
      <c r="B899" s="1" t="s">
        <v>912</v>
      </c>
      <c r="C899" s="2" t="s">
        <v>22</v>
      </c>
      <c r="D899" s="1" t="s">
        <v>23</v>
      </c>
    </row>
    <row r="900">
      <c r="A900" s="2" t="s">
        <v>911</v>
      </c>
      <c r="B900" s="1" t="s">
        <v>912</v>
      </c>
      <c r="C900" s="2" t="s">
        <v>151</v>
      </c>
      <c r="D900" s="1" t="s">
        <v>152</v>
      </c>
    </row>
    <row r="901">
      <c r="A901" s="2" t="s">
        <v>913</v>
      </c>
      <c r="B901" s="1" t="s">
        <v>914</v>
      </c>
      <c r="C901" s="2" t="s">
        <v>116</v>
      </c>
      <c r="D901" s="1" t="s">
        <v>117</v>
      </c>
    </row>
    <row r="902">
      <c r="A902" s="2" t="s">
        <v>915</v>
      </c>
      <c r="B902" s="1" t="s">
        <v>916</v>
      </c>
      <c r="C902" s="2" t="s">
        <v>492</v>
      </c>
      <c r="D902" s="1" t="s">
        <v>493</v>
      </c>
    </row>
    <row r="903">
      <c r="A903" s="2" t="s">
        <v>913</v>
      </c>
      <c r="B903" s="1" t="s">
        <v>914</v>
      </c>
      <c r="C903" s="2" t="s">
        <v>405</v>
      </c>
      <c r="D903" s="1" t="s">
        <v>406</v>
      </c>
    </row>
    <row r="904">
      <c r="A904" s="2" t="s">
        <v>917</v>
      </c>
      <c r="B904" s="1" t="s">
        <v>918</v>
      </c>
      <c r="C904" s="2" t="s">
        <v>60</v>
      </c>
      <c r="D904" s="1" t="s">
        <v>61</v>
      </c>
      <c r="E904" s="2" t="s">
        <v>919</v>
      </c>
    </row>
    <row r="905">
      <c r="A905" s="2" t="s">
        <v>908</v>
      </c>
      <c r="B905" s="1" t="s">
        <v>909</v>
      </c>
      <c r="C905" s="2" t="s">
        <v>103</v>
      </c>
      <c r="D905" s="1" t="s">
        <v>104</v>
      </c>
      <c r="E905" s="2" t="s">
        <v>910</v>
      </c>
    </row>
    <row r="906">
      <c r="A906" s="2" t="s">
        <v>913</v>
      </c>
      <c r="B906" s="1" t="s">
        <v>914</v>
      </c>
      <c r="C906" s="2" t="s">
        <v>807</v>
      </c>
      <c r="D906" s="1" t="s">
        <v>808</v>
      </c>
    </row>
    <row r="907">
      <c r="A907" s="2" t="s">
        <v>920</v>
      </c>
      <c r="B907" s="1" t="s">
        <v>921</v>
      </c>
      <c r="C907" s="2" t="s">
        <v>12</v>
      </c>
      <c r="D907" s="1" t="s">
        <v>13</v>
      </c>
    </row>
    <row r="908">
      <c r="A908" s="2" t="s">
        <v>920</v>
      </c>
      <c r="B908" s="1" t="s">
        <v>921</v>
      </c>
      <c r="C908" s="2" t="s">
        <v>247</v>
      </c>
      <c r="D908" s="1" t="s">
        <v>248</v>
      </c>
    </row>
    <row r="909">
      <c r="A909" s="2" t="s">
        <v>922</v>
      </c>
      <c r="B909" s="1" t="s">
        <v>923</v>
      </c>
      <c r="C909" s="2" t="s">
        <v>12</v>
      </c>
      <c r="D909" s="1" t="s">
        <v>13</v>
      </c>
      <c r="E909" s="2" t="s">
        <v>924</v>
      </c>
    </row>
    <row r="910">
      <c r="A910" s="2" t="s">
        <v>925</v>
      </c>
      <c r="B910" s="1" t="s">
        <v>926</v>
      </c>
      <c r="C910" s="2" t="s">
        <v>114</v>
      </c>
      <c r="D910" s="1" t="s">
        <v>115</v>
      </c>
      <c r="E910" s="2" t="s">
        <v>927</v>
      </c>
    </row>
    <row r="911">
      <c r="A911" s="2" t="s">
        <v>892</v>
      </c>
      <c r="B911" s="1" t="s">
        <v>893</v>
      </c>
      <c r="C911" s="2" t="s">
        <v>665</v>
      </c>
      <c r="D911" s="1" t="s">
        <v>666</v>
      </c>
      <c r="E911" s="2" t="s">
        <v>894</v>
      </c>
    </row>
    <row r="912">
      <c r="A912" s="2" t="s">
        <v>928</v>
      </c>
      <c r="B912" s="1" t="s">
        <v>929</v>
      </c>
      <c r="C912" s="2" t="s">
        <v>41</v>
      </c>
      <c r="D912" s="1" t="s">
        <v>42</v>
      </c>
    </row>
    <row r="913">
      <c r="A913" s="2" t="s">
        <v>928</v>
      </c>
      <c r="B913" s="1" t="s">
        <v>929</v>
      </c>
      <c r="C913" s="2" t="s">
        <v>43</v>
      </c>
      <c r="D913" s="1" t="s">
        <v>44</v>
      </c>
    </row>
    <row r="914">
      <c r="A914" s="2" t="s">
        <v>897</v>
      </c>
      <c r="B914" s="1" t="s">
        <v>898</v>
      </c>
      <c r="C914" s="2" t="s">
        <v>118</v>
      </c>
      <c r="D914" s="1" t="s">
        <v>119</v>
      </c>
    </row>
    <row r="915">
      <c r="A915" s="2" t="s">
        <v>908</v>
      </c>
      <c r="B915" s="1" t="s">
        <v>909</v>
      </c>
      <c r="C915" s="2" t="s">
        <v>247</v>
      </c>
      <c r="D915" s="1" t="s">
        <v>248</v>
      </c>
      <c r="E915" s="2" t="s">
        <v>910</v>
      </c>
    </row>
    <row r="916">
      <c r="A916" s="2" t="s">
        <v>930</v>
      </c>
      <c r="B916" s="1" t="s">
        <v>931</v>
      </c>
      <c r="C916" s="2" t="s">
        <v>12</v>
      </c>
      <c r="D916" s="1" t="s">
        <v>13</v>
      </c>
    </row>
    <row r="917">
      <c r="A917" s="2" t="s">
        <v>917</v>
      </c>
      <c r="B917" s="1" t="s">
        <v>918</v>
      </c>
      <c r="C917" s="2" t="s">
        <v>932</v>
      </c>
      <c r="D917" s="1" t="s">
        <v>933</v>
      </c>
      <c r="E917" s="2" t="s">
        <v>919</v>
      </c>
    </row>
    <row r="918">
      <c r="A918" s="2" t="s">
        <v>934</v>
      </c>
      <c r="B918" s="1" t="s">
        <v>935</v>
      </c>
      <c r="C918" s="2" t="s">
        <v>22</v>
      </c>
      <c r="D918" s="1" t="s">
        <v>23</v>
      </c>
    </row>
    <row r="919">
      <c r="A919" s="2" t="s">
        <v>934</v>
      </c>
      <c r="B919" s="1" t="s">
        <v>935</v>
      </c>
      <c r="C919" s="2" t="s">
        <v>25</v>
      </c>
      <c r="D919" s="1" t="s">
        <v>26</v>
      </c>
    </row>
    <row r="920">
      <c r="A920" s="2" t="s">
        <v>936</v>
      </c>
      <c r="B920" s="1" t="s">
        <v>937</v>
      </c>
      <c r="C920" s="2" t="s">
        <v>938</v>
      </c>
      <c r="D920" s="1" t="s">
        <v>939</v>
      </c>
    </row>
    <row r="921">
      <c r="A921" s="2" t="s">
        <v>940</v>
      </c>
      <c r="B921" s="1" t="s">
        <v>941</v>
      </c>
      <c r="C921" s="2" t="s">
        <v>12</v>
      </c>
      <c r="D921" s="1" t="s">
        <v>13</v>
      </c>
      <c r="E921" s="2" t="s">
        <v>942</v>
      </c>
    </row>
    <row r="922">
      <c r="A922" s="2" t="s">
        <v>895</v>
      </c>
      <c r="B922" s="1" t="s">
        <v>896</v>
      </c>
      <c r="C922" s="2" t="s">
        <v>22</v>
      </c>
      <c r="D922" s="1" t="s">
        <v>23</v>
      </c>
    </row>
    <row r="923">
      <c r="A923" s="2" t="s">
        <v>895</v>
      </c>
      <c r="B923" s="1" t="s">
        <v>896</v>
      </c>
      <c r="C923" s="2" t="s">
        <v>25</v>
      </c>
      <c r="D923" s="1" t="s">
        <v>26</v>
      </c>
    </row>
    <row r="924">
      <c r="A924" s="2" t="s">
        <v>917</v>
      </c>
      <c r="B924" s="1" t="s">
        <v>918</v>
      </c>
      <c r="C924" s="2" t="s">
        <v>225</v>
      </c>
      <c r="D924" s="1" t="s">
        <v>226</v>
      </c>
      <c r="E924" s="2" t="s">
        <v>919</v>
      </c>
    </row>
    <row r="925">
      <c r="A925" s="2" t="s">
        <v>922</v>
      </c>
      <c r="B925" s="1" t="s">
        <v>923</v>
      </c>
      <c r="C925" s="2" t="s">
        <v>141</v>
      </c>
      <c r="D925" s="1" t="s">
        <v>142</v>
      </c>
      <c r="E925" s="2" t="s">
        <v>924</v>
      </c>
    </row>
    <row r="926">
      <c r="A926" s="2" t="s">
        <v>943</v>
      </c>
      <c r="B926" s="1" t="s">
        <v>944</v>
      </c>
      <c r="C926" s="2" t="s">
        <v>12</v>
      </c>
      <c r="D926" s="1" t="s">
        <v>13</v>
      </c>
    </row>
    <row r="927">
      <c r="A927" s="2" t="s">
        <v>943</v>
      </c>
      <c r="B927" s="1" t="s">
        <v>944</v>
      </c>
      <c r="C927" s="2" t="s">
        <v>124</v>
      </c>
      <c r="D927" s="1" t="s">
        <v>125</v>
      </c>
    </row>
    <row r="928">
      <c r="A928" s="2" t="s">
        <v>943</v>
      </c>
      <c r="B928" s="1" t="s">
        <v>944</v>
      </c>
      <c r="C928" s="2" t="s">
        <v>139</v>
      </c>
      <c r="D928" s="1" t="s">
        <v>140</v>
      </c>
    </row>
    <row r="929">
      <c r="A929" s="2" t="s">
        <v>917</v>
      </c>
      <c r="B929" s="1" t="s">
        <v>918</v>
      </c>
      <c r="C929" s="2" t="s">
        <v>22</v>
      </c>
      <c r="D929" s="1" t="s">
        <v>23</v>
      </c>
      <c r="E929" s="2" t="s">
        <v>919</v>
      </c>
    </row>
    <row r="930">
      <c r="A930" s="2" t="s">
        <v>936</v>
      </c>
      <c r="B930" s="1" t="s">
        <v>937</v>
      </c>
      <c r="C930" s="2" t="s">
        <v>12</v>
      </c>
      <c r="D930" s="1" t="s">
        <v>13</v>
      </c>
    </row>
    <row r="931">
      <c r="A931" s="2" t="s">
        <v>936</v>
      </c>
      <c r="B931" s="1" t="s">
        <v>937</v>
      </c>
      <c r="C931" s="2" t="s">
        <v>405</v>
      </c>
      <c r="D931" s="1" t="s">
        <v>406</v>
      </c>
    </row>
    <row r="932">
      <c r="A932" s="2" t="s">
        <v>945</v>
      </c>
      <c r="B932" s="1" t="s">
        <v>946</v>
      </c>
      <c r="C932" s="2" t="s">
        <v>12</v>
      </c>
      <c r="D932" s="1" t="s">
        <v>13</v>
      </c>
    </row>
    <row r="933">
      <c r="A933" s="2" t="s">
        <v>908</v>
      </c>
      <c r="B933" s="1" t="s">
        <v>909</v>
      </c>
      <c r="C933" s="2" t="s">
        <v>79</v>
      </c>
      <c r="D933" s="1" t="s">
        <v>80</v>
      </c>
      <c r="E933" s="2" t="s">
        <v>910</v>
      </c>
    </row>
    <row r="934">
      <c r="A934" s="2" t="s">
        <v>947</v>
      </c>
      <c r="B934" s="1" t="s">
        <v>948</v>
      </c>
      <c r="C934" s="2" t="s">
        <v>116</v>
      </c>
      <c r="D934" s="1" t="s">
        <v>117</v>
      </c>
      <c r="E934" s="2" t="s">
        <v>949</v>
      </c>
    </row>
    <row r="935">
      <c r="A935" s="2" t="s">
        <v>936</v>
      </c>
      <c r="B935" s="1" t="s">
        <v>937</v>
      </c>
      <c r="C935" s="2" t="s">
        <v>49</v>
      </c>
      <c r="D935" s="1" t="s">
        <v>50</v>
      </c>
    </row>
    <row r="936">
      <c r="A936" s="2" t="s">
        <v>950</v>
      </c>
      <c r="B936" s="1" t="s">
        <v>951</v>
      </c>
      <c r="C936" s="2" t="s">
        <v>952</v>
      </c>
      <c r="D936" s="1" t="s">
        <v>953</v>
      </c>
    </row>
    <row r="937">
      <c r="A937" s="2" t="s">
        <v>945</v>
      </c>
      <c r="B937" s="1" t="s">
        <v>946</v>
      </c>
      <c r="C937" s="2" t="s">
        <v>49</v>
      </c>
      <c r="D937" s="1" t="s">
        <v>50</v>
      </c>
    </row>
    <row r="938">
      <c r="A938" s="2" t="s">
        <v>922</v>
      </c>
      <c r="B938" s="1" t="s">
        <v>923</v>
      </c>
      <c r="C938" s="2" t="s">
        <v>22</v>
      </c>
      <c r="D938" s="1" t="s">
        <v>23</v>
      </c>
      <c r="E938" s="2" t="s">
        <v>924</v>
      </c>
    </row>
    <row r="939">
      <c r="A939" s="2" t="s">
        <v>917</v>
      </c>
      <c r="B939" s="1" t="s">
        <v>918</v>
      </c>
      <c r="C939" s="2" t="s">
        <v>79</v>
      </c>
      <c r="D939" s="1" t="s">
        <v>80</v>
      </c>
      <c r="E939" s="2" t="s">
        <v>919</v>
      </c>
    </row>
    <row r="940">
      <c r="A940" s="2" t="s">
        <v>950</v>
      </c>
      <c r="B940" s="1" t="s">
        <v>951</v>
      </c>
      <c r="C940" s="2" t="s">
        <v>49</v>
      </c>
      <c r="D940" s="1" t="s">
        <v>50</v>
      </c>
    </row>
    <row r="941">
      <c r="A941" s="2" t="s">
        <v>904</v>
      </c>
      <c r="B941" s="1" t="s">
        <v>905</v>
      </c>
      <c r="C941" s="2" t="s">
        <v>118</v>
      </c>
      <c r="D941" s="1" t="s">
        <v>119</v>
      </c>
    </row>
    <row r="942">
      <c r="A942" s="2" t="s">
        <v>936</v>
      </c>
      <c r="B942" s="1" t="s">
        <v>937</v>
      </c>
      <c r="C942" s="2" t="s">
        <v>69</v>
      </c>
      <c r="D942" s="1" t="s">
        <v>70</v>
      </c>
    </row>
    <row r="943">
      <c r="A943" s="2" t="s">
        <v>940</v>
      </c>
      <c r="B943" s="1" t="s">
        <v>941</v>
      </c>
      <c r="C943" s="2" t="s">
        <v>114</v>
      </c>
      <c r="D943" s="1" t="s">
        <v>115</v>
      </c>
      <c r="E943" s="2" t="s">
        <v>942</v>
      </c>
    </row>
    <row r="944">
      <c r="A944" s="2" t="s">
        <v>945</v>
      </c>
      <c r="B944" s="1" t="s">
        <v>946</v>
      </c>
      <c r="C944" s="2" t="s">
        <v>69</v>
      </c>
      <c r="D944" s="1" t="s">
        <v>70</v>
      </c>
    </row>
    <row r="945">
      <c r="A945" s="2" t="s">
        <v>913</v>
      </c>
      <c r="B945" s="1" t="s">
        <v>914</v>
      </c>
      <c r="C945" s="2" t="s">
        <v>22</v>
      </c>
      <c r="D945" s="1" t="s">
        <v>23</v>
      </c>
    </row>
    <row r="946">
      <c r="A946" s="2" t="s">
        <v>913</v>
      </c>
      <c r="B946" s="1" t="s">
        <v>914</v>
      </c>
      <c r="C946" s="2" t="s">
        <v>151</v>
      </c>
      <c r="D946" s="1" t="s">
        <v>152</v>
      </c>
    </row>
    <row r="947">
      <c r="A947" s="2" t="s">
        <v>913</v>
      </c>
      <c r="B947" s="1" t="s">
        <v>914</v>
      </c>
      <c r="C947" s="2" t="s">
        <v>25</v>
      </c>
      <c r="D947" s="1" t="s">
        <v>26</v>
      </c>
    </row>
    <row r="948">
      <c r="A948" s="2" t="s">
        <v>954</v>
      </c>
      <c r="B948" s="1" t="s">
        <v>955</v>
      </c>
      <c r="C948" s="2" t="s">
        <v>173</v>
      </c>
      <c r="D948" s="1" t="s">
        <v>174</v>
      </c>
      <c r="E948" s="2" t="s">
        <v>956</v>
      </c>
    </row>
    <row r="949">
      <c r="A949" s="2" t="s">
        <v>954</v>
      </c>
      <c r="B949" s="1" t="s">
        <v>955</v>
      </c>
      <c r="C949" s="2" t="s">
        <v>22</v>
      </c>
      <c r="D949" s="1" t="s">
        <v>23</v>
      </c>
      <c r="E949" s="2" t="s">
        <v>956</v>
      </c>
    </row>
    <row r="950">
      <c r="A950" s="2" t="s">
        <v>954</v>
      </c>
      <c r="B950" s="1" t="s">
        <v>955</v>
      </c>
      <c r="C950" s="2" t="s">
        <v>25</v>
      </c>
      <c r="D950" s="1" t="s">
        <v>26</v>
      </c>
      <c r="E950" s="2" t="s">
        <v>956</v>
      </c>
    </row>
    <row r="951">
      <c r="A951" s="2" t="s">
        <v>950</v>
      </c>
      <c r="B951" s="1" t="s">
        <v>951</v>
      </c>
      <c r="C951" s="2" t="s">
        <v>280</v>
      </c>
      <c r="D951" s="1" t="s">
        <v>281</v>
      </c>
    </row>
    <row r="952">
      <c r="A952" s="2" t="s">
        <v>957</v>
      </c>
      <c r="B952" s="1" t="s">
        <v>958</v>
      </c>
      <c r="C952" s="2" t="s">
        <v>12</v>
      </c>
      <c r="D952" s="1" t="s">
        <v>13</v>
      </c>
      <c r="E952" s="2" t="s">
        <v>959</v>
      </c>
    </row>
    <row r="953">
      <c r="A953" s="2" t="s">
        <v>947</v>
      </c>
      <c r="B953" s="1" t="s">
        <v>948</v>
      </c>
      <c r="C953" s="2" t="s">
        <v>49</v>
      </c>
      <c r="D953" s="1" t="s">
        <v>50</v>
      </c>
      <c r="E953" s="2" t="s">
        <v>949</v>
      </c>
    </row>
    <row r="954">
      <c r="A954" s="2" t="s">
        <v>920</v>
      </c>
      <c r="B954" s="1" t="s">
        <v>921</v>
      </c>
      <c r="C954" s="2" t="s">
        <v>114</v>
      </c>
      <c r="D954" s="1" t="s">
        <v>115</v>
      </c>
    </row>
    <row r="955">
      <c r="A955" s="2" t="s">
        <v>957</v>
      </c>
      <c r="B955" s="1" t="s">
        <v>958</v>
      </c>
      <c r="C955" s="2" t="s">
        <v>35</v>
      </c>
      <c r="D955" s="1" t="s">
        <v>36</v>
      </c>
      <c r="E955" s="2" t="s">
        <v>959</v>
      </c>
    </row>
    <row r="956">
      <c r="A956" s="2" t="s">
        <v>928</v>
      </c>
      <c r="B956" s="1" t="s">
        <v>929</v>
      </c>
      <c r="C956" s="2" t="s">
        <v>22</v>
      </c>
      <c r="D956" s="1" t="s">
        <v>23</v>
      </c>
    </row>
    <row r="957">
      <c r="A957" s="2" t="s">
        <v>922</v>
      </c>
      <c r="B957" s="1" t="s">
        <v>923</v>
      </c>
      <c r="C957" s="2" t="s">
        <v>139</v>
      </c>
      <c r="D957" s="1" t="s">
        <v>140</v>
      </c>
      <c r="E957" s="2" t="s">
        <v>924</v>
      </c>
    </row>
    <row r="958">
      <c r="A958" s="2" t="s">
        <v>897</v>
      </c>
      <c r="B958" s="1" t="s">
        <v>898</v>
      </c>
      <c r="C958" s="2" t="s">
        <v>41</v>
      </c>
      <c r="D958" s="1" t="s">
        <v>42</v>
      </c>
    </row>
    <row r="959">
      <c r="A959" s="2" t="s">
        <v>892</v>
      </c>
      <c r="B959" s="1" t="s">
        <v>893</v>
      </c>
      <c r="C959" s="2" t="s">
        <v>353</v>
      </c>
      <c r="D959" s="1" t="s">
        <v>354</v>
      </c>
      <c r="E959" s="2" t="s">
        <v>894</v>
      </c>
    </row>
    <row r="960">
      <c r="A960" s="2" t="s">
        <v>897</v>
      </c>
      <c r="B960" s="1" t="s">
        <v>898</v>
      </c>
      <c r="C960" s="2" t="s">
        <v>79</v>
      </c>
      <c r="D960" s="1" t="s">
        <v>80</v>
      </c>
    </row>
    <row r="961">
      <c r="A961" s="2" t="s">
        <v>897</v>
      </c>
      <c r="B961" s="1" t="s">
        <v>898</v>
      </c>
      <c r="C961" s="2" t="s">
        <v>120</v>
      </c>
      <c r="D961" s="1" t="s">
        <v>121</v>
      </c>
    </row>
    <row r="962">
      <c r="A962" s="2" t="s">
        <v>930</v>
      </c>
      <c r="B962" s="1" t="s">
        <v>931</v>
      </c>
      <c r="C962" s="2" t="s">
        <v>114</v>
      </c>
      <c r="D962" s="1" t="s">
        <v>115</v>
      </c>
    </row>
    <row r="963">
      <c r="A963" s="2" t="s">
        <v>947</v>
      </c>
      <c r="B963" s="1" t="s">
        <v>948</v>
      </c>
      <c r="C963" s="2" t="s">
        <v>124</v>
      </c>
      <c r="D963" s="1" t="s">
        <v>125</v>
      </c>
      <c r="E963" s="2" t="s">
        <v>949</v>
      </c>
    </row>
    <row r="964">
      <c r="A964" s="2" t="s">
        <v>934</v>
      </c>
      <c r="B964" s="1" t="s">
        <v>935</v>
      </c>
      <c r="C964" s="2" t="s">
        <v>12</v>
      </c>
      <c r="D964" s="1" t="s">
        <v>13</v>
      </c>
    </row>
    <row r="965">
      <c r="A965" s="2" t="s">
        <v>934</v>
      </c>
      <c r="B965" s="1" t="s">
        <v>935</v>
      </c>
      <c r="C965" s="2" t="s">
        <v>84</v>
      </c>
      <c r="D965" s="1" t="s">
        <v>85</v>
      </c>
    </row>
    <row r="966">
      <c r="A966" s="2" t="s">
        <v>934</v>
      </c>
      <c r="B966" s="1" t="s">
        <v>935</v>
      </c>
      <c r="C966" s="2" t="s">
        <v>43</v>
      </c>
      <c r="D966" s="1" t="s">
        <v>44</v>
      </c>
    </row>
    <row r="967">
      <c r="A967" s="2" t="s">
        <v>934</v>
      </c>
      <c r="B967" s="1" t="s">
        <v>935</v>
      </c>
      <c r="C967" s="2" t="s">
        <v>49</v>
      </c>
      <c r="D967" s="1" t="s">
        <v>50</v>
      </c>
    </row>
    <row r="968">
      <c r="A968" s="2" t="s">
        <v>895</v>
      </c>
      <c r="B968" s="1" t="s">
        <v>896</v>
      </c>
      <c r="C968" s="2" t="s">
        <v>41</v>
      </c>
      <c r="D968" s="1" t="s">
        <v>42</v>
      </c>
    </row>
    <row r="969">
      <c r="A969" s="2" t="s">
        <v>895</v>
      </c>
      <c r="B969" s="1" t="s">
        <v>896</v>
      </c>
      <c r="C969" s="2" t="s">
        <v>960</v>
      </c>
      <c r="D969" s="1" t="s">
        <v>961</v>
      </c>
    </row>
    <row r="970">
      <c r="A970" s="2" t="s">
        <v>895</v>
      </c>
      <c r="B970" s="1" t="s">
        <v>896</v>
      </c>
      <c r="C970" s="2" t="s">
        <v>43</v>
      </c>
      <c r="D970" s="1" t="s">
        <v>44</v>
      </c>
    </row>
    <row r="971">
      <c r="A971" s="2" t="s">
        <v>954</v>
      </c>
      <c r="B971" s="1" t="s">
        <v>955</v>
      </c>
      <c r="C971" s="2" t="s">
        <v>962</v>
      </c>
      <c r="D971" s="1" t="s">
        <v>963</v>
      </c>
      <c r="E971" s="2" t="s">
        <v>956</v>
      </c>
    </row>
    <row r="972">
      <c r="A972" s="2" t="s">
        <v>957</v>
      </c>
      <c r="B972" s="1" t="s">
        <v>958</v>
      </c>
      <c r="C972" s="2" t="s">
        <v>964</v>
      </c>
      <c r="D972" s="1" t="s">
        <v>965</v>
      </c>
      <c r="E972" s="2" t="s">
        <v>959</v>
      </c>
    </row>
    <row r="973">
      <c r="A973" s="2" t="s">
        <v>945</v>
      </c>
      <c r="B973" s="1" t="s">
        <v>946</v>
      </c>
      <c r="C973" s="2" t="s">
        <v>25</v>
      </c>
      <c r="D973" s="1" t="s">
        <v>26</v>
      </c>
    </row>
    <row r="974">
      <c r="A974" s="2" t="s">
        <v>915</v>
      </c>
      <c r="B974" s="1" t="s">
        <v>916</v>
      </c>
      <c r="C974" s="2" t="s">
        <v>77</v>
      </c>
      <c r="D974" s="1" t="s">
        <v>78</v>
      </c>
    </row>
    <row r="975">
      <c r="A975" s="2" t="s">
        <v>936</v>
      </c>
      <c r="B975" s="1" t="s">
        <v>937</v>
      </c>
      <c r="C975" s="2" t="s">
        <v>118</v>
      </c>
      <c r="D975" s="1" t="s">
        <v>119</v>
      </c>
    </row>
    <row r="976">
      <c r="A976" s="2" t="s">
        <v>945</v>
      </c>
      <c r="B976" s="1" t="s">
        <v>946</v>
      </c>
      <c r="C976" s="2" t="s">
        <v>370</v>
      </c>
      <c r="D976" s="1" t="s">
        <v>371</v>
      </c>
    </row>
    <row r="977">
      <c r="A977" s="2" t="s">
        <v>915</v>
      </c>
      <c r="B977" s="1" t="s">
        <v>916</v>
      </c>
      <c r="C977" s="2" t="s">
        <v>43</v>
      </c>
      <c r="D977" s="1" t="s">
        <v>44</v>
      </c>
    </row>
    <row r="978">
      <c r="A978" s="2" t="s">
        <v>897</v>
      </c>
      <c r="B978" s="1" t="s">
        <v>898</v>
      </c>
      <c r="C978" s="2" t="s">
        <v>69</v>
      </c>
      <c r="D978" s="1" t="s">
        <v>70</v>
      </c>
    </row>
    <row r="979">
      <c r="A979" s="2" t="s">
        <v>945</v>
      </c>
      <c r="B979" s="1" t="s">
        <v>946</v>
      </c>
      <c r="C979" s="2" t="s">
        <v>118</v>
      </c>
      <c r="D979" s="1" t="s">
        <v>119</v>
      </c>
    </row>
    <row r="980">
      <c r="A980" s="2" t="s">
        <v>915</v>
      </c>
      <c r="B980" s="1" t="s">
        <v>916</v>
      </c>
      <c r="C980" s="2" t="s">
        <v>79</v>
      </c>
      <c r="D980" s="1" t="s">
        <v>80</v>
      </c>
    </row>
    <row r="981">
      <c r="A981" s="2" t="s">
        <v>957</v>
      </c>
      <c r="B981" s="1" t="s">
        <v>958</v>
      </c>
      <c r="C981" s="2" t="s">
        <v>173</v>
      </c>
      <c r="D981" s="1" t="s">
        <v>174</v>
      </c>
      <c r="E981" s="2" t="s">
        <v>959</v>
      </c>
    </row>
    <row r="982">
      <c r="A982" s="2" t="s">
        <v>934</v>
      </c>
      <c r="B982" s="1" t="s">
        <v>935</v>
      </c>
      <c r="C982" s="2" t="s">
        <v>92</v>
      </c>
      <c r="D982" s="1" t="s">
        <v>93</v>
      </c>
    </row>
    <row r="983">
      <c r="A983" s="2" t="s">
        <v>950</v>
      </c>
      <c r="B983" s="1" t="s">
        <v>951</v>
      </c>
      <c r="C983" s="2" t="s">
        <v>22</v>
      </c>
      <c r="D983" s="1" t="s">
        <v>23</v>
      </c>
    </row>
    <row r="984">
      <c r="A984" s="2" t="s">
        <v>925</v>
      </c>
      <c r="B984" s="1" t="s">
        <v>926</v>
      </c>
      <c r="C984" s="2" t="s">
        <v>12</v>
      </c>
      <c r="D984" s="1" t="s">
        <v>13</v>
      </c>
      <c r="E984" s="2" t="s">
        <v>927</v>
      </c>
    </row>
    <row r="985">
      <c r="A985" s="2" t="s">
        <v>895</v>
      </c>
      <c r="B985" s="1" t="s">
        <v>896</v>
      </c>
      <c r="C985" s="2" t="s">
        <v>92</v>
      </c>
      <c r="D985" s="1" t="s">
        <v>93</v>
      </c>
    </row>
    <row r="986">
      <c r="A986" s="2" t="s">
        <v>934</v>
      </c>
      <c r="B986" s="1" t="s">
        <v>935</v>
      </c>
      <c r="C986" s="2" t="s">
        <v>69</v>
      </c>
      <c r="D986" s="1" t="s">
        <v>70</v>
      </c>
    </row>
    <row r="987">
      <c r="A987" s="2" t="s">
        <v>915</v>
      </c>
      <c r="B987" s="1" t="s">
        <v>916</v>
      </c>
      <c r="C987" s="2" t="s">
        <v>90</v>
      </c>
      <c r="D987" s="1" t="s">
        <v>91</v>
      </c>
    </row>
    <row r="988">
      <c r="A988" s="2" t="s">
        <v>897</v>
      </c>
      <c r="B988" s="1" t="s">
        <v>898</v>
      </c>
      <c r="C988" s="2" t="s">
        <v>966</v>
      </c>
      <c r="D988" s="1" t="s">
        <v>967</v>
      </c>
    </row>
    <row r="989">
      <c r="A989" s="2" t="s">
        <v>922</v>
      </c>
      <c r="B989" s="1" t="s">
        <v>923</v>
      </c>
      <c r="C989" s="2" t="s">
        <v>341</v>
      </c>
      <c r="D989" s="1" t="s">
        <v>342</v>
      </c>
      <c r="E989" s="2" t="s">
        <v>924</v>
      </c>
    </row>
    <row r="990">
      <c r="A990" s="2" t="s">
        <v>968</v>
      </c>
      <c r="B990" s="1" t="s">
        <v>969</v>
      </c>
      <c r="C990" s="2" t="s">
        <v>970</v>
      </c>
      <c r="D990" s="1" t="s">
        <v>971</v>
      </c>
      <c r="E990" s="2" t="s">
        <v>972</v>
      </c>
    </row>
    <row r="991">
      <c r="A991" s="2" t="s">
        <v>973</v>
      </c>
      <c r="B991" s="1" t="s">
        <v>974</v>
      </c>
      <c r="C991" s="2" t="s">
        <v>41</v>
      </c>
      <c r="D991" s="1" t="s">
        <v>42</v>
      </c>
      <c r="E991" s="2" t="s">
        <v>975</v>
      </c>
    </row>
    <row r="992">
      <c r="A992" s="2" t="s">
        <v>976</v>
      </c>
      <c r="B992" s="1" t="s">
        <v>977</v>
      </c>
      <c r="C992" s="2" t="s">
        <v>22</v>
      </c>
      <c r="D992" s="1" t="s">
        <v>23</v>
      </c>
    </row>
    <row r="993">
      <c r="A993" s="2" t="s">
        <v>978</v>
      </c>
      <c r="B993" s="1" t="s">
        <v>979</v>
      </c>
      <c r="C993" s="2" t="s">
        <v>12</v>
      </c>
      <c r="D993" s="1" t="s">
        <v>13</v>
      </c>
    </row>
    <row r="994">
      <c r="A994" s="2" t="s">
        <v>973</v>
      </c>
      <c r="B994" s="1" t="s">
        <v>974</v>
      </c>
      <c r="C994" s="2" t="s">
        <v>12</v>
      </c>
      <c r="D994" s="1" t="s">
        <v>13</v>
      </c>
      <c r="E994" s="2" t="s">
        <v>975</v>
      </c>
    </row>
    <row r="995">
      <c r="A995" s="2" t="s">
        <v>980</v>
      </c>
      <c r="B995" s="1" t="s">
        <v>981</v>
      </c>
      <c r="C995" s="2" t="s">
        <v>49</v>
      </c>
      <c r="D995" s="1" t="s">
        <v>50</v>
      </c>
      <c r="E995" s="2" t="s">
        <v>982</v>
      </c>
    </row>
    <row r="996">
      <c r="A996" s="2" t="s">
        <v>983</v>
      </c>
      <c r="B996" s="1" t="s">
        <v>984</v>
      </c>
      <c r="C996" s="2" t="s">
        <v>77</v>
      </c>
      <c r="D996" s="1" t="s">
        <v>78</v>
      </c>
    </row>
    <row r="997">
      <c r="A997" s="2" t="s">
        <v>985</v>
      </c>
      <c r="B997" s="1" t="s">
        <v>986</v>
      </c>
      <c r="C997" s="2" t="s">
        <v>116</v>
      </c>
      <c r="D997" s="1" t="s">
        <v>117</v>
      </c>
    </row>
    <row r="998">
      <c r="A998" s="2" t="s">
        <v>973</v>
      </c>
      <c r="B998" s="1" t="s">
        <v>974</v>
      </c>
      <c r="C998" s="2" t="s">
        <v>77</v>
      </c>
      <c r="D998" s="1" t="s">
        <v>78</v>
      </c>
      <c r="E998" s="2" t="s">
        <v>975</v>
      </c>
    </row>
    <row r="999">
      <c r="A999" s="2" t="s">
        <v>987</v>
      </c>
      <c r="B999" s="1" t="s">
        <v>988</v>
      </c>
      <c r="C999" s="2" t="s">
        <v>22</v>
      </c>
      <c r="D999" s="1" t="s">
        <v>23</v>
      </c>
    </row>
    <row r="1000">
      <c r="A1000" s="2" t="s">
        <v>987</v>
      </c>
      <c r="B1000" s="1" t="s">
        <v>988</v>
      </c>
      <c r="C1000" s="2" t="s">
        <v>151</v>
      </c>
      <c r="D1000" s="1" t="s">
        <v>152</v>
      </c>
    </row>
    <row r="1001">
      <c r="A1001" s="2" t="s">
        <v>987</v>
      </c>
      <c r="B1001" s="1" t="s">
        <v>988</v>
      </c>
      <c r="C1001" s="2" t="s">
        <v>25</v>
      </c>
      <c r="D1001" s="1" t="s">
        <v>26</v>
      </c>
    </row>
    <row r="1002">
      <c r="A1002" s="2" t="s">
        <v>985</v>
      </c>
      <c r="B1002" s="1" t="s">
        <v>986</v>
      </c>
      <c r="C1002" s="2" t="s">
        <v>79</v>
      </c>
      <c r="D1002" s="1" t="s">
        <v>80</v>
      </c>
    </row>
    <row r="1003">
      <c r="A1003" s="2" t="s">
        <v>989</v>
      </c>
      <c r="B1003" s="1" t="s">
        <v>990</v>
      </c>
      <c r="C1003" s="2" t="s">
        <v>319</v>
      </c>
      <c r="D1003" s="1" t="s">
        <v>320</v>
      </c>
      <c r="E1003" s="2" t="s">
        <v>991</v>
      </c>
    </row>
    <row r="1004">
      <c r="A1004" s="2" t="s">
        <v>973</v>
      </c>
      <c r="B1004" s="1" t="s">
        <v>974</v>
      </c>
      <c r="C1004" s="2" t="s">
        <v>49</v>
      </c>
      <c r="D1004" s="1" t="s">
        <v>50</v>
      </c>
      <c r="E1004" s="2" t="s">
        <v>975</v>
      </c>
    </row>
    <row r="1005">
      <c r="A1005" s="2" t="s">
        <v>992</v>
      </c>
      <c r="B1005" s="1" t="s">
        <v>993</v>
      </c>
      <c r="C1005" s="2" t="s">
        <v>12</v>
      </c>
      <c r="D1005" s="1" t="s">
        <v>13</v>
      </c>
      <c r="E1005" s="2" t="s">
        <v>994</v>
      </c>
    </row>
    <row r="1006">
      <c r="A1006" s="2" t="s">
        <v>995</v>
      </c>
      <c r="B1006" s="1" t="s">
        <v>996</v>
      </c>
      <c r="C1006" s="2" t="s">
        <v>997</v>
      </c>
      <c r="D1006" s="1" t="s">
        <v>998</v>
      </c>
    </row>
    <row r="1007">
      <c r="A1007" s="2" t="s">
        <v>968</v>
      </c>
      <c r="B1007" s="1" t="s">
        <v>969</v>
      </c>
      <c r="C1007" s="2" t="s">
        <v>22</v>
      </c>
      <c r="D1007" s="1" t="s">
        <v>23</v>
      </c>
      <c r="E1007" s="2" t="s">
        <v>972</v>
      </c>
    </row>
    <row r="1008">
      <c r="A1008" s="2" t="s">
        <v>999</v>
      </c>
      <c r="B1008" s="1" t="s">
        <v>1000</v>
      </c>
      <c r="C1008" s="2" t="s">
        <v>173</v>
      </c>
      <c r="D1008" s="1" t="s">
        <v>174</v>
      </c>
      <c r="E1008" s="2" t="s">
        <v>1001</v>
      </c>
    </row>
    <row r="1009">
      <c r="A1009" s="2" t="s">
        <v>999</v>
      </c>
      <c r="B1009" s="1" t="s">
        <v>1000</v>
      </c>
      <c r="C1009" s="2" t="s">
        <v>22</v>
      </c>
      <c r="D1009" s="1" t="s">
        <v>23</v>
      </c>
      <c r="E1009" s="2" t="s">
        <v>1001</v>
      </c>
    </row>
    <row r="1010">
      <c r="A1010" s="2" t="s">
        <v>999</v>
      </c>
      <c r="B1010" s="1" t="s">
        <v>1000</v>
      </c>
      <c r="C1010" s="2" t="s">
        <v>25</v>
      </c>
      <c r="D1010" s="1" t="s">
        <v>26</v>
      </c>
      <c r="E1010" s="2" t="s">
        <v>1001</v>
      </c>
    </row>
    <row r="1011">
      <c r="A1011" s="2" t="s">
        <v>983</v>
      </c>
      <c r="B1011" s="1" t="s">
        <v>984</v>
      </c>
      <c r="C1011" s="2" t="s">
        <v>60</v>
      </c>
      <c r="D1011" s="1" t="s">
        <v>61</v>
      </c>
    </row>
    <row r="1012">
      <c r="A1012" s="2" t="s">
        <v>973</v>
      </c>
      <c r="B1012" s="1" t="s">
        <v>974</v>
      </c>
      <c r="C1012" s="2" t="s">
        <v>421</v>
      </c>
      <c r="D1012" s="1" t="s">
        <v>422</v>
      </c>
      <c r="E1012" s="2" t="s">
        <v>975</v>
      </c>
    </row>
    <row r="1013">
      <c r="A1013" s="2" t="s">
        <v>985</v>
      </c>
      <c r="B1013" s="1" t="s">
        <v>986</v>
      </c>
      <c r="C1013" s="2" t="s">
        <v>300</v>
      </c>
      <c r="D1013" s="1" t="s">
        <v>301</v>
      </c>
    </row>
    <row r="1014">
      <c r="A1014" s="2" t="s">
        <v>992</v>
      </c>
      <c r="B1014" s="1" t="s">
        <v>993</v>
      </c>
      <c r="C1014" s="2" t="s">
        <v>315</v>
      </c>
      <c r="D1014" s="1" t="s">
        <v>316</v>
      </c>
      <c r="E1014" s="2" t="s">
        <v>994</v>
      </c>
    </row>
    <row r="1015">
      <c r="A1015" s="2" t="s">
        <v>1002</v>
      </c>
      <c r="B1015" s="1" t="s">
        <v>1003</v>
      </c>
      <c r="C1015" s="2" t="s">
        <v>12</v>
      </c>
      <c r="D1015" s="1" t="s">
        <v>13</v>
      </c>
    </row>
    <row r="1016">
      <c r="A1016" s="2" t="s">
        <v>1002</v>
      </c>
      <c r="B1016" s="1" t="s">
        <v>1003</v>
      </c>
      <c r="C1016" s="2" t="s">
        <v>1004</v>
      </c>
      <c r="D1016" s="1" t="s">
        <v>1005</v>
      </c>
    </row>
    <row r="1017">
      <c r="A1017" s="2" t="s">
        <v>1006</v>
      </c>
      <c r="B1017" s="1" t="s">
        <v>1007</v>
      </c>
      <c r="C1017" s="2" t="s">
        <v>84</v>
      </c>
      <c r="D1017" s="1" t="s">
        <v>85</v>
      </c>
    </row>
    <row r="1018">
      <c r="A1018" s="2" t="s">
        <v>973</v>
      </c>
      <c r="B1018" s="1" t="s">
        <v>974</v>
      </c>
      <c r="C1018" s="2" t="s">
        <v>69</v>
      </c>
      <c r="D1018" s="1" t="s">
        <v>70</v>
      </c>
      <c r="E1018" s="2" t="s">
        <v>975</v>
      </c>
    </row>
    <row r="1019">
      <c r="A1019" s="2" t="s">
        <v>1006</v>
      </c>
      <c r="B1019" s="1" t="s">
        <v>1007</v>
      </c>
      <c r="C1019" s="2" t="s">
        <v>133</v>
      </c>
      <c r="D1019" s="1" t="s">
        <v>134</v>
      </c>
    </row>
    <row r="1020">
      <c r="A1020" s="2" t="s">
        <v>1006</v>
      </c>
      <c r="B1020" s="1" t="s">
        <v>1007</v>
      </c>
      <c r="C1020" s="2" t="s">
        <v>43</v>
      </c>
      <c r="D1020" s="1" t="s">
        <v>44</v>
      </c>
    </row>
    <row r="1021">
      <c r="A1021" s="2" t="s">
        <v>1008</v>
      </c>
      <c r="B1021" s="1" t="s">
        <v>1009</v>
      </c>
      <c r="C1021" s="2" t="s">
        <v>103</v>
      </c>
      <c r="D1021" s="1" t="s">
        <v>104</v>
      </c>
      <c r="E1021" s="2" t="s">
        <v>1010</v>
      </c>
    </row>
    <row r="1022">
      <c r="A1022" s="2" t="s">
        <v>1002</v>
      </c>
      <c r="B1022" s="1" t="s">
        <v>1003</v>
      </c>
      <c r="C1022" s="2" t="s">
        <v>49</v>
      </c>
      <c r="D1022" s="1" t="s">
        <v>50</v>
      </c>
    </row>
    <row r="1023">
      <c r="A1023" s="2" t="s">
        <v>980</v>
      </c>
      <c r="B1023" s="1" t="s">
        <v>981</v>
      </c>
      <c r="C1023" s="2" t="s">
        <v>43</v>
      </c>
      <c r="D1023" s="1" t="s">
        <v>44</v>
      </c>
      <c r="E1023" s="2" t="s">
        <v>982</v>
      </c>
    </row>
    <row r="1024">
      <c r="A1024" s="2" t="s">
        <v>980</v>
      </c>
      <c r="B1024" s="1" t="s">
        <v>981</v>
      </c>
      <c r="C1024" s="2" t="s">
        <v>22</v>
      </c>
      <c r="D1024" s="1" t="s">
        <v>23</v>
      </c>
      <c r="E1024" s="2" t="s">
        <v>982</v>
      </c>
    </row>
    <row r="1025">
      <c r="A1025" s="2" t="s">
        <v>973</v>
      </c>
      <c r="B1025" s="1" t="s">
        <v>974</v>
      </c>
      <c r="C1025" s="2" t="s">
        <v>43</v>
      </c>
      <c r="D1025" s="1" t="s">
        <v>44</v>
      </c>
      <c r="E1025" s="2" t="s">
        <v>975</v>
      </c>
    </row>
    <row r="1026">
      <c r="A1026" s="2" t="s">
        <v>1002</v>
      </c>
      <c r="B1026" s="1" t="s">
        <v>1003</v>
      </c>
      <c r="C1026" s="2" t="s">
        <v>757</v>
      </c>
      <c r="D1026" s="1" t="s">
        <v>758</v>
      </c>
    </row>
    <row r="1027">
      <c r="A1027" s="2" t="s">
        <v>992</v>
      </c>
      <c r="B1027" s="1" t="s">
        <v>993</v>
      </c>
      <c r="C1027" s="2" t="s">
        <v>407</v>
      </c>
      <c r="D1027" s="1" t="s">
        <v>408</v>
      </c>
      <c r="E1027" s="2" t="s">
        <v>994</v>
      </c>
    </row>
    <row r="1028">
      <c r="A1028" s="2" t="s">
        <v>992</v>
      </c>
      <c r="B1028" s="1" t="s">
        <v>993</v>
      </c>
      <c r="C1028" s="2" t="s">
        <v>25</v>
      </c>
      <c r="D1028" s="1" t="s">
        <v>26</v>
      </c>
      <c r="E1028" s="2" t="s">
        <v>994</v>
      </c>
    </row>
    <row r="1029">
      <c r="A1029" s="2" t="s">
        <v>992</v>
      </c>
      <c r="B1029" s="1" t="s">
        <v>993</v>
      </c>
      <c r="C1029" s="2" t="s">
        <v>75</v>
      </c>
      <c r="D1029" s="1" t="s">
        <v>76</v>
      </c>
      <c r="E1029" s="2" t="s">
        <v>994</v>
      </c>
    </row>
    <row r="1030">
      <c r="A1030" s="2" t="s">
        <v>1011</v>
      </c>
      <c r="B1030" s="1" t="s">
        <v>1012</v>
      </c>
      <c r="C1030" s="2" t="s">
        <v>35</v>
      </c>
      <c r="D1030" s="1" t="s">
        <v>36</v>
      </c>
    </row>
    <row r="1031">
      <c r="A1031" s="2" t="s">
        <v>1011</v>
      </c>
      <c r="B1031" s="1" t="s">
        <v>1012</v>
      </c>
      <c r="C1031" s="2" t="s">
        <v>56</v>
      </c>
      <c r="D1031" s="1" t="s">
        <v>57</v>
      </c>
    </row>
    <row r="1032">
      <c r="A1032" s="2" t="s">
        <v>1011</v>
      </c>
      <c r="B1032" s="1" t="s">
        <v>1012</v>
      </c>
      <c r="C1032" s="2" t="s">
        <v>133</v>
      </c>
      <c r="D1032" s="1" t="s">
        <v>134</v>
      </c>
    </row>
    <row r="1033">
      <c r="A1033" s="2" t="s">
        <v>995</v>
      </c>
      <c r="B1033" s="1" t="s">
        <v>996</v>
      </c>
      <c r="C1033" s="2" t="s">
        <v>1013</v>
      </c>
      <c r="D1033" s="1" t="s">
        <v>1014</v>
      </c>
    </row>
    <row r="1034">
      <c r="A1034" s="2" t="s">
        <v>1011</v>
      </c>
      <c r="B1034" s="1" t="s">
        <v>1012</v>
      </c>
      <c r="C1034" s="2" t="s">
        <v>43</v>
      </c>
      <c r="D1034" s="1" t="s">
        <v>44</v>
      </c>
    </row>
    <row r="1035">
      <c r="A1035" s="2" t="s">
        <v>1015</v>
      </c>
      <c r="B1035" s="1" t="s">
        <v>1016</v>
      </c>
      <c r="C1035" s="2" t="s">
        <v>1017</v>
      </c>
      <c r="D1035" s="1" t="s">
        <v>1018</v>
      </c>
      <c r="E1035" s="2" t="s">
        <v>1019</v>
      </c>
    </row>
    <row r="1036">
      <c r="A1036" s="2" t="s">
        <v>1020</v>
      </c>
      <c r="B1036" s="1" t="s">
        <v>1021</v>
      </c>
      <c r="C1036" s="2" t="s">
        <v>56</v>
      </c>
      <c r="D1036" s="1" t="s">
        <v>57</v>
      </c>
    </row>
    <row r="1037">
      <c r="A1037" s="2" t="s">
        <v>1020</v>
      </c>
      <c r="B1037" s="1" t="s">
        <v>1021</v>
      </c>
      <c r="C1037" s="2" t="s">
        <v>133</v>
      </c>
      <c r="D1037" s="1" t="s">
        <v>134</v>
      </c>
    </row>
    <row r="1038">
      <c r="A1038" s="2" t="s">
        <v>1020</v>
      </c>
      <c r="B1038" s="1" t="s">
        <v>1021</v>
      </c>
      <c r="C1038" s="2" t="s">
        <v>43</v>
      </c>
      <c r="D1038" s="1" t="s">
        <v>44</v>
      </c>
    </row>
    <row r="1039">
      <c r="A1039" s="2" t="s">
        <v>1020</v>
      </c>
      <c r="B1039" s="1" t="s">
        <v>1021</v>
      </c>
      <c r="C1039" s="2" t="s">
        <v>871</v>
      </c>
      <c r="D1039" s="1" t="s">
        <v>642</v>
      </c>
    </row>
    <row r="1040">
      <c r="A1040" s="2" t="s">
        <v>989</v>
      </c>
      <c r="B1040" s="1" t="s">
        <v>990</v>
      </c>
      <c r="C1040" s="2" t="s">
        <v>77</v>
      </c>
      <c r="D1040" s="1" t="s">
        <v>78</v>
      </c>
      <c r="E1040" s="2" t="s">
        <v>991</v>
      </c>
    </row>
    <row r="1041">
      <c r="A1041" s="2" t="s">
        <v>1008</v>
      </c>
      <c r="B1041" s="1" t="s">
        <v>1009</v>
      </c>
      <c r="C1041" s="2" t="s">
        <v>43</v>
      </c>
      <c r="D1041" s="1" t="s">
        <v>44</v>
      </c>
      <c r="E1041" s="2" t="s">
        <v>1010</v>
      </c>
    </row>
    <row r="1042">
      <c r="A1042" s="2" t="s">
        <v>1022</v>
      </c>
      <c r="B1042" s="1" t="s">
        <v>1023</v>
      </c>
      <c r="C1042" s="2" t="s">
        <v>41</v>
      </c>
      <c r="D1042" s="1" t="s">
        <v>42</v>
      </c>
    </row>
    <row r="1043">
      <c r="A1043" s="2" t="s">
        <v>1022</v>
      </c>
      <c r="B1043" s="1" t="s">
        <v>1023</v>
      </c>
      <c r="C1043" s="2" t="s">
        <v>43</v>
      </c>
      <c r="D1043" s="1" t="s">
        <v>44</v>
      </c>
    </row>
    <row r="1044">
      <c r="A1044" s="2" t="s">
        <v>1011</v>
      </c>
      <c r="B1044" s="1" t="s">
        <v>1012</v>
      </c>
      <c r="C1044" s="2" t="s">
        <v>225</v>
      </c>
      <c r="D1044" s="1" t="s">
        <v>226</v>
      </c>
    </row>
    <row r="1045">
      <c r="A1045" s="2" t="s">
        <v>1024</v>
      </c>
      <c r="B1045" s="1" t="s">
        <v>1025</v>
      </c>
      <c r="C1045" s="2" t="s">
        <v>133</v>
      </c>
      <c r="D1045" s="1" t="s">
        <v>134</v>
      </c>
      <c r="E1045" s="2" t="s">
        <v>1026</v>
      </c>
    </row>
    <row r="1046">
      <c r="A1046" s="2" t="s">
        <v>1022</v>
      </c>
      <c r="B1046" s="1" t="s">
        <v>1023</v>
      </c>
      <c r="C1046" s="2" t="s">
        <v>49</v>
      </c>
      <c r="D1046" s="1" t="s">
        <v>50</v>
      </c>
    </row>
    <row r="1047">
      <c r="A1047" s="2" t="s">
        <v>1024</v>
      </c>
      <c r="B1047" s="1" t="s">
        <v>1025</v>
      </c>
      <c r="C1047" s="2" t="s">
        <v>1027</v>
      </c>
      <c r="D1047" s="1" t="s">
        <v>1028</v>
      </c>
      <c r="E1047" s="2" t="s">
        <v>1026</v>
      </c>
    </row>
    <row r="1048">
      <c r="A1048" s="2" t="s">
        <v>1029</v>
      </c>
      <c r="B1048" s="1" t="s">
        <v>1030</v>
      </c>
      <c r="C1048" s="2" t="s">
        <v>1031</v>
      </c>
      <c r="D1048" s="1" t="s">
        <v>1032</v>
      </c>
    </row>
    <row r="1049">
      <c r="A1049" s="2" t="s">
        <v>995</v>
      </c>
      <c r="B1049" s="1" t="s">
        <v>996</v>
      </c>
      <c r="C1049" s="2" t="s">
        <v>22</v>
      </c>
      <c r="D1049" s="1" t="s">
        <v>23</v>
      </c>
    </row>
    <row r="1050">
      <c r="A1050" s="2" t="s">
        <v>1015</v>
      </c>
      <c r="B1050" s="1" t="s">
        <v>1016</v>
      </c>
      <c r="C1050" s="2" t="s">
        <v>193</v>
      </c>
      <c r="D1050" s="1" t="s">
        <v>194</v>
      </c>
      <c r="E1050" s="2" t="s">
        <v>1019</v>
      </c>
    </row>
    <row r="1051">
      <c r="A1051" s="2" t="s">
        <v>1033</v>
      </c>
      <c r="B1051" s="1" t="s">
        <v>1034</v>
      </c>
      <c r="C1051" s="2" t="s">
        <v>77</v>
      </c>
      <c r="D1051" s="1" t="s">
        <v>78</v>
      </c>
      <c r="E1051" s="2" t="s">
        <v>1035</v>
      </c>
    </row>
    <row r="1052">
      <c r="A1052" s="2" t="s">
        <v>976</v>
      </c>
      <c r="B1052" s="1" t="s">
        <v>977</v>
      </c>
      <c r="C1052" s="2" t="s">
        <v>41</v>
      </c>
      <c r="D1052" s="1" t="s">
        <v>42</v>
      </c>
    </row>
    <row r="1053">
      <c r="A1053" s="2" t="s">
        <v>976</v>
      </c>
      <c r="B1053" s="1" t="s">
        <v>977</v>
      </c>
      <c r="C1053" s="2" t="s">
        <v>43</v>
      </c>
      <c r="D1053" s="1" t="s">
        <v>44</v>
      </c>
    </row>
    <row r="1054">
      <c r="A1054" s="2" t="s">
        <v>1033</v>
      </c>
      <c r="B1054" s="1" t="s">
        <v>1034</v>
      </c>
      <c r="C1054" s="2" t="s">
        <v>49</v>
      </c>
      <c r="D1054" s="1" t="s">
        <v>50</v>
      </c>
      <c r="E1054" s="2" t="s">
        <v>1035</v>
      </c>
    </row>
    <row r="1055">
      <c r="A1055" s="2" t="s">
        <v>976</v>
      </c>
      <c r="B1055" s="1" t="s">
        <v>977</v>
      </c>
      <c r="C1055" s="2" t="s">
        <v>49</v>
      </c>
      <c r="D1055" s="1" t="s">
        <v>50</v>
      </c>
    </row>
    <row r="1056">
      <c r="A1056" s="2" t="s">
        <v>1020</v>
      </c>
      <c r="B1056" s="1" t="s">
        <v>1021</v>
      </c>
      <c r="C1056" s="2" t="s">
        <v>17</v>
      </c>
      <c r="D1056" s="1" t="s">
        <v>18</v>
      </c>
    </row>
    <row r="1057">
      <c r="A1057" s="2" t="s">
        <v>1036</v>
      </c>
      <c r="B1057" s="1" t="s">
        <v>1037</v>
      </c>
      <c r="C1057" s="2" t="s">
        <v>128</v>
      </c>
      <c r="D1057" s="1" t="s">
        <v>129</v>
      </c>
      <c r="E1057" s="2" t="s">
        <v>1038</v>
      </c>
    </row>
    <row r="1058">
      <c r="A1058" s="2" t="s">
        <v>1036</v>
      </c>
      <c r="B1058" s="1" t="s">
        <v>1037</v>
      </c>
      <c r="C1058" s="2" t="s">
        <v>225</v>
      </c>
      <c r="D1058" s="1" t="s">
        <v>226</v>
      </c>
      <c r="E1058" s="2" t="s">
        <v>1038</v>
      </c>
    </row>
    <row r="1059">
      <c r="A1059" s="2" t="s">
        <v>1022</v>
      </c>
      <c r="B1059" s="1" t="s">
        <v>1023</v>
      </c>
      <c r="C1059" s="2" t="s">
        <v>69</v>
      </c>
      <c r="D1059" s="1" t="s">
        <v>70</v>
      </c>
    </row>
    <row r="1060">
      <c r="A1060" s="2" t="s">
        <v>987</v>
      </c>
      <c r="B1060" s="1" t="s">
        <v>988</v>
      </c>
      <c r="C1060" s="2" t="s">
        <v>49</v>
      </c>
      <c r="D1060" s="1" t="s">
        <v>50</v>
      </c>
    </row>
    <row r="1061">
      <c r="A1061" s="2" t="s">
        <v>989</v>
      </c>
      <c r="B1061" s="1" t="s">
        <v>990</v>
      </c>
      <c r="C1061" s="2" t="s">
        <v>114</v>
      </c>
      <c r="D1061" s="1" t="s">
        <v>115</v>
      </c>
      <c r="E1061" s="2" t="s">
        <v>991</v>
      </c>
    </row>
    <row r="1062">
      <c r="A1062" s="2" t="s">
        <v>989</v>
      </c>
      <c r="B1062" s="1" t="s">
        <v>990</v>
      </c>
      <c r="C1062" s="2" t="s">
        <v>22</v>
      </c>
      <c r="D1062" s="1" t="s">
        <v>23</v>
      </c>
      <c r="E1062" s="2" t="s">
        <v>991</v>
      </c>
    </row>
    <row r="1063">
      <c r="A1063" s="2" t="s">
        <v>1036</v>
      </c>
      <c r="B1063" s="1" t="s">
        <v>1037</v>
      </c>
      <c r="C1063" s="2" t="s">
        <v>173</v>
      </c>
      <c r="D1063" s="1" t="s">
        <v>174</v>
      </c>
      <c r="E1063" s="2" t="s">
        <v>1038</v>
      </c>
    </row>
    <row r="1064">
      <c r="A1064" s="2" t="s">
        <v>1036</v>
      </c>
      <c r="B1064" s="1" t="s">
        <v>1037</v>
      </c>
      <c r="C1064" s="2" t="s">
        <v>22</v>
      </c>
      <c r="D1064" s="1" t="s">
        <v>23</v>
      </c>
      <c r="E1064" s="2" t="s">
        <v>1038</v>
      </c>
    </row>
    <row r="1065">
      <c r="A1065" s="2" t="s">
        <v>1002</v>
      </c>
      <c r="B1065" s="1" t="s">
        <v>1003</v>
      </c>
      <c r="C1065" s="2" t="s">
        <v>25</v>
      </c>
      <c r="D1065" s="1" t="s">
        <v>26</v>
      </c>
    </row>
    <row r="1066">
      <c r="A1066" s="2" t="s">
        <v>1029</v>
      </c>
      <c r="B1066" s="1" t="s">
        <v>1030</v>
      </c>
      <c r="C1066" s="2" t="s">
        <v>645</v>
      </c>
      <c r="D1066" s="1" t="s">
        <v>646</v>
      </c>
    </row>
    <row r="1067">
      <c r="A1067" s="2" t="s">
        <v>1002</v>
      </c>
      <c r="B1067" s="1" t="s">
        <v>1003</v>
      </c>
      <c r="C1067" s="2" t="s">
        <v>370</v>
      </c>
      <c r="D1067" s="1" t="s">
        <v>371</v>
      </c>
    </row>
    <row r="1068">
      <c r="A1068" s="2" t="s">
        <v>976</v>
      </c>
      <c r="B1068" s="1" t="s">
        <v>977</v>
      </c>
      <c r="C1068" s="2" t="s">
        <v>69</v>
      </c>
      <c r="D1068" s="1" t="s">
        <v>70</v>
      </c>
    </row>
    <row r="1069">
      <c r="A1069" s="2" t="s">
        <v>1029</v>
      </c>
      <c r="B1069" s="1" t="s">
        <v>1030</v>
      </c>
      <c r="C1069" s="2" t="s">
        <v>345</v>
      </c>
      <c r="D1069" s="1" t="s">
        <v>346</v>
      </c>
    </row>
    <row r="1070">
      <c r="A1070" s="2" t="s">
        <v>1024</v>
      </c>
      <c r="B1070" s="1" t="s">
        <v>1025</v>
      </c>
      <c r="C1070" s="2" t="s">
        <v>234</v>
      </c>
      <c r="D1070" s="1" t="s">
        <v>235</v>
      </c>
      <c r="E1070" s="2" t="s">
        <v>1026</v>
      </c>
    </row>
    <row r="1071">
      <c r="A1071" s="2" t="s">
        <v>1039</v>
      </c>
      <c r="B1071" s="1" t="s">
        <v>1040</v>
      </c>
      <c r="C1071" s="2" t="s">
        <v>12</v>
      </c>
      <c r="D1071" s="1" t="s">
        <v>13</v>
      </c>
    </row>
    <row r="1072">
      <c r="A1072" s="2" t="s">
        <v>1024</v>
      </c>
      <c r="B1072" s="1" t="s">
        <v>1025</v>
      </c>
      <c r="C1072" s="2" t="s">
        <v>370</v>
      </c>
      <c r="D1072" s="1" t="s">
        <v>371</v>
      </c>
      <c r="E1072" s="2" t="s">
        <v>1026</v>
      </c>
    </row>
    <row r="1073">
      <c r="A1073" s="2" t="s">
        <v>1033</v>
      </c>
      <c r="B1073" s="1" t="s">
        <v>1034</v>
      </c>
      <c r="C1073" s="2" t="s">
        <v>22</v>
      </c>
      <c r="D1073" s="1" t="s">
        <v>23</v>
      </c>
      <c r="E1073" s="2" t="s">
        <v>1035</v>
      </c>
    </row>
    <row r="1074">
      <c r="A1074" s="2" t="s">
        <v>1041</v>
      </c>
      <c r="B1074" s="1" t="s">
        <v>1042</v>
      </c>
      <c r="C1074" s="2" t="s">
        <v>216</v>
      </c>
      <c r="D1074" s="1" t="s">
        <v>217</v>
      </c>
      <c r="E1074" s="2" t="s">
        <v>1043</v>
      </c>
    </row>
    <row r="1075">
      <c r="A1075" s="2" t="s">
        <v>1015</v>
      </c>
      <c r="B1075" s="1" t="s">
        <v>1016</v>
      </c>
      <c r="C1075" s="2" t="s">
        <v>43</v>
      </c>
      <c r="D1075" s="1" t="s">
        <v>44</v>
      </c>
      <c r="E1075" s="2" t="s">
        <v>1019</v>
      </c>
    </row>
    <row r="1076">
      <c r="A1076" s="2" t="s">
        <v>1036</v>
      </c>
      <c r="B1076" s="1" t="s">
        <v>1037</v>
      </c>
      <c r="C1076" s="2" t="s">
        <v>1044</v>
      </c>
      <c r="D1076" s="1" t="s">
        <v>1045</v>
      </c>
      <c r="E1076" s="2" t="s">
        <v>1038</v>
      </c>
    </row>
    <row r="1077">
      <c r="A1077" s="2" t="s">
        <v>1015</v>
      </c>
      <c r="B1077" s="1" t="s">
        <v>1016</v>
      </c>
      <c r="C1077" s="2" t="s">
        <v>22</v>
      </c>
      <c r="D1077" s="1" t="s">
        <v>23</v>
      </c>
      <c r="E1077" s="2" t="s">
        <v>1019</v>
      </c>
    </row>
    <row r="1078">
      <c r="A1078" s="2" t="s">
        <v>1015</v>
      </c>
      <c r="B1078" s="1" t="s">
        <v>1016</v>
      </c>
      <c r="C1078" s="2" t="s">
        <v>25</v>
      </c>
      <c r="D1078" s="1" t="s">
        <v>26</v>
      </c>
      <c r="E1078" s="2" t="s">
        <v>1019</v>
      </c>
    </row>
    <row r="1079">
      <c r="A1079" s="2" t="s">
        <v>1041</v>
      </c>
      <c r="B1079" s="1" t="s">
        <v>1042</v>
      </c>
      <c r="C1079" s="2" t="s">
        <v>43</v>
      </c>
      <c r="D1079" s="1" t="s">
        <v>44</v>
      </c>
      <c r="E1079" s="2" t="s">
        <v>1043</v>
      </c>
    </row>
    <row r="1080">
      <c r="A1080" s="2" t="s">
        <v>980</v>
      </c>
      <c r="B1080" s="1" t="s">
        <v>981</v>
      </c>
      <c r="C1080" s="2" t="s">
        <v>53</v>
      </c>
      <c r="D1080" s="1" t="s">
        <v>54</v>
      </c>
      <c r="E1080" s="2" t="s">
        <v>982</v>
      </c>
    </row>
    <row r="1081">
      <c r="A1081" s="2" t="s">
        <v>1033</v>
      </c>
      <c r="B1081" s="1" t="s">
        <v>1034</v>
      </c>
      <c r="C1081" s="2" t="s">
        <v>252</v>
      </c>
      <c r="D1081" s="1" t="s">
        <v>253</v>
      </c>
      <c r="E1081" s="2" t="s">
        <v>1035</v>
      </c>
    </row>
    <row r="1082">
      <c r="A1082" s="2" t="s">
        <v>1029</v>
      </c>
      <c r="B1082" s="1" t="s">
        <v>1030</v>
      </c>
      <c r="C1082" s="2" t="s">
        <v>677</v>
      </c>
      <c r="D1082" s="1" t="s">
        <v>678</v>
      </c>
    </row>
    <row r="1083">
      <c r="A1083" s="2" t="s">
        <v>1041</v>
      </c>
      <c r="B1083" s="1" t="s">
        <v>1042</v>
      </c>
      <c r="C1083" s="2" t="s">
        <v>1046</v>
      </c>
      <c r="D1083" s="1" t="s">
        <v>1047</v>
      </c>
      <c r="E1083" s="2" t="s">
        <v>1043</v>
      </c>
    </row>
    <row r="1084">
      <c r="A1084" s="2" t="s">
        <v>989</v>
      </c>
      <c r="B1084" s="1" t="s">
        <v>990</v>
      </c>
      <c r="C1084" s="2" t="s">
        <v>139</v>
      </c>
      <c r="D1084" s="1" t="s">
        <v>140</v>
      </c>
      <c r="E1084" s="2" t="s">
        <v>991</v>
      </c>
    </row>
    <row r="1085">
      <c r="A1085" s="2" t="s">
        <v>1015</v>
      </c>
      <c r="B1085" s="1" t="s">
        <v>1016</v>
      </c>
      <c r="C1085" s="2" t="s">
        <v>120</v>
      </c>
      <c r="D1085" s="1" t="s">
        <v>121</v>
      </c>
      <c r="E1085" s="2" t="s">
        <v>1019</v>
      </c>
    </row>
    <row r="1086">
      <c r="A1086" s="2" t="s">
        <v>1048</v>
      </c>
      <c r="B1086" s="1" t="s">
        <v>1049</v>
      </c>
      <c r="C1086" s="2" t="s">
        <v>47</v>
      </c>
      <c r="D1086" s="1" t="s">
        <v>48</v>
      </c>
      <c r="E1086" s="2" t="s">
        <v>1050</v>
      </c>
    </row>
    <row r="1087">
      <c r="A1087" s="2" t="s">
        <v>1022</v>
      </c>
      <c r="B1087" s="1" t="s">
        <v>1023</v>
      </c>
      <c r="C1087" s="2" t="s">
        <v>370</v>
      </c>
      <c r="D1087" s="1" t="s">
        <v>371</v>
      </c>
    </row>
    <row r="1088">
      <c r="A1088" s="2" t="s">
        <v>1048</v>
      </c>
      <c r="B1088" s="1" t="s">
        <v>1049</v>
      </c>
      <c r="C1088" s="2" t="s">
        <v>35</v>
      </c>
      <c r="D1088" s="1" t="s">
        <v>36</v>
      </c>
      <c r="E1088" s="2" t="s">
        <v>1050</v>
      </c>
    </row>
    <row r="1089">
      <c r="A1089" s="2" t="s">
        <v>1041</v>
      </c>
      <c r="B1089" s="1" t="s">
        <v>1042</v>
      </c>
      <c r="C1089" s="2" t="s">
        <v>120</v>
      </c>
      <c r="D1089" s="1" t="s">
        <v>121</v>
      </c>
      <c r="E1089" s="2" t="s">
        <v>1043</v>
      </c>
    </row>
    <row r="1090">
      <c r="A1090" s="2" t="s">
        <v>1051</v>
      </c>
      <c r="B1090" s="1" t="s">
        <v>1052</v>
      </c>
      <c r="C1090" s="2" t="s">
        <v>151</v>
      </c>
      <c r="D1090" s="1" t="s">
        <v>152</v>
      </c>
    </row>
    <row r="1091">
      <c r="A1091" s="2" t="s">
        <v>1053</v>
      </c>
      <c r="B1091" s="1" t="s">
        <v>1054</v>
      </c>
      <c r="C1091" s="2" t="s">
        <v>41</v>
      </c>
      <c r="D1091" s="1" t="s">
        <v>42</v>
      </c>
    </row>
    <row r="1092">
      <c r="A1092" s="2" t="s">
        <v>1055</v>
      </c>
      <c r="B1092" s="1" t="s">
        <v>1056</v>
      </c>
      <c r="C1092" s="2" t="s">
        <v>41</v>
      </c>
      <c r="D1092" s="1" t="s">
        <v>42</v>
      </c>
    </row>
    <row r="1093">
      <c r="A1093" s="2" t="s">
        <v>1057</v>
      </c>
      <c r="B1093" s="1" t="s">
        <v>1058</v>
      </c>
      <c r="C1093" s="2" t="s">
        <v>41</v>
      </c>
      <c r="D1093" s="1" t="s">
        <v>42</v>
      </c>
    </row>
    <row r="1094">
      <c r="A1094" s="2" t="s">
        <v>1057</v>
      </c>
      <c r="B1094" s="1" t="s">
        <v>1058</v>
      </c>
      <c r="C1094" s="2" t="s">
        <v>288</v>
      </c>
      <c r="D1094" s="1" t="s">
        <v>289</v>
      </c>
    </row>
    <row r="1095">
      <c r="A1095" s="2" t="s">
        <v>1053</v>
      </c>
      <c r="B1095" s="1" t="s">
        <v>1054</v>
      </c>
      <c r="C1095" s="2" t="s">
        <v>49</v>
      </c>
      <c r="D1095" s="1" t="s">
        <v>50</v>
      </c>
    </row>
    <row r="1096">
      <c r="A1096" s="2" t="s">
        <v>1055</v>
      </c>
      <c r="B1096" s="1" t="s">
        <v>1056</v>
      </c>
      <c r="C1096" s="2" t="s">
        <v>43</v>
      </c>
      <c r="D1096" s="1" t="s">
        <v>44</v>
      </c>
    </row>
    <row r="1097">
      <c r="A1097" s="2" t="s">
        <v>1057</v>
      </c>
      <c r="B1097" s="1" t="s">
        <v>1058</v>
      </c>
      <c r="C1097" s="2" t="s">
        <v>43</v>
      </c>
      <c r="D1097" s="1" t="s">
        <v>44</v>
      </c>
    </row>
    <row r="1098">
      <c r="A1098" s="2" t="s">
        <v>1055</v>
      </c>
      <c r="B1098" s="1" t="s">
        <v>1056</v>
      </c>
      <c r="C1098" s="2" t="s">
        <v>49</v>
      </c>
      <c r="D1098" s="1" t="s">
        <v>50</v>
      </c>
    </row>
    <row r="1099">
      <c r="A1099" s="2" t="s">
        <v>1057</v>
      </c>
      <c r="B1099" s="1" t="s">
        <v>1058</v>
      </c>
      <c r="C1099" s="2" t="s">
        <v>49</v>
      </c>
      <c r="D1099" s="1" t="s">
        <v>50</v>
      </c>
    </row>
    <row r="1100">
      <c r="A1100" s="2" t="s">
        <v>1059</v>
      </c>
      <c r="B1100" s="1" t="s">
        <v>1060</v>
      </c>
      <c r="C1100" s="2" t="s">
        <v>41</v>
      </c>
      <c r="D1100" s="1" t="s">
        <v>42</v>
      </c>
    </row>
    <row r="1101">
      <c r="A1101" s="2" t="s">
        <v>1061</v>
      </c>
      <c r="B1101" s="1" t="s">
        <v>1062</v>
      </c>
      <c r="C1101" s="2" t="s">
        <v>43</v>
      </c>
      <c r="D1101" s="1" t="s">
        <v>44</v>
      </c>
    </row>
    <row r="1102">
      <c r="A1102" s="2" t="s">
        <v>1059</v>
      </c>
      <c r="B1102" s="1" t="s">
        <v>1060</v>
      </c>
      <c r="C1102" s="2" t="s">
        <v>49</v>
      </c>
      <c r="D1102" s="1" t="s">
        <v>50</v>
      </c>
    </row>
    <row r="1103">
      <c r="A1103" s="2" t="s">
        <v>1063</v>
      </c>
      <c r="B1103" s="1" t="s">
        <v>1064</v>
      </c>
      <c r="C1103" s="2" t="s">
        <v>41</v>
      </c>
      <c r="D1103" s="1" t="s">
        <v>42</v>
      </c>
    </row>
    <row r="1104">
      <c r="A1104" s="2" t="s">
        <v>1063</v>
      </c>
      <c r="B1104" s="1" t="s">
        <v>1064</v>
      </c>
      <c r="C1104" s="2" t="s">
        <v>84</v>
      </c>
      <c r="D1104" s="1" t="s">
        <v>85</v>
      </c>
    </row>
    <row r="1105">
      <c r="A1105" s="2" t="s">
        <v>1065</v>
      </c>
      <c r="B1105" s="1" t="s">
        <v>1066</v>
      </c>
      <c r="C1105" s="2" t="s">
        <v>41</v>
      </c>
      <c r="D1105" s="1" t="s">
        <v>42</v>
      </c>
    </row>
    <row r="1106">
      <c r="A1106" s="2" t="s">
        <v>1063</v>
      </c>
      <c r="B1106" s="1" t="s">
        <v>1064</v>
      </c>
      <c r="C1106" s="2" t="s">
        <v>43</v>
      </c>
      <c r="D1106" s="1" t="s">
        <v>44</v>
      </c>
    </row>
    <row r="1107">
      <c r="A1107" s="2" t="s">
        <v>1065</v>
      </c>
      <c r="B1107" s="1" t="s">
        <v>1066</v>
      </c>
      <c r="C1107" s="2" t="s">
        <v>43</v>
      </c>
      <c r="D1107" s="1" t="s">
        <v>44</v>
      </c>
    </row>
    <row r="1108">
      <c r="A1108" s="2" t="s">
        <v>1067</v>
      </c>
      <c r="B1108" s="1" t="s">
        <v>1068</v>
      </c>
      <c r="C1108" s="2" t="s">
        <v>216</v>
      </c>
      <c r="D1108" s="1" t="s">
        <v>217</v>
      </c>
    </row>
    <row r="1109">
      <c r="A1109" s="2" t="s">
        <v>1053</v>
      </c>
      <c r="B1109" s="1" t="s">
        <v>1054</v>
      </c>
      <c r="C1109" s="2" t="s">
        <v>69</v>
      </c>
      <c r="D1109" s="1" t="s">
        <v>70</v>
      </c>
    </row>
    <row r="1110">
      <c r="A1110" s="2" t="s">
        <v>1061</v>
      </c>
      <c r="B1110" s="1" t="s">
        <v>1062</v>
      </c>
      <c r="C1110" s="2" t="s">
        <v>49</v>
      </c>
      <c r="D1110" s="1" t="s">
        <v>50</v>
      </c>
    </row>
    <row r="1111">
      <c r="A1111" s="2" t="s">
        <v>1069</v>
      </c>
      <c r="B1111" s="1" t="s">
        <v>1070</v>
      </c>
      <c r="C1111" s="2" t="s">
        <v>370</v>
      </c>
      <c r="D1111" s="1" t="s">
        <v>371</v>
      </c>
      <c r="E1111" s="2" t="s">
        <v>1071</v>
      </c>
    </row>
    <row r="1112">
      <c r="A1112" s="2" t="s">
        <v>1072</v>
      </c>
      <c r="B1112" s="1" t="s">
        <v>1073</v>
      </c>
      <c r="C1112" s="2" t="s">
        <v>341</v>
      </c>
      <c r="D1112" s="1" t="s">
        <v>342</v>
      </c>
    </row>
    <row r="1113">
      <c r="A1113" s="2" t="s">
        <v>1074</v>
      </c>
      <c r="B1113" s="1" t="s">
        <v>1075</v>
      </c>
      <c r="C1113" s="2" t="s">
        <v>41</v>
      </c>
      <c r="D1113" s="1" t="s">
        <v>42</v>
      </c>
    </row>
    <row r="1114">
      <c r="A1114" s="2" t="s">
        <v>1074</v>
      </c>
      <c r="B1114" s="1" t="s">
        <v>1075</v>
      </c>
      <c r="C1114" s="2" t="s">
        <v>133</v>
      </c>
      <c r="D1114" s="1" t="s">
        <v>134</v>
      </c>
    </row>
    <row r="1115">
      <c r="A1115" s="2" t="s">
        <v>1074</v>
      </c>
      <c r="B1115" s="1" t="s">
        <v>1075</v>
      </c>
      <c r="C1115" s="2" t="s">
        <v>43</v>
      </c>
      <c r="D1115" s="1" t="s">
        <v>44</v>
      </c>
    </row>
    <row r="1116">
      <c r="A1116" s="2" t="s">
        <v>1065</v>
      </c>
      <c r="B1116" s="1" t="s">
        <v>1066</v>
      </c>
      <c r="C1116" s="2" t="s">
        <v>49</v>
      </c>
      <c r="D1116" s="1" t="s">
        <v>50</v>
      </c>
    </row>
    <row r="1117">
      <c r="A1117" s="2" t="s">
        <v>1055</v>
      </c>
      <c r="B1117" s="1" t="s">
        <v>1056</v>
      </c>
      <c r="C1117" s="2" t="s">
        <v>69</v>
      </c>
      <c r="D1117" s="1" t="s">
        <v>70</v>
      </c>
    </row>
    <row r="1118">
      <c r="A1118" s="2" t="s">
        <v>1076</v>
      </c>
      <c r="B1118" s="1" t="s">
        <v>1077</v>
      </c>
      <c r="C1118" s="2" t="s">
        <v>77</v>
      </c>
      <c r="D1118" s="1" t="s">
        <v>78</v>
      </c>
    </row>
    <row r="1119">
      <c r="A1119" s="2" t="s">
        <v>1057</v>
      </c>
      <c r="B1119" s="1" t="s">
        <v>1058</v>
      </c>
      <c r="C1119" s="2" t="s">
        <v>69</v>
      </c>
      <c r="D1119" s="1" t="s">
        <v>70</v>
      </c>
    </row>
    <row r="1120">
      <c r="A1120" s="2" t="s">
        <v>1076</v>
      </c>
      <c r="B1120" s="1" t="s">
        <v>1077</v>
      </c>
      <c r="C1120" s="2" t="s">
        <v>124</v>
      </c>
      <c r="D1120" s="1" t="s">
        <v>125</v>
      </c>
    </row>
    <row r="1121">
      <c r="A1121" s="2" t="s">
        <v>1072</v>
      </c>
      <c r="B1121" s="1" t="s">
        <v>1073</v>
      </c>
      <c r="C1121" s="2" t="s">
        <v>139</v>
      </c>
      <c r="D1121" s="1" t="s">
        <v>140</v>
      </c>
    </row>
    <row r="1122">
      <c r="A1122" s="2" t="s">
        <v>1078</v>
      </c>
      <c r="B1122" s="1" t="s">
        <v>1079</v>
      </c>
      <c r="C1122" s="2" t="s">
        <v>462</v>
      </c>
      <c r="D1122" s="1" t="s">
        <v>463</v>
      </c>
    </row>
    <row r="1123">
      <c r="A1123" s="2" t="s">
        <v>1074</v>
      </c>
      <c r="B1123" s="1" t="s">
        <v>1075</v>
      </c>
      <c r="C1123" s="2" t="s">
        <v>49</v>
      </c>
      <c r="D1123" s="1" t="s">
        <v>50</v>
      </c>
    </row>
    <row r="1124">
      <c r="A1124" s="2" t="s">
        <v>1080</v>
      </c>
      <c r="B1124" s="1" t="s">
        <v>1081</v>
      </c>
      <c r="C1124" s="2" t="s">
        <v>53</v>
      </c>
      <c r="D1124" s="1" t="s">
        <v>54</v>
      </c>
    </row>
    <row r="1125">
      <c r="A1125" s="2" t="s">
        <v>928</v>
      </c>
      <c r="B1125" s="1" t="s">
        <v>929</v>
      </c>
      <c r="C1125" s="2" t="s">
        <v>49</v>
      </c>
      <c r="D1125" s="1" t="s">
        <v>50</v>
      </c>
    </row>
    <row r="1126">
      <c r="A1126" s="2" t="s">
        <v>1082</v>
      </c>
      <c r="B1126" s="1" t="s">
        <v>1083</v>
      </c>
      <c r="C1126" s="2" t="s">
        <v>53</v>
      </c>
      <c r="D1126" s="1" t="s">
        <v>54</v>
      </c>
    </row>
    <row r="1127">
      <c r="A1127" s="2" t="s">
        <v>1076</v>
      </c>
      <c r="B1127" s="1" t="s">
        <v>1077</v>
      </c>
      <c r="C1127" s="2" t="s">
        <v>49</v>
      </c>
      <c r="D1127" s="1" t="s">
        <v>50</v>
      </c>
    </row>
    <row r="1128">
      <c r="A1128" s="2" t="s">
        <v>1084</v>
      </c>
      <c r="B1128" s="1" t="s">
        <v>1085</v>
      </c>
      <c r="E1128" s="2" t="s">
        <v>1086</v>
      </c>
    </row>
    <row r="1129">
      <c r="A1129" s="2" t="s">
        <v>1078</v>
      </c>
      <c r="B1129" s="1" t="s">
        <v>1079</v>
      </c>
      <c r="C1129" s="2" t="s">
        <v>43</v>
      </c>
      <c r="D1129" s="1" t="s">
        <v>44</v>
      </c>
    </row>
    <row r="1130">
      <c r="A1130" s="2" t="s">
        <v>1059</v>
      </c>
      <c r="B1130" s="1" t="s">
        <v>1060</v>
      </c>
      <c r="C1130" s="2" t="s">
        <v>69</v>
      </c>
      <c r="D1130" s="1" t="s">
        <v>70</v>
      </c>
    </row>
    <row r="1131">
      <c r="A1131" s="2" t="s">
        <v>1076</v>
      </c>
      <c r="B1131" s="1" t="s">
        <v>1077</v>
      </c>
      <c r="C1131" s="2" t="s">
        <v>518</v>
      </c>
      <c r="D1131" s="1" t="s">
        <v>519</v>
      </c>
    </row>
    <row r="1132">
      <c r="A1132" s="2" t="s">
        <v>1087</v>
      </c>
      <c r="B1132" s="1" t="s">
        <v>1088</v>
      </c>
      <c r="C1132" s="2" t="s">
        <v>41</v>
      </c>
      <c r="D1132" s="1" t="s">
        <v>42</v>
      </c>
    </row>
    <row r="1133">
      <c r="A1133" s="2" t="s">
        <v>1087</v>
      </c>
      <c r="B1133" s="1" t="s">
        <v>1088</v>
      </c>
      <c r="C1133" s="2" t="s">
        <v>43</v>
      </c>
      <c r="D1133" s="1" t="s">
        <v>44</v>
      </c>
    </row>
    <row r="1134">
      <c r="A1134" s="2" t="s">
        <v>1074</v>
      </c>
      <c r="B1134" s="1" t="s">
        <v>1075</v>
      </c>
      <c r="C1134" s="2" t="s">
        <v>92</v>
      </c>
      <c r="D1134" s="1" t="s">
        <v>93</v>
      </c>
    </row>
    <row r="1135">
      <c r="A1135" s="2" t="s">
        <v>1087</v>
      </c>
      <c r="B1135" s="1" t="s">
        <v>1088</v>
      </c>
      <c r="C1135" s="2" t="s">
        <v>79</v>
      </c>
      <c r="D1135" s="1" t="s">
        <v>80</v>
      </c>
    </row>
    <row r="1136">
      <c r="A1136" s="2" t="s">
        <v>1087</v>
      </c>
      <c r="B1136" s="1" t="s">
        <v>1088</v>
      </c>
      <c r="C1136" s="2" t="s">
        <v>1089</v>
      </c>
      <c r="D1136" s="1" t="s">
        <v>1090</v>
      </c>
    </row>
    <row r="1137">
      <c r="A1137" s="2" t="s">
        <v>1080</v>
      </c>
      <c r="B1137" s="1" t="s">
        <v>1081</v>
      </c>
      <c r="C1137" s="2" t="s">
        <v>41</v>
      </c>
      <c r="D1137" s="1" t="s">
        <v>42</v>
      </c>
    </row>
    <row r="1138">
      <c r="A1138" s="2" t="s">
        <v>1063</v>
      </c>
      <c r="B1138" s="1" t="s">
        <v>1064</v>
      </c>
      <c r="C1138" s="2" t="s">
        <v>69</v>
      </c>
      <c r="D1138" s="1" t="s">
        <v>70</v>
      </c>
    </row>
    <row r="1139">
      <c r="A1139" s="2" t="s">
        <v>1065</v>
      </c>
      <c r="B1139" s="1" t="s">
        <v>1066</v>
      </c>
      <c r="C1139" s="2" t="s">
        <v>69</v>
      </c>
      <c r="D1139" s="1" t="s">
        <v>70</v>
      </c>
    </row>
    <row r="1140">
      <c r="A1140" s="2" t="s">
        <v>1061</v>
      </c>
      <c r="B1140" s="1" t="s">
        <v>1062</v>
      </c>
      <c r="C1140" s="2" t="s">
        <v>1091</v>
      </c>
      <c r="D1140" s="1" t="s">
        <v>1092</v>
      </c>
    </row>
    <row r="1141">
      <c r="A1141" s="2" t="s">
        <v>1093</v>
      </c>
      <c r="B1141" s="1" t="s">
        <v>1094</v>
      </c>
      <c r="C1141" s="2" t="s">
        <v>41</v>
      </c>
      <c r="D1141" s="1" t="s">
        <v>42</v>
      </c>
    </row>
    <row r="1142">
      <c r="A1142" s="2" t="s">
        <v>1087</v>
      </c>
      <c r="B1142" s="1" t="s">
        <v>1088</v>
      </c>
      <c r="C1142" s="2" t="s">
        <v>49</v>
      </c>
      <c r="D1142" s="1" t="s">
        <v>50</v>
      </c>
    </row>
    <row r="1143">
      <c r="A1143" s="2" t="s">
        <v>1082</v>
      </c>
      <c r="B1143" s="1" t="s">
        <v>1083</v>
      </c>
      <c r="C1143" s="2" t="s">
        <v>41</v>
      </c>
      <c r="D1143" s="1" t="s">
        <v>42</v>
      </c>
    </row>
    <row r="1144">
      <c r="A1144" s="2" t="s">
        <v>1095</v>
      </c>
      <c r="B1144" s="1" t="s">
        <v>1096</v>
      </c>
      <c r="C1144" s="2" t="s">
        <v>41</v>
      </c>
      <c r="D1144" s="1" t="s">
        <v>42</v>
      </c>
    </row>
    <row r="1145">
      <c r="A1145" s="2" t="s">
        <v>1065</v>
      </c>
      <c r="B1145" s="1" t="s">
        <v>1066</v>
      </c>
      <c r="C1145" s="2" t="s">
        <v>223</v>
      </c>
      <c r="D1145" s="1" t="s">
        <v>224</v>
      </c>
    </row>
    <row r="1146">
      <c r="A1146" s="2" t="s">
        <v>1093</v>
      </c>
      <c r="B1146" s="1" t="s">
        <v>1094</v>
      </c>
      <c r="C1146" s="2" t="s">
        <v>43</v>
      </c>
      <c r="D1146" s="1" t="s">
        <v>44</v>
      </c>
    </row>
    <row r="1147">
      <c r="A1147" s="2" t="s">
        <v>1063</v>
      </c>
      <c r="B1147" s="1" t="s">
        <v>1064</v>
      </c>
      <c r="C1147" s="2" t="s">
        <v>647</v>
      </c>
      <c r="D1147" s="1" t="s">
        <v>648</v>
      </c>
    </row>
    <row r="1148">
      <c r="A1148" s="2" t="s">
        <v>1082</v>
      </c>
      <c r="B1148" s="1" t="s">
        <v>1083</v>
      </c>
      <c r="C1148" s="2" t="s">
        <v>1097</v>
      </c>
      <c r="D1148" s="1" t="s">
        <v>1098</v>
      </c>
    </row>
    <row r="1149">
      <c r="A1149" s="2" t="s">
        <v>1093</v>
      </c>
      <c r="B1149" s="1" t="s">
        <v>1094</v>
      </c>
      <c r="C1149" s="2" t="s">
        <v>49</v>
      </c>
      <c r="D1149" s="1" t="s">
        <v>50</v>
      </c>
    </row>
    <row r="1150">
      <c r="A1150" s="2" t="s">
        <v>928</v>
      </c>
      <c r="B1150" s="1" t="s">
        <v>929</v>
      </c>
      <c r="C1150" s="2" t="s">
        <v>69</v>
      </c>
      <c r="D1150" s="1" t="s">
        <v>70</v>
      </c>
    </row>
    <row r="1151">
      <c r="A1151" s="2" t="s">
        <v>1095</v>
      </c>
      <c r="B1151" s="1" t="s">
        <v>1096</v>
      </c>
      <c r="C1151" s="2" t="s">
        <v>49</v>
      </c>
      <c r="D1151" s="1" t="s">
        <v>50</v>
      </c>
    </row>
    <row r="1152">
      <c r="A1152" s="2" t="s">
        <v>1063</v>
      </c>
      <c r="B1152" s="1" t="s">
        <v>1064</v>
      </c>
      <c r="C1152" s="2" t="s">
        <v>1099</v>
      </c>
      <c r="D1152" s="1" t="s">
        <v>1100</v>
      </c>
    </row>
    <row r="1153">
      <c r="A1153" s="2" t="s">
        <v>1101</v>
      </c>
      <c r="B1153" s="1" t="s">
        <v>1102</v>
      </c>
      <c r="C1153" s="2" t="s">
        <v>145</v>
      </c>
      <c r="D1153" s="1" t="s">
        <v>146</v>
      </c>
      <c r="E1153" s="2" t="s">
        <v>1103</v>
      </c>
    </row>
    <row r="1154">
      <c r="A1154" s="2" t="s">
        <v>1101</v>
      </c>
      <c r="B1154" s="1" t="s">
        <v>1102</v>
      </c>
      <c r="C1154" s="2" t="s">
        <v>871</v>
      </c>
      <c r="D1154" s="1" t="s">
        <v>642</v>
      </c>
      <c r="E1154" s="2" t="s">
        <v>1103</v>
      </c>
    </row>
    <row r="1155">
      <c r="A1155" s="2" t="s">
        <v>1104</v>
      </c>
      <c r="B1155" s="1" t="s">
        <v>1105</v>
      </c>
      <c r="C1155" s="2" t="s">
        <v>12</v>
      </c>
      <c r="D1155" s="1" t="s">
        <v>13</v>
      </c>
    </row>
    <row r="1156">
      <c r="A1156" s="2" t="s">
        <v>1067</v>
      </c>
      <c r="B1156" s="1" t="s">
        <v>1068</v>
      </c>
      <c r="C1156" s="2" t="s">
        <v>221</v>
      </c>
      <c r="D1156" s="1" t="s">
        <v>222</v>
      </c>
    </row>
    <row r="1157">
      <c r="A1157" s="2" t="s">
        <v>1074</v>
      </c>
      <c r="B1157" s="1" t="s">
        <v>1075</v>
      </c>
      <c r="C1157" s="2" t="s">
        <v>221</v>
      </c>
      <c r="D1157" s="1" t="s">
        <v>222</v>
      </c>
    </row>
    <row r="1158">
      <c r="A1158" s="2" t="s">
        <v>1106</v>
      </c>
      <c r="B1158" s="1" t="s">
        <v>1107</v>
      </c>
      <c r="C1158" s="2" t="s">
        <v>604</v>
      </c>
      <c r="D1158" s="1" t="s">
        <v>605</v>
      </c>
    </row>
    <row r="1159">
      <c r="A1159" s="2" t="s">
        <v>1108</v>
      </c>
      <c r="B1159" s="1" t="s">
        <v>1109</v>
      </c>
      <c r="C1159" s="2" t="s">
        <v>43</v>
      </c>
      <c r="D1159" s="1" t="s">
        <v>44</v>
      </c>
    </row>
    <row r="1160">
      <c r="A1160" s="2" t="s">
        <v>1082</v>
      </c>
      <c r="B1160" s="1" t="s">
        <v>1083</v>
      </c>
      <c r="C1160" s="2" t="s">
        <v>508</v>
      </c>
      <c r="D1160" s="1" t="s">
        <v>509</v>
      </c>
    </row>
    <row r="1161">
      <c r="A1161" s="2" t="s">
        <v>1095</v>
      </c>
      <c r="B1161" s="1" t="s">
        <v>1096</v>
      </c>
      <c r="C1161" s="2" t="s">
        <v>508</v>
      </c>
      <c r="D1161" s="1" t="s">
        <v>509</v>
      </c>
    </row>
    <row r="1162">
      <c r="A1162" s="2" t="s">
        <v>1080</v>
      </c>
      <c r="B1162" s="1" t="s">
        <v>1081</v>
      </c>
      <c r="C1162" s="2" t="s">
        <v>69</v>
      </c>
      <c r="D1162" s="1" t="s">
        <v>70</v>
      </c>
    </row>
    <row r="1163">
      <c r="A1163" s="2" t="s">
        <v>1108</v>
      </c>
      <c r="B1163" s="1" t="s">
        <v>1109</v>
      </c>
      <c r="C1163" s="2" t="s">
        <v>49</v>
      </c>
      <c r="D1163" s="1" t="s">
        <v>50</v>
      </c>
    </row>
    <row r="1164">
      <c r="A1164" s="2" t="s">
        <v>1082</v>
      </c>
      <c r="B1164" s="1" t="s">
        <v>1083</v>
      </c>
      <c r="C1164" s="2" t="s">
        <v>69</v>
      </c>
      <c r="D1164" s="1" t="s">
        <v>70</v>
      </c>
    </row>
    <row r="1165">
      <c r="A1165" s="2" t="s">
        <v>1095</v>
      </c>
      <c r="B1165" s="1" t="s">
        <v>1096</v>
      </c>
      <c r="C1165" s="2" t="s">
        <v>69</v>
      </c>
      <c r="D1165" s="1" t="s">
        <v>70</v>
      </c>
    </row>
    <row r="1166">
      <c r="A1166" s="2" t="s">
        <v>1053</v>
      </c>
      <c r="B1166" s="1" t="s">
        <v>1054</v>
      </c>
      <c r="C1166" s="2" t="s">
        <v>118</v>
      </c>
      <c r="D1166" s="1" t="s">
        <v>119</v>
      </c>
    </row>
    <row r="1167">
      <c r="A1167" s="2" t="s">
        <v>1110</v>
      </c>
      <c r="B1167" s="1" t="s">
        <v>1111</v>
      </c>
      <c r="C1167" s="2" t="s">
        <v>114</v>
      </c>
      <c r="D1167" s="1" t="s">
        <v>115</v>
      </c>
    </row>
    <row r="1168">
      <c r="A1168" s="2" t="s">
        <v>1112</v>
      </c>
      <c r="B1168" s="1" t="s">
        <v>1113</v>
      </c>
      <c r="C1168" s="2" t="s">
        <v>604</v>
      </c>
      <c r="D1168" s="1" t="s">
        <v>605</v>
      </c>
    </row>
    <row r="1169">
      <c r="A1169" s="2" t="s">
        <v>1108</v>
      </c>
      <c r="B1169" s="1" t="s">
        <v>1109</v>
      </c>
      <c r="C1169" s="2" t="s">
        <v>92</v>
      </c>
      <c r="D1169" s="1" t="s">
        <v>93</v>
      </c>
    </row>
    <row r="1170">
      <c r="A1170" s="2" t="s">
        <v>1112</v>
      </c>
      <c r="B1170" s="1" t="s">
        <v>1113</v>
      </c>
      <c r="C1170" s="2" t="s">
        <v>306</v>
      </c>
      <c r="D1170" s="1" t="s">
        <v>307</v>
      </c>
    </row>
    <row r="1171">
      <c r="A1171" s="2" t="s">
        <v>1051</v>
      </c>
      <c r="B1171" s="1" t="s">
        <v>1052</v>
      </c>
      <c r="C1171" s="2" t="s">
        <v>604</v>
      </c>
      <c r="D1171" s="1" t="s">
        <v>605</v>
      </c>
    </row>
    <row r="1172">
      <c r="A1172" s="2" t="s">
        <v>1074</v>
      </c>
      <c r="B1172" s="1" t="s">
        <v>1075</v>
      </c>
      <c r="C1172" s="2" t="s">
        <v>1114</v>
      </c>
      <c r="D1172" s="1" t="s">
        <v>1115</v>
      </c>
    </row>
    <row r="1173">
      <c r="A1173" s="2" t="s">
        <v>1059</v>
      </c>
      <c r="B1173" s="1" t="s">
        <v>1060</v>
      </c>
      <c r="C1173" s="2" t="s">
        <v>118</v>
      </c>
      <c r="D1173" s="1" t="s">
        <v>119</v>
      </c>
    </row>
    <row r="1174">
      <c r="A1174" s="2" t="s">
        <v>1108</v>
      </c>
      <c r="B1174" s="1" t="s">
        <v>1109</v>
      </c>
      <c r="C1174" s="2" t="s">
        <v>69</v>
      </c>
      <c r="D1174" s="1" t="s">
        <v>70</v>
      </c>
    </row>
    <row r="1175">
      <c r="A1175" s="2" t="s">
        <v>1116</v>
      </c>
      <c r="B1175" s="1" t="s">
        <v>1117</v>
      </c>
      <c r="C1175" s="2" t="s">
        <v>118</v>
      </c>
      <c r="D1175" s="1" t="s">
        <v>119</v>
      </c>
    </row>
    <row r="1176">
      <c r="A1176" s="2" t="s">
        <v>1118</v>
      </c>
      <c r="B1176" s="1" t="s">
        <v>1119</v>
      </c>
      <c r="C1176" s="2" t="s">
        <v>604</v>
      </c>
      <c r="D1176" s="1" t="s">
        <v>605</v>
      </c>
    </row>
    <row r="1177">
      <c r="A1177" s="2" t="s">
        <v>1067</v>
      </c>
      <c r="B1177" s="1" t="s">
        <v>1068</v>
      </c>
      <c r="C1177" s="2" t="s">
        <v>118</v>
      </c>
      <c r="D1177" s="1" t="s">
        <v>119</v>
      </c>
    </row>
    <row r="1178">
      <c r="A1178" s="2" t="s">
        <v>1076</v>
      </c>
      <c r="B1178" s="1" t="s">
        <v>1077</v>
      </c>
      <c r="C1178" s="2" t="s">
        <v>443</v>
      </c>
      <c r="D1178" s="1" t="s">
        <v>444</v>
      </c>
    </row>
    <row r="1179">
      <c r="A1179" s="2" t="s">
        <v>1069</v>
      </c>
      <c r="B1179" s="1" t="s">
        <v>1070</v>
      </c>
      <c r="C1179" s="2" t="s">
        <v>12</v>
      </c>
      <c r="D1179" s="1" t="s">
        <v>13</v>
      </c>
      <c r="E1179" s="2" t="s">
        <v>1071</v>
      </c>
    </row>
    <row r="1180">
      <c r="A1180" s="2" t="s">
        <v>1106</v>
      </c>
      <c r="B1180" s="1" t="s">
        <v>1107</v>
      </c>
      <c r="C1180" s="2" t="s">
        <v>1120</v>
      </c>
      <c r="D1180" s="1" t="s">
        <v>1121</v>
      </c>
    </row>
    <row r="1181">
      <c r="A1181" s="2" t="s">
        <v>1061</v>
      </c>
      <c r="B1181" s="1" t="s">
        <v>1062</v>
      </c>
      <c r="C1181" s="2" t="s">
        <v>143</v>
      </c>
      <c r="D1181" s="1" t="s">
        <v>144</v>
      </c>
    </row>
    <row r="1182">
      <c r="A1182" s="2" t="s">
        <v>1122</v>
      </c>
      <c r="B1182" s="1" t="s">
        <v>1123</v>
      </c>
      <c r="C1182" s="2" t="s">
        <v>41</v>
      </c>
      <c r="D1182" s="1" t="s">
        <v>42</v>
      </c>
    </row>
    <row r="1183">
      <c r="A1183" s="2" t="s">
        <v>1122</v>
      </c>
      <c r="B1183" s="1" t="s">
        <v>1123</v>
      </c>
      <c r="C1183" s="2" t="s">
        <v>43</v>
      </c>
      <c r="D1183" s="1" t="s">
        <v>44</v>
      </c>
    </row>
    <row r="1184">
      <c r="A1184" s="2" t="s">
        <v>1124</v>
      </c>
      <c r="B1184" s="1" t="s">
        <v>1125</v>
      </c>
    </row>
    <row r="1185">
      <c r="A1185" s="2" t="s">
        <v>1104</v>
      </c>
      <c r="B1185" s="1" t="s">
        <v>1105</v>
      </c>
      <c r="C1185" s="2" t="s">
        <v>173</v>
      </c>
      <c r="D1185" s="1" t="s">
        <v>174</v>
      </c>
    </row>
    <row r="1186">
      <c r="A1186" s="2" t="s">
        <v>1126</v>
      </c>
      <c r="B1186" s="1" t="s">
        <v>1127</v>
      </c>
      <c r="C1186" s="2" t="s">
        <v>53</v>
      </c>
      <c r="D1186" s="1" t="s">
        <v>54</v>
      </c>
    </row>
    <row r="1187">
      <c r="A1187" s="2" t="s">
        <v>1122</v>
      </c>
      <c r="B1187" s="1" t="s">
        <v>1123</v>
      </c>
      <c r="C1187" s="2" t="s">
        <v>69</v>
      </c>
      <c r="D1187" s="1" t="s">
        <v>70</v>
      </c>
    </row>
    <row r="1188">
      <c r="A1188" s="2" t="s">
        <v>1069</v>
      </c>
      <c r="B1188" s="1" t="s">
        <v>1070</v>
      </c>
      <c r="C1188" s="2" t="s">
        <v>114</v>
      </c>
      <c r="D1188" s="1" t="s">
        <v>115</v>
      </c>
      <c r="E1188" s="2" t="s">
        <v>1071</v>
      </c>
    </row>
    <row r="1189">
      <c r="A1189" s="2" t="s">
        <v>1069</v>
      </c>
      <c r="B1189" s="1" t="s">
        <v>1070</v>
      </c>
      <c r="C1189" s="2" t="s">
        <v>25</v>
      </c>
      <c r="D1189" s="1" t="s">
        <v>26</v>
      </c>
      <c r="E1189" s="2" t="s">
        <v>1071</v>
      </c>
    </row>
    <row r="1190">
      <c r="A1190" s="2" t="s">
        <v>1128</v>
      </c>
      <c r="B1190" s="1" t="s">
        <v>1129</v>
      </c>
      <c r="C1190" s="2" t="s">
        <v>41</v>
      </c>
      <c r="D1190" s="1" t="s">
        <v>42</v>
      </c>
    </row>
    <row r="1191">
      <c r="A1191" s="2" t="s">
        <v>1128</v>
      </c>
      <c r="B1191" s="1" t="s">
        <v>1129</v>
      </c>
      <c r="C1191" s="2" t="s">
        <v>216</v>
      </c>
      <c r="D1191" s="1" t="s">
        <v>217</v>
      </c>
    </row>
    <row r="1192">
      <c r="A1192" s="2" t="s">
        <v>1128</v>
      </c>
      <c r="B1192" s="1" t="s">
        <v>1129</v>
      </c>
      <c r="C1192" s="2" t="s">
        <v>43</v>
      </c>
      <c r="D1192" s="1" t="s">
        <v>44</v>
      </c>
    </row>
    <row r="1193">
      <c r="A1193" s="2" t="s">
        <v>1130</v>
      </c>
      <c r="B1193" s="1" t="s">
        <v>1131</v>
      </c>
      <c r="C1193" s="2" t="s">
        <v>53</v>
      </c>
      <c r="D1193" s="1" t="s">
        <v>54</v>
      </c>
    </row>
    <row r="1194">
      <c r="A1194" s="2" t="s">
        <v>1128</v>
      </c>
      <c r="B1194" s="1" t="s">
        <v>1129</v>
      </c>
      <c r="C1194" s="2" t="s">
        <v>49</v>
      </c>
      <c r="D1194" s="1" t="s">
        <v>50</v>
      </c>
    </row>
    <row r="1195">
      <c r="A1195" s="2" t="s">
        <v>1130</v>
      </c>
      <c r="B1195" s="1" t="s">
        <v>1131</v>
      </c>
      <c r="C1195" s="2" t="s">
        <v>462</v>
      </c>
      <c r="D1195" s="1" t="s">
        <v>463</v>
      </c>
    </row>
    <row r="1196">
      <c r="A1196" s="2" t="s">
        <v>1006</v>
      </c>
      <c r="B1196" s="1" t="s">
        <v>1007</v>
      </c>
      <c r="C1196" s="2" t="s">
        <v>202</v>
      </c>
      <c r="D1196" s="1" t="s">
        <v>203</v>
      </c>
    </row>
    <row r="1197">
      <c r="A1197" s="2" t="s">
        <v>1132</v>
      </c>
      <c r="B1197" s="1" t="s">
        <v>1133</v>
      </c>
      <c r="C1197" s="2" t="s">
        <v>43</v>
      </c>
      <c r="D1197" s="1" t="s">
        <v>44</v>
      </c>
    </row>
    <row r="1198">
      <c r="A1198" s="2" t="s">
        <v>1130</v>
      </c>
      <c r="B1198" s="1" t="s">
        <v>1131</v>
      </c>
      <c r="C1198" s="2" t="s">
        <v>41</v>
      </c>
      <c r="D1198" s="1" t="s">
        <v>42</v>
      </c>
    </row>
    <row r="1199">
      <c r="A1199" s="2" t="s">
        <v>1134</v>
      </c>
      <c r="B1199" s="1" t="s">
        <v>1135</v>
      </c>
      <c r="C1199" s="2" t="s">
        <v>41</v>
      </c>
      <c r="D1199" s="1" t="s">
        <v>42</v>
      </c>
    </row>
    <row r="1200">
      <c r="A1200" s="2" t="s">
        <v>1136</v>
      </c>
      <c r="B1200" s="1" t="s">
        <v>1137</v>
      </c>
      <c r="C1200" s="2" t="s">
        <v>43</v>
      </c>
      <c r="D1200" s="1" t="s">
        <v>44</v>
      </c>
    </row>
    <row r="1201">
      <c r="A1201" s="2" t="s">
        <v>1134</v>
      </c>
      <c r="B1201" s="1" t="s">
        <v>1135</v>
      </c>
      <c r="C1201" s="2" t="s">
        <v>133</v>
      </c>
      <c r="D1201" s="1" t="s">
        <v>134</v>
      </c>
    </row>
    <row r="1202">
      <c r="A1202" s="2" t="s">
        <v>1134</v>
      </c>
      <c r="B1202" s="1" t="s">
        <v>1135</v>
      </c>
      <c r="C1202" s="2" t="s">
        <v>43</v>
      </c>
      <c r="D1202" s="1" t="s">
        <v>44</v>
      </c>
    </row>
    <row r="1203">
      <c r="A1203" s="2" t="s">
        <v>1132</v>
      </c>
      <c r="B1203" s="1" t="s">
        <v>1133</v>
      </c>
      <c r="C1203" s="2" t="s">
        <v>49</v>
      </c>
      <c r="D1203" s="1" t="s">
        <v>50</v>
      </c>
    </row>
    <row r="1204">
      <c r="A1204" s="2" t="s">
        <v>1130</v>
      </c>
      <c r="B1204" s="1" t="s">
        <v>1131</v>
      </c>
      <c r="C1204" s="2" t="s">
        <v>1089</v>
      </c>
      <c r="D1204" s="1" t="s">
        <v>1090</v>
      </c>
    </row>
    <row r="1205">
      <c r="A1205" s="2" t="s">
        <v>1138</v>
      </c>
      <c r="B1205" s="1" t="s">
        <v>1139</v>
      </c>
      <c r="C1205" s="2" t="s">
        <v>216</v>
      </c>
      <c r="D1205" s="1" t="s">
        <v>217</v>
      </c>
    </row>
    <row r="1206">
      <c r="A1206" s="2" t="s">
        <v>1140</v>
      </c>
      <c r="B1206" s="1" t="s">
        <v>1141</v>
      </c>
      <c r="C1206" s="2" t="s">
        <v>41</v>
      </c>
      <c r="D1206" s="1" t="s">
        <v>42</v>
      </c>
    </row>
    <row r="1207">
      <c r="A1207" s="2" t="s">
        <v>1140</v>
      </c>
      <c r="B1207" s="1" t="s">
        <v>1141</v>
      </c>
      <c r="C1207" s="2" t="s">
        <v>43</v>
      </c>
      <c r="D1207" s="1" t="s">
        <v>44</v>
      </c>
    </row>
    <row r="1208">
      <c r="A1208" s="2" t="s">
        <v>1134</v>
      </c>
      <c r="B1208" s="1" t="s">
        <v>1135</v>
      </c>
      <c r="C1208" s="2" t="s">
        <v>49</v>
      </c>
      <c r="D1208" s="1" t="s">
        <v>50</v>
      </c>
    </row>
    <row r="1209">
      <c r="A1209" s="2" t="s">
        <v>1142</v>
      </c>
      <c r="B1209" s="1" t="s">
        <v>1143</v>
      </c>
      <c r="C1209" s="2" t="s">
        <v>202</v>
      </c>
      <c r="D1209" s="1" t="s">
        <v>203</v>
      </c>
    </row>
    <row r="1210">
      <c r="A1210" s="2" t="s">
        <v>1144</v>
      </c>
      <c r="B1210" s="1" t="s">
        <v>1145</v>
      </c>
      <c r="C1210" s="2" t="s">
        <v>41</v>
      </c>
      <c r="D1210" s="1" t="s">
        <v>42</v>
      </c>
    </row>
    <row r="1211">
      <c r="A1211" s="2" t="s">
        <v>1144</v>
      </c>
      <c r="B1211" s="1" t="s">
        <v>1145</v>
      </c>
      <c r="C1211" s="2" t="s">
        <v>133</v>
      </c>
      <c r="D1211" s="1" t="s">
        <v>134</v>
      </c>
    </row>
    <row r="1212">
      <c r="A1212" s="2" t="s">
        <v>1140</v>
      </c>
      <c r="B1212" s="1" t="s">
        <v>1141</v>
      </c>
      <c r="C1212" s="2" t="s">
        <v>49</v>
      </c>
      <c r="D1212" s="1" t="s">
        <v>50</v>
      </c>
    </row>
    <row r="1213">
      <c r="A1213" s="2" t="s">
        <v>1006</v>
      </c>
      <c r="B1213" s="1" t="s">
        <v>1007</v>
      </c>
      <c r="C1213" s="2" t="s">
        <v>49</v>
      </c>
      <c r="D1213" s="1" t="s">
        <v>50</v>
      </c>
    </row>
    <row r="1214">
      <c r="A1214" s="2" t="s">
        <v>1144</v>
      </c>
      <c r="B1214" s="1" t="s">
        <v>1145</v>
      </c>
      <c r="C1214" s="2" t="s">
        <v>49</v>
      </c>
      <c r="D1214" s="1" t="s">
        <v>50</v>
      </c>
    </row>
    <row r="1215">
      <c r="A1215" s="2" t="s">
        <v>1146</v>
      </c>
      <c r="B1215" s="1" t="s">
        <v>1147</v>
      </c>
      <c r="C1215" s="2" t="s">
        <v>53</v>
      </c>
      <c r="D1215" s="1" t="s">
        <v>54</v>
      </c>
    </row>
    <row r="1216">
      <c r="A1216" s="2" t="s">
        <v>1148</v>
      </c>
      <c r="B1216" s="1" t="s">
        <v>1149</v>
      </c>
      <c r="C1216" s="2" t="s">
        <v>202</v>
      </c>
      <c r="D1216" s="1" t="s">
        <v>203</v>
      </c>
    </row>
    <row r="1217">
      <c r="A1217" s="2" t="s">
        <v>1150</v>
      </c>
      <c r="B1217" s="1" t="s">
        <v>1151</v>
      </c>
      <c r="C1217" s="2" t="s">
        <v>421</v>
      </c>
      <c r="D1217" s="1" t="s">
        <v>422</v>
      </c>
    </row>
    <row r="1218">
      <c r="A1218" s="2" t="s">
        <v>1142</v>
      </c>
      <c r="B1218" s="1" t="s">
        <v>1143</v>
      </c>
      <c r="C1218" s="2" t="s">
        <v>216</v>
      </c>
      <c r="D1218" s="1" t="s">
        <v>217</v>
      </c>
    </row>
    <row r="1219">
      <c r="A1219" s="2" t="s">
        <v>1132</v>
      </c>
      <c r="B1219" s="1" t="s">
        <v>1133</v>
      </c>
      <c r="C1219" s="2" t="s">
        <v>69</v>
      </c>
      <c r="D1219" s="1" t="s">
        <v>70</v>
      </c>
    </row>
    <row r="1220">
      <c r="A1220" s="2" t="s">
        <v>1152</v>
      </c>
      <c r="B1220" s="1" t="s">
        <v>1153</v>
      </c>
      <c r="C1220" s="2" t="s">
        <v>84</v>
      </c>
      <c r="D1220" s="1" t="s">
        <v>85</v>
      </c>
    </row>
    <row r="1221">
      <c r="A1221" s="2" t="s">
        <v>1142</v>
      </c>
      <c r="B1221" s="1" t="s">
        <v>1143</v>
      </c>
      <c r="C1221" s="2" t="s">
        <v>86</v>
      </c>
      <c r="D1221" s="1" t="s">
        <v>87</v>
      </c>
    </row>
    <row r="1222">
      <c r="A1222" s="2" t="s">
        <v>1136</v>
      </c>
      <c r="B1222" s="1" t="s">
        <v>1137</v>
      </c>
      <c r="C1222" s="2" t="s">
        <v>69</v>
      </c>
      <c r="D1222" s="1" t="s">
        <v>70</v>
      </c>
    </row>
    <row r="1223">
      <c r="A1223" s="2" t="s">
        <v>1130</v>
      </c>
      <c r="B1223" s="1" t="s">
        <v>1131</v>
      </c>
      <c r="C1223" s="2" t="s">
        <v>69</v>
      </c>
      <c r="D1223" s="1" t="s">
        <v>70</v>
      </c>
    </row>
    <row r="1224">
      <c r="A1224" s="2" t="s">
        <v>1142</v>
      </c>
      <c r="B1224" s="1" t="s">
        <v>1143</v>
      </c>
      <c r="C1224" s="2" t="s">
        <v>49</v>
      </c>
      <c r="D1224" s="1" t="s">
        <v>50</v>
      </c>
    </row>
    <row r="1225">
      <c r="A1225" s="2" t="s">
        <v>1154</v>
      </c>
      <c r="B1225" s="1" t="s">
        <v>1155</v>
      </c>
      <c r="C1225" s="2" t="s">
        <v>162</v>
      </c>
      <c r="D1225" s="1" t="s">
        <v>163</v>
      </c>
    </row>
    <row r="1226">
      <c r="A1226" s="2" t="s">
        <v>1152</v>
      </c>
      <c r="B1226" s="1" t="s">
        <v>1153</v>
      </c>
      <c r="C1226" s="2" t="s">
        <v>1156</v>
      </c>
      <c r="D1226" s="1" t="s">
        <v>1157</v>
      </c>
    </row>
    <row r="1227">
      <c r="A1227" s="2" t="s">
        <v>1158</v>
      </c>
      <c r="B1227" s="1" t="s">
        <v>1159</v>
      </c>
      <c r="C1227" s="2" t="s">
        <v>69</v>
      </c>
      <c r="D1227" s="1" t="s">
        <v>70</v>
      </c>
    </row>
    <row r="1228">
      <c r="A1228" s="2" t="s">
        <v>1154</v>
      </c>
      <c r="B1228" s="1" t="s">
        <v>1155</v>
      </c>
      <c r="C1228" s="2" t="s">
        <v>41</v>
      </c>
      <c r="D1228" s="1" t="s">
        <v>42</v>
      </c>
    </row>
    <row r="1229">
      <c r="A1229" s="2" t="s">
        <v>1154</v>
      </c>
      <c r="B1229" s="1" t="s">
        <v>1155</v>
      </c>
      <c r="C1229" s="2" t="s">
        <v>43</v>
      </c>
      <c r="D1229" s="1" t="s">
        <v>44</v>
      </c>
    </row>
    <row r="1230">
      <c r="A1230" s="2" t="s">
        <v>1160</v>
      </c>
      <c r="B1230" s="1" t="s">
        <v>1161</v>
      </c>
      <c r="C1230" s="2" t="s">
        <v>288</v>
      </c>
      <c r="D1230" s="1" t="s">
        <v>289</v>
      </c>
    </row>
    <row r="1231">
      <c r="A1231" s="2" t="s">
        <v>1162</v>
      </c>
      <c r="B1231" s="1" t="s">
        <v>1163</v>
      </c>
      <c r="C1231" s="2" t="s">
        <v>41</v>
      </c>
      <c r="D1231" s="1" t="s">
        <v>42</v>
      </c>
    </row>
    <row r="1232">
      <c r="A1232" s="2" t="s">
        <v>1152</v>
      </c>
      <c r="B1232" s="1" t="s">
        <v>1153</v>
      </c>
      <c r="C1232" s="2" t="s">
        <v>49</v>
      </c>
      <c r="D1232" s="1" t="s">
        <v>50</v>
      </c>
    </row>
    <row r="1233">
      <c r="A1233" s="2" t="s">
        <v>1150</v>
      </c>
      <c r="B1233" s="1" t="s">
        <v>1151</v>
      </c>
      <c r="C1233" s="2" t="s">
        <v>41</v>
      </c>
      <c r="D1233" s="1" t="s">
        <v>42</v>
      </c>
    </row>
    <row r="1234">
      <c r="A1234" s="2" t="s">
        <v>1160</v>
      </c>
      <c r="B1234" s="1" t="s">
        <v>1161</v>
      </c>
      <c r="C1234" s="2" t="s">
        <v>43</v>
      </c>
      <c r="D1234" s="1" t="s">
        <v>44</v>
      </c>
    </row>
    <row r="1235">
      <c r="A1235" s="2" t="s">
        <v>1140</v>
      </c>
      <c r="B1235" s="1" t="s">
        <v>1141</v>
      </c>
      <c r="C1235" s="2" t="s">
        <v>69</v>
      </c>
      <c r="D1235" s="1" t="s">
        <v>70</v>
      </c>
    </row>
    <row r="1236">
      <c r="A1236" s="2" t="s">
        <v>1162</v>
      </c>
      <c r="B1236" s="1" t="s">
        <v>1163</v>
      </c>
      <c r="C1236" s="2" t="s">
        <v>43</v>
      </c>
      <c r="D1236" s="1" t="s">
        <v>44</v>
      </c>
    </row>
    <row r="1237">
      <c r="A1237" s="2" t="s">
        <v>1150</v>
      </c>
      <c r="B1237" s="1" t="s">
        <v>1151</v>
      </c>
      <c r="C1237" s="2" t="s">
        <v>133</v>
      </c>
      <c r="D1237" s="1" t="s">
        <v>134</v>
      </c>
    </row>
    <row r="1238">
      <c r="A1238" s="2" t="s">
        <v>1150</v>
      </c>
      <c r="B1238" s="1" t="s">
        <v>1151</v>
      </c>
      <c r="C1238" s="2" t="s">
        <v>43</v>
      </c>
      <c r="D1238" s="1" t="s">
        <v>44</v>
      </c>
    </row>
    <row r="1239">
      <c r="A1239" s="2" t="s">
        <v>1148</v>
      </c>
      <c r="B1239" s="1" t="s">
        <v>1149</v>
      </c>
      <c r="C1239" s="2" t="s">
        <v>41</v>
      </c>
      <c r="D1239" s="1" t="s">
        <v>42</v>
      </c>
    </row>
    <row r="1240">
      <c r="A1240" s="2" t="s">
        <v>1142</v>
      </c>
      <c r="B1240" s="1" t="s">
        <v>1143</v>
      </c>
      <c r="C1240" s="2" t="s">
        <v>90</v>
      </c>
      <c r="D1240" s="1" t="s">
        <v>91</v>
      </c>
    </row>
    <row r="1241">
      <c r="A1241" s="2" t="s">
        <v>1148</v>
      </c>
      <c r="B1241" s="1" t="s">
        <v>1149</v>
      </c>
      <c r="C1241" s="2" t="s">
        <v>77</v>
      </c>
      <c r="D1241" s="1" t="s">
        <v>78</v>
      </c>
    </row>
    <row r="1242">
      <c r="A1242" s="2" t="s">
        <v>1164</v>
      </c>
      <c r="B1242" s="1" t="s">
        <v>1165</v>
      </c>
      <c r="C1242" s="2" t="s">
        <v>43</v>
      </c>
      <c r="D1242" s="1" t="s">
        <v>44</v>
      </c>
    </row>
    <row r="1243">
      <c r="A1243" s="2" t="s">
        <v>1148</v>
      </c>
      <c r="B1243" s="1" t="s">
        <v>1149</v>
      </c>
      <c r="C1243" s="2" t="s">
        <v>43</v>
      </c>
      <c r="D1243" s="1" t="s">
        <v>44</v>
      </c>
    </row>
    <row r="1244">
      <c r="A1244" s="2" t="s">
        <v>1166</v>
      </c>
      <c r="B1244" s="1" t="s">
        <v>1167</v>
      </c>
      <c r="C1244" s="2" t="s">
        <v>41</v>
      </c>
      <c r="D1244" s="1" t="s">
        <v>42</v>
      </c>
    </row>
    <row r="1245">
      <c r="A1245" s="2" t="s">
        <v>1146</v>
      </c>
      <c r="B1245" s="1" t="s">
        <v>1147</v>
      </c>
      <c r="C1245" s="2" t="s">
        <v>43</v>
      </c>
      <c r="D1245" s="1" t="s">
        <v>44</v>
      </c>
    </row>
    <row r="1246">
      <c r="A1246" s="2" t="s">
        <v>1168</v>
      </c>
      <c r="B1246" s="1" t="s">
        <v>1169</v>
      </c>
      <c r="C1246" s="2" t="s">
        <v>216</v>
      </c>
      <c r="D1246" s="1" t="s">
        <v>217</v>
      </c>
    </row>
    <row r="1247">
      <c r="A1247" s="2" t="s">
        <v>1160</v>
      </c>
      <c r="B1247" s="1" t="s">
        <v>1161</v>
      </c>
      <c r="C1247" s="2" t="s">
        <v>49</v>
      </c>
      <c r="D1247" s="1" t="s">
        <v>50</v>
      </c>
    </row>
    <row r="1248">
      <c r="A1248" s="2" t="s">
        <v>1166</v>
      </c>
      <c r="B1248" s="1" t="s">
        <v>1167</v>
      </c>
      <c r="C1248" s="2" t="s">
        <v>43</v>
      </c>
      <c r="D1248" s="1" t="s">
        <v>44</v>
      </c>
    </row>
    <row r="1249">
      <c r="A1249" s="2" t="s">
        <v>1162</v>
      </c>
      <c r="B1249" s="1" t="s">
        <v>1163</v>
      </c>
      <c r="C1249" s="2" t="s">
        <v>49</v>
      </c>
      <c r="D1249" s="1" t="s">
        <v>50</v>
      </c>
    </row>
    <row r="1250">
      <c r="A1250" s="2" t="s">
        <v>1150</v>
      </c>
      <c r="B1250" s="1" t="s">
        <v>1151</v>
      </c>
      <c r="C1250" s="2" t="s">
        <v>49</v>
      </c>
      <c r="D1250" s="1" t="s">
        <v>50</v>
      </c>
    </row>
    <row r="1251">
      <c r="A1251" s="2" t="s">
        <v>1164</v>
      </c>
      <c r="B1251" s="1" t="s">
        <v>1165</v>
      </c>
      <c r="C1251" s="2" t="s">
        <v>49</v>
      </c>
      <c r="D1251" s="1" t="s">
        <v>50</v>
      </c>
    </row>
    <row r="1252">
      <c r="A1252" s="2" t="s">
        <v>1148</v>
      </c>
      <c r="B1252" s="1" t="s">
        <v>1149</v>
      </c>
      <c r="C1252" s="2" t="s">
        <v>49</v>
      </c>
      <c r="D1252" s="1" t="s">
        <v>50</v>
      </c>
    </row>
    <row r="1253">
      <c r="A1253" s="2" t="s">
        <v>1132</v>
      </c>
      <c r="B1253" s="1" t="s">
        <v>1133</v>
      </c>
      <c r="C1253" s="2" t="s">
        <v>221</v>
      </c>
      <c r="D1253" s="1" t="s">
        <v>222</v>
      </c>
    </row>
    <row r="1254">
      <c r="A1254" s="2" t="s">
        <v>1166</v>
      </c>
      <c r="B1254" s="1" t="s">
        <v>1167</v>
      </c>
      <c r="C1254" s="2" t="s">
        <v>49</v>
      </c>
      <c r="D1254" s="1" t="s">
        <v>50</v>
      </c>
    </row>
    <row r="1255">
      <c r="A1255" s="2" t="s">
        <v>1128</v>
      </c>
      <c r="B1255" s="1" t="s">
        <v>1129</v>
      </c>
      <c r="C1255" s="2" t="s">
        <v>1170</v>
      </c>
      <c r="D1255" s="1" t="s">
        <v>1171</v>
      </c>
    </row>
    <row r="1256">
      <c r="A1256" s="2" t="s">
        <v>1136</v>
      </c>
      <c r="B1256" s="1" t="s">
        <v>1137</v>
      </c>
      <c r="C1256" s="2" t="s">
        <v>221</v>
      </c>
      <c r="D1256" s="1" t="s">
        <v>222</v>
      </c>
    </row>
    <row r="1257">
      <c r="A1257" s="2" t="s">
        <v>1138</v>
      </c>
      <c r="B1257" s="1" t="s">
        <v>1139</v>
      </c>
      <c r="C1257" s="2" t="s">
        <v>221</v>
      </c>
      <c r="D1257" s="1" t="s">
        <v>222</v>
      </c>
    </row>
    <row r="1258">
      <c r="A1258" s="2" t="s">
        <v>1148</v>
      </c>
      <c r="B1258" s="1" t="s">
        <v>1149</v>
      </c>
      <c r="C1258" s="2" t="s">
        <v>209</v>
      </c>
      <c r="D1258" s="1" t="s">
        <v>210</v>
      </c>
    </row>
    <row r="1259">
      <c r="A1259" s="2" t="s">
        <v>1152</v>
      </c>
      <c r="B1259" s="1" t="s">
        <v>1153</v>
      </c>
      <c r="C1259" s="2" t="s">
        <v>508</v>
      </c>
      <c r="D1259" s="1" t="s">
        <v>509</v>
      </c>
    </row>
    <row r="1260">
      <c r="A1260" s="2" t="s">
        <v>1172</v>
      </c>
      <c r="B1260" s="1" t="s">
        <v>1173</v>
      </c>
      <c r="C1260" s="2" t="s">
        <v>53</v>
      </c>
      <c r="D1260" s="1" t="s">
        <v>54</v>
      </c>
    </row>
    <row r="1261">
      <c r="A1261" s="2" t="s">
        <v>1154</v>
      </c>
      <c r="B1261" s="1" t="s">
        <v>1155</v>
      </c>
      <c r="C1261" s="2" t="s">
        <v>69</v>
      </c>
      <c r="D1261" s="1" t="s">
        <v>70</v>
      </c>
    </row>
    <row r="1262">
      <c r="A1262" s="2" t="s">
        <v>1160</v>
      </c>
      <c r="B1262" s="1" t="s">
        <v>1161</v>
      </c>
      <c r="C1262" s="2" t="s">
        <v>69</v>
      </c>
      <c r="D1262" s="1" t="s">
        <v>70</v>
      </c>
    </row>
    <row r="1263">
      <c r="A1263" s="2" t="s">
        <v>1164</v>
      </c>
      <c r="B1263" s="1" t="s">
        <v>1165</v>
      </c>
      <c r="C1263" s="2" t="s">
        <v>69</v>
      </c>
      <c r="D1263" s="1" t="s">
        <v>70</v>
      </c>
    </row>
    <row r="1264">
      <c r="A1264" s="2" t="s">
        <v>1146</v>
      </c>
      <c r="B1264" s="1" t="s">
        <v>1147</v>
      </c>
      <c r="C1264" s="2" t="s">
        <v>69</v>
      </c>
      <c r="D1264" s="1" t="s">
        <v>70</v>
      </c>
    </row>
    <row r="1265">
      <c r="A1265" s="2" t="s">
        <v>1168</v>
      </c>
      <c r="B1265" s="1" t="s">
        <v>1169</v>
      </c>
      <c r="C1265" s="2" t="s">
        <v>69</v>
      </c>
      <c r="D1265" s="1" t="s">
        <v>70</v>
      </c>
    </row>
    <row r="1266">
      <c r="A1266" s="2" t="s">
        <v>1166</v>
      </c>
      <c r="B1266" s="1" t="s">
        <v>1167</v>
      </c>
      <c r="C1266" s="2" t="s">
        <v>69</v>
      </c>
      <c r="D1266" s="1" t="s">
        <v>70</v>
      </c>
    </row>
    <row r="1267">
      <c r="A1267" s="2" t="s">
        <v>1148</v>
      </c>
      <c r="B1267" s="1" t="s">
        <v>1149</v>
      </c>
      <c r="C1267" s="2" t="s">
        <v>296</v>
      </c>
      <c r="D1267" s="1" t="s">
        <v>297</v>
      </c>
    </row>
    <row r="1268">
      <c r="A1268" s="2" t="s">
        <v>1164</v>
      </c>
      <c r="B1268" s="1" t="s">
        <v>1165</v>
      </c>
      <c r="C1268" s="2" t="s">
        <v>647</v>
      </c>
      <c r="D1268" s="1" t="s">
        <v>648</v>
      </c>
    </row>
    <row r="1269">
      <c r="A1269" s="2" t="s">
        <v>1152</v>
      </c>
      <c r="B1269" s="1" t="s">
        <v>1153</v>
      </c>
      <c r="C1269" s="2" t="s">
        <v>221</v>
      </c>
      <c r="D1269" s="1" t="s">
        <v>222</v>
      </c>
    </row>
    <row r="1270">
      <c r="A1270" s="2" t="s">
        <v>1172</v>
      </c>
      <c r="B1270" s="1" t="s">
        <v>1173</v>
      </c>
      <c r="C1270" s="2" t="s">
        <v>41</v>
      </c>
      <c r="D1270" s="1" t="s">
        <v>42</v>
      </c>
    </row>
    <row r="1271">
      <c r="A1271" s="2" t="s">
        <v>1172</v>
      </c>
      <c r="B1271" s="1" t="s">
        <v>1173</v>
      </c>
      <c r="C1271" s="2" t="s">
        <v>84</v>
      </c>
      <c r="D1271" s="1" t="s">
        <v>85</v>
      </c>
    </row>
    <row r="1272">
      <c r="A1272" s="2" t="s">
        <v>1172</v>
      </c>
      <c r="B1272" s="1" t="s">
        <v>1173</v>
      </c>
      <c r="C1272" s="2" t="s">
        <v>43</v>
      </c>
      <c r="D1272" s="1" t="s">
        <v>44</v>
      </c>
    </row>
    <row r="1273">
      <c r="A1273" s="2" t="s">
        <v>1174</v>
      </c>
      <c r="B1273" s="1" t="s">
        <v>1175</v>
      </c>
      <c r="C1273" s="2" t="s">
        <v>221</v>
      </c>
      <c r="D1273" s="1" t="s">
        <v>222</v>
      </c>
    </row>
    <row r="1274">
      <c r="A1274" s="2" t="s">
        <v>1172</v>
      </c>
      <c r="B1274" s="1" t="s">
        <v>1173</v>
      </c>
      <c r="C1274" s="2" t="s">
        <v>49</v>
      </c>
      <c r="D1274" s="1" t="s">
        <v>50</v>
      </c>
    </row>
    <row r="1275">
      <c r="A1275" s="2" t="s">
        <v>1130</v>
      </c>
      <c r="B1275" s="1" t="s">
        <v>1131</v>
      </c>
      <c r="C1275" s="2" t="s">
        <v>118</v>
      </c>
      <c r="D1275" s="1" t="s">
        <v>119</v>
      </c>
    </row>
    <row r="1276">
      <c r="A1276" s="2" t="s">
        <v>1138</v>
      </c>
      <c r="B1276" s="1" t="s">
        <v>1139</v>
      </c>
      <c r="C1276" s="2" t="s">
        <v>118</v>
      </c>
      <c r="D1276" s="1" t="s">
        <v>119</v>
      </c>
    </row>
    <row r="1277">
      <c r="A1277" s="2" t="s">
        <v>1152</v>
      </c>
      <c r="B1277" s="1" t="s">
        <v>1153</v>
      </c>
      <c r="C1277" s="2" t="s">
        <v>1120</v>
      </c>
      <c r="D1277" s="1" t="s">
        <v>1121</v>
      </c>
    </row>
    <row r="1278">
      <c r="A1278" s="2" t="s">
        <v>1162</v>
      </c>
      <c r="B1278" s="1" t="s">
        <v>1163</v>
      </c>
      <c r="C1278" s="2" t="s">
        <v>578</v>
      </c>
      <c r="D1278" s="1" t="s">
        <v>579</v>
      </c>
    </row>
    <row r="1279">
      <c r="A1279" s="2" t="s">
        <v>1144</v>
      </c>
      <c r="B1279" s="1" t="s">
        <v>1145</v>
      </c>
      <c r="C1279" s="2" t="s">
        <v>118</v>
      </c>
      <c r="D1279" s="1" t="s">
        <v>119</v>
      </c>
    </row>
    <row r="1280">
      <c r="A1280" s="2" t="s">
        <v>1142</v>
      </c>
      <c r="B1280" s="1" t="s">
        <v>1143</v>
      </c>
      <c r="C1280" s="2" t="s">
        <v>118</v>
      </c>
      <c r="D1280" s="1" t="s">
        <v>119</v>
      </c>
    </row>
    <row r="1281">
      <c r="A1281" s="2" t="s">
        <v>1144</v>
      </c>
      <c r="B1281" s="1" t="s">
        <v>1145</v>
      </c>
      <c r="C1281" s="2" t="s">
        <v>143</v>
      </c>
      <c r="D1281" s="1" t="s">
        <v>144</v>
      </c>
    </row>
    <row r="1282">
      <c r="A1282" s="2" t="s">
        <v>1176</v>
      </c>
      <c r="B1282" s="1" t="s">
        <v>1177</v>
      </c>
      <c r="C1282" s="2" t="s">
        <v>216</v>
      </c>
      <c r="D1282" s="1" t="s">
        <v>217</v>
      </c>
    </row>
    <row r="1283">
      <c r="A1283" s="2" t="s">
        <v>1148</v>
      </c>
      <c r="B1283" s="1" t="s">
        <v>1149</v>
      </c>
      <c r="C1283" s="2" t="s">
        <v>22</v>
      </c>
      <c r="D1283" s="1" t="s">
        <v>23</v>
      </c>
    </row>
    <row r="1284">
      <c r="A1284" s="2" t="s">
        <v>1168</v>
      </c>
      <c r="B1284" s="1" t="s">
        <v>1169</v>
      </c>
      <c r="C1284" s="2" t="s">
        <v>118</v>
      </c>
      <c r="D1284" s="1" t="s">
        <v>119</v>
      </c>
    </row>
    <row r="1285">
      <c r="A1285" s="2" t="s">
        <v>1146</v>
      </c>
      <c r="B1285" s="1" t="s">
        <v>1147</v>
      </c>
      <c r="C1285" s="2" t="s">
        <v>143</v>
      </c>
      <c r="D1285" s="1" t="s">
        <v>144</v>
      </c>
    </row>
    <row r="1286">
      <c r="A1286" s="2" t="s">
        <v>1178</v>
      </c>
      <c r="B1286" s="1" t="s">
        <v>1179</v>
      </c>
    </row>
    <row r="1287">
      <c r="A1287" s="2" t="s">
        <v>1180</v>
      </c>
      <c r="B1287" s="1" t="s">
        <v>1181</v>
      </c>
    </row>
    <row r="1288">
      <c r="A1288" s="2" t="s">
        <v>1182</v>
      </c>
      <c r="B1288" s="1" t="s">
        <v>1183</v>
      </c>
    </row>
    <row r="1289">
      <c r="A1289" s="2" t="s">
        <v>1184</v>
      </c>
      <c r="B1289" s="1" t="s">
        <v>1185</v>
      </c>
    </row>
    <row r="1290">
      <c r="A1290" s="2" t="s">
        <v>1186</v>
      </c>
      <c r="B1290" s="1" t="s">
        <v>1187</v>
      </c>
    </row>
    <row r="1291">
      <c r="A1291" s="2" t="s">
        <v>1188</v>
      </c>
      <c r="B1291" s="1" t="s">
        <v>1189</v>
      </c>
    </row>
    <row r="1292">
      <c r="A1292" s="2" t="s">
        <v>1190</v>
      </c>
      <c r="B1292" s="1" t="s">
        <v>1191</v>
      </c>
      <c r="C1292" s="2" t="s">
        <v>703</v>
      </c>
      <c r="D1292" s="1" t="s">
        <v>704</v>
      </c>
    </row>
    <row r="1293">
      <c r="A1293" s="2" t="s">
        <v>1192</v>
      </c>
      <c r="B1293" s="1" t="s">
        <v>1193</v>
      </c>
      <c r="C1293" s="2" t="s">
        <v>594</v>
      </c>
      <c r="D1293" s="1" t="s">
        <v>595</v>
      </c>
    </row>
    <row r="1294">
      <c r="A1294" s="2" t="s">
        <v>1194</v>
      </c>
      <c r="B1294" s="1" t="s">
        <v>1195</v>
      </c>
      <c r="C1294" s="2" t="s">
        <v>118</v>
      </c>
      <c r="D1294" s="1" t="s">
        <v>119</v>
      </c>
    </row>
    <row r="1295">
      <c r="A1295" s="2" t="s">
        <v>1196</v>
      </c>
      <c r="B1295" s="1" t="s">
        <v>1197</v>
      </c>
      <c r="C1295" s="2" t="s">
        <v>12</v>
      </c>
      <c r="D1295" s="1" t="s">
        <v>13</v>
      </c>
    </row>
    <row r="1296">
      <c r="A1296" s="2" t="s">
        <v>1196</v>
      </c>
      <c r="B1296" s="1" t="s">
        <v>1197</v>
      </c>
      <c r="C1296" s="2" t="s">
        <v>522</v>
      </c>
      <c r="D1296" s="1" t="s">
        <v>523</v>
      </c>
    </row>
    <row r="1297">
      <c r="A1297" s="2" t="s">
        <v>1198</v>
      </c>
      <c r="B1297" s="1" t="s">
        <v>1199</v>
      </c>
      <c r="C1297" s="2" t="s">
        <v>41</v>
      </c>
      <c r="D1297" s="1" t="s">
        <v>42</v>
      </c>
    </row>
    <row r="1298">
      <c r="A1298" s="2" t="s">
        <v>1200</v>
      </c>
      <c r="B1298" s="1" t="s">
        <v>1201</v>
      </c>
      <c r="C1298" s="2" t="s">
        <v>319</v>
      </c>
      <c r="D1298" s="1" t="s">
        <v>320</v>
      </c>
    </row>
    <row r="1299">
      <c r="A1299" s="2" t="s">
        <v>1198</v>
      </c>
      <c r="B1299" s="1" t="s">
        <v>1199</v>
      </c>
      <c r="C1299" s="2" t="s">
        <v>43</v>
      </c>
      <c r="D1299" s="1" t="s">
        <v>44</v>
      </c>
    </row>
    <row r="1300">
      <c r="A1300" s="2" t="s">
        <v>1202</v>
      </c>
      <c r="B1300" s="1" t="s">
        <v>1203</v>
      </c>
      <c r="C1300" s="2" t="s">
        <v>743</v>
      </c>
      <c r="D1300" s="1" t="s">
        <v>744</v>
      </c>
    </row>
    <row r="1301">
      <c r="A1301" s="2" t="s">
        <v>1190</v>
      </c>
      <c r="B1301" s="1" t="s">
        <v>1191</v>
      </c>
      <c r="C1301" s="2" t="s">
        <v>522</v>
      </c>
      <c r="D1301" s="1" t="s">
        <v>523</v>
      </c>
    </row>
    <row r="1302">
      <c r="A1302" s="2" t="s">
        <v>1204</v>
      </c>
      <c r="B1302" s="1" t="s">
        <v>1205</v>
      </c>
      <c r="C1302" s="2" t="s">
        <v>490</v>
      </c>
      <c r="D1302" s="1" t="s">
        <v>491</v>
      </c>
    </row>
    <row r="1303">
      <c r="A1303" s="2" t="s">
        <v>1206</v>
      </c>
      <c r="B1303" s="1" t="s">
        <v>1207</v>
      </c>
      <c r="C1303" s="2" t="s">
        <v>43</v>
      </c>
      <c r="D1303" s="1" t="s">
        <v>44</v>
      </c>
    </row>
    <row r="1304">
      <c r="A1304" s="2" t="s">
        <v>1208</v>
      </c>
      <c r="B1304" s="1" t="s">
        <v>1209</v>
      </c>
      <c r="C1304" s="2" t="s">
        <v>202</v>
      </c>
      <c r="D1304" s="1" t="s">
        <v>203</v>
      </c>
    </row>
    <row r="1305">
      <c r="A1305" s="2" t="s">
        <v>1210</v>
      </c>
      <c r="B1305" s="1" t="s">
        <v>1211</v>
      </c>
      <c r="C1305" s="2" t="s">
        <v>151</v>
      </c>
      <c r="D1305" s="1" t="s">
        <v>152</v>
      </c>
    </row>
    <row r="1306">
      <c r="A1306" s="2" t="s">
        <v>1190</v>
      </c>
      <c r="B1306" s="1" t="s">
        <v>1191</v>
      </c>
      <c r="C1306" s="2" t="s">
        <v>1212</v>
      </c>
      <c r="D1306" s="1" t="s">
        <v>1213</v>
      </c>
    </row>
    <row r="1307">
      <c r="A1307" s="2" t="s">
        <v>1214</v>
      </c>
      <c r="B1307" s="1" t="s">
        <v>1215</v>
      </c>
      <c r="C1307" s="2" t="s">
        <v>1097</v>
      </c>
      <c r="D1307" s="1" t="s">
        <v>1098</v>
      </c>
    </row>
    <row r="1308">
      <c r="A1308" s="2" t="s">
        <v>1190</v>
      </c>
      <c r="B1308" s="1" t="s">
        <v>1191</v>
      </c>
      <c r="C1308" s="2" t="s">
        <v>743</v>
      </c>
      <c r="D1308" s="1" t="s">
        <v>744</v>
      </c>
    </row>
    <row r="1309">
      <c r="A1309" s="2" t="s">
        <v>1216</v>
      </c>
      <c r="B1309" s="1" t="s">
        <v>1217</v>
      </c>
      <c r="E1309" s="2" t="s">
        <v>1218</v>
      </c>
    </row>
    <row r="1310">
      <c r="A1310" s="2" t="s">
        <v>1219</v>
      </c>
      <c r="B1310" s="1" t="s">
        <v>1220</v>
      </c>
      <c r="C1310" s="2" t="s">
        <v>41</v>
      </c>
      <c r="D1310" s="1" t="s">
        <v>42</v>
      </c>
    </row>
    <row r="1311">
      <c r="A1311" s="2" t="s">
        <v>1219</v>
      </c>
      <c r="B1311" s="1" t="s">
        <v>1220</v>
      </c>
      <c r="C1311" s="2" t="s">
        <v>288</v>
      </c>
      <c r="D1311" s="1" t="s">
        <v>289</v>
      </c>
    </row>
    <row r="1312">
      <c r="A1312" s="2" t="s">
        <v>1198</v>
      </c>
      <c r="B1312" s="1" t="s">
        <v>1199</v>
      </c>
      <c r="C1312" s="2" t="s">
        <v>92</v>
      </c>
      <c r="D1312" s="1" t="s">
        <v>93</v>
      </c>
    </row>
    <row r="1313">
      <c r="A1313" s="2" t="s">
        <v>1219</v>
      </c>
      <c r="B1313" s="1" t="s">
        <v>1220</v>
      </c>
      <c r="C1313" s="2" t="s">
        <v>43</v>
      </c>
      <c r="D1313" s="1" t="s">
        <v>44</v>
      </c>
    </row>
    <row r="1314">
      <c r="A1314" s="2" t="s">
        <v>1208</v>
      </c>
      <c r="B1314" s="1" t="s">
        <v>1209</v>
      </c>
      <c r="C1314" s="2" t="s">
        <v>41</v>
      </c>
      <c r="D1314" s="1" t="s">
        <v>42</v>
      </c>
    </row>
    <row r="1315">
      <c r="A1315" s="2" t="s">
        <v>1221</v>
      </c>
      <c r="B1315" s="1" t="s">
        <v>1222</v>
      </c>
      <c r="C1315" s="2" t="s">
        <v>1223</v>
      </c>
      <c r="D1315" s="1" t="s">
        <v>1224</v>
      </c>
    </row>
    <row r="1316">
      <c r="A1316" s="2" t="s">
        <v>1208</v>
      </c>
      <c r="B1316" s="1" t="s">
        <v>1209</v>
      </c>
      <c r="C1316" s="2" t="s">
        <v>43</v>
      </c>
      <c r="D1316" s="1" t="s">
        <v>44</v>
      </c>
    </row>
    <row r="1317">
      <c r="A1317" s="2" t="s">
        <v>1219</v>
      </c>
      <c r="B1317" s="1" t="s">
        <v>1220</v>
      </c>
      <c r="C1317" s="2" t="s">
        <v>49</v>
      </c>
      <c r="D1317" s="1" t="s">
        <v>50</v>
      </c>
    </row>
    <row r="1318">
      <c r="A1318" s="2" t="s">
        <v>1225</v>
      </c>
      <c r="B1318" s="1" t="s">
        <v>1226</v>
      </c>
      <c r="C1318" s="2" t="s">
        <v>341</v>
      </c>
      <c r="D1318" s="1" t="s">
        <v>342</v>
      </c>
    </row>
    <row r="1319">
      <c r="A1319" s="2" t="s">
        <v>1198</v>
      </c>
      <c r="B1319" s="1" t="s">
        <v>1199</v>
      </c>
      <c r="C1319" s="2" t="s">
        <v>69</v>
      </c>
      <c r="D1319" s="1" t="s">
        <v>70</v>
      </c>
    </row>
    <row r="1320">
      <c r="A1320" s="2" t="s">
        <v>1206</v>
      </c>
      <c r="B1320" s="1" t="s">
        <v>1207</v>
      </c>
      <c r="C1320" s="2" t="s">
        <v>306</v>
      </c>
      <c r="D1320" s="1" t="s">
        <v>307</v>
      </c>
    </row>
    <row r="1321">
      <c r="A1321" s="2" t="s">
        <v>1227</v>
      </c>
      <c r="B1321" s="1" t="s">
        <v>1228</v>
      </c>
      <c r="C1321" s="2" t="s">
        <v>151</v>
      </c>
      <c r="D1321" s="1" t="s">
        <v>152</v>
      </c>
    </row>
    <row r="1322">
      <c r="A1322" s="2" t="s">
        <v>1229</v>
      </c>
      <c r="B1322" s="1" t="s">
        <v>1230</v>
      </c>
      <c r="C1322" s="2" t="s">
        <v>636</v>
      </c>
      <c r="D1322" s="1" t="s">
        <v>637</v>
      </c>
    </row>
    <row r="1323">
      <c r="A1323" s="2" t="s">
        <v>1231</v>
      </c>
      <c r="B1323" s="1" t="s">
        <v>1232</v>
      </c>
      <c r="C1323" s="2" t="s">
        <v>421</v>
      </c>
      <c r="D1323" s="1" t="s">
        <v>422</v>
      </c>
    </row>
    <row r="1324">
      <c r="A1324" s="2" t="s">
        <v>1231</v>
      </c>
      <c r="B1324" s="1" t="s">
        <v>1232</v>
      </c>
      <c r="C1324" s="2" t="s">
        <v>1233</v>
      </c>
      <c r="D1324" s="1" t="s">
        <v>1234</v>
      </c>
    </row>
    <row r="1325">
      <c r="A1325" s="2" t="s">
        <v>1231</v>
      </c>
      <c r="B1325" s="1" t="s">
        <v>1232</v>
      </c>
      <c r="C1325" s="2" t="s">
        <v>43</v>
      </c>
      <c r="D1325" s="1" t="s">
        <v>44</v>
      </c>
    </row>
    <row r="1326">
      <c r="A1326" s="2" t="s">
        <v>1231</v>
      </c>
      <c r="B1326" s="1" t="s">
        <v>1232</v>
      </c>
      <c r="C1326" s="2" t="s">
        <v>1235</v>
      </c>
      <c r="D1326" s="1" t="s">
        <v>1236</v>
      </c>
    </row>
    <row r="1327">
      <c r="A1327" s="2" t="s">
        <v>1206</v>
      </c>
      <c r="B1327" s="1" t="s">
        <v>1207</v>
      </c>
      <c r="C1327" s="2" t="s">
        <v>1237</v>
      </c>
      <c r="D1327" s="1" t="s">
        <v>1238</v>
      </c>
    </row>
    <row r="1328">
      <c r="A1328" s="2" t="s">
        <v>1239</v>
      </c>
      <c r="B1328" s="1" t="s">
        <v>1240</v>
      </c>
      <c r="C1328" s="2" t="s">
        <v>604</v>
      </c>
      <c r="D1328" s="1" t="s">
        <v>605</v>
      </c>
    </row>
    <row r="1329">
      <c r="A1329" s="2" t="s">
        <v>1241</v>
      </c>
      <c r="B1329" s="1" t="s">
        <v>1242</v>
      </c>
      <c r="C1329" s="2" t="s">
        <v>604</v>
      </c>
      <c r="D1329" s="1" t="s">
        <v>605</v>
      </c>
    </row>
    <row r="1330">
      <c r="A1330" s="2" t="s">
        <v>1229</v>
      </c>
      <c r="B1330" s="1" t="s">
        <v>1230</v>
      </c>
      <c r="C1330" s="2" t="s">
        <v>1243</v>
      </c>
      <c r="D1330" s="1" t="s">
        <v>1244</v>
      </c>
    </row>
    <row r="1331">
      <c r="A1331" s="2" t="s">
        <v>1239</v>
      </c>
      <c r="B1331" s="1" t="s">
        <v>1240</v>
      </c>
      <c r="C1331" s="2" t="s">
        <v>306</v>
      </c>
      <c r="D1331" s="1" t="s">
        <v>307</v>
      </c>
    </row>
    <row r="1332">
      <c r="A1332" s="2" t="s">
        <v>1245</v>
      </c>
      <c r="B1332" s="1" t="s">
        <v>1246</v>
      </c>
      <c r="C1332" s="2" t="s">
        <v>1247</v>
      </c>
      <c r="D1332" s="1" t="s">
        <v>1248</v>
      </c>
    </row>
    <row r="1333">
      <c r="A1333" s="2" t="s">
        <v>1249</v>
      </c>
      <c r="B1333" s="1" t="s">
        <v>1250</v>
      </c>
      <c r="C1333" s="2" t="s">
        <v>604</v>
      </c>
      <c r="D1333" s="1" t="s">
        <v>605</v>
      </c>
    </row>
    <row r="1334">
      <c r="A1334" s="2" t="s">
        <v>1251</v>
      </c>
      <c r="B1334" s="1" t="s">
        <v>1252</v>
      </c>
      <c r="C1334" s="2" t="s">
        <v>490</v>
      </c>
      <c r="D1334" s="1" t="s">
        <v>491</v>
      </c>
    </row>
    <row r="1335">
      <c r="A1335" s="2" t="s">
        <v>1253</v>
      </c>
      <c r="B1335" s="1" t="s">
        <v>1254</v>
      </c>
      <c r="C1335" s="2" t="s">
        <v>604</v>
      </c>
      <c r="D1335" s="1" t="s">
        <v>605</v>
      </c>
    </row>
    <row r="1336">
      <c r="A1336" s="2" t="s">
        <v>1255</v>
      </c>
      <c r="B1336" s="1" t="s">
        <v>1256</v>
      </c>
      <c r="C1336" s="2" t="s">
        <v>341</v>
      </c>
      <c r="D1336" s="1" t="s">
        <v>342</v>
      </c>
    </row>
    <row r="1337">
      <c r="A1337" s="2" t="s">
        <v>1257</v>
      </c>
      <c r="B1337" s="1" t="s">
        <v>1258</v>
      </c>
      <c r="C1337" s="2" t="s">
        <v>341</v>
      </c>
      <c r="D1337" s="1" t="s">
        <v>342</v>
      </c>
    </row>
    <row r="1338">
      <c r="A1338" s="2" t="s">
        <v>1249</v>
      </c>
      <c r="B1338" s="1" t="s">
        <v>1250</v>
      </c>
      <c r="C1338" s="2" t="s">
        <v>306</v>
      </c>
      <c r="D1338" s="1" t="s">
        <v>307</v>
      </c>
    </row>
    <row r="1339">
      <c r="A1339" s="2" t="s">
        <v>1259</v>
      </c>
      <c r="B1339" s="1" t="s">
        <v>1260</v>
      </c>
      <c r="C1339" s="2" t="s">
        <v>405</v>
      </c>
      <c r="D1339" s="1" t="s">
        <v>406</v>
      </c>
    </row>
    <row r="1340">
      <c r="A1340" s="2" t="s">
        <v>1261</v>
      </c>
      <c r="B1340" s="1" t="s">
        <v>1262</v>
      </c>
      <c r="C1340" s="2" t="s">
        <v>739</v>
      </c>
      <c r="D1340" s="1" t="s">
        <v>740</v>
      </c>
    </row>
    <row r="1341">
      <c r="A1341" s="2" t="s">
        <v>1259</v>
      </c>
      <c r="B1341" s="1" t="s">
        <v>1260</v>
      </c>
      <c r="C1341" s="2" t="s">
        <v>139</v>
      </c>
      <c r="D1341" s="1" t="s">
        <v>140</v>
      </c>
    </row>
    <row r="1342">
      <c r="A1342" s="2" t="s">
        <v>1253</v>
      </c>
      <c r="B1342" s="1" t="s">
        <v>1254</v>
      </c>
      <c r="C1342" s="2" t="s">
        <v>306</v>
      </c>
      <c r="D1342" s="1" t="s">
        <v>307</v>
      </c>
    </row>
    <row r="1343">
      <c r="A1343" s="2" t="s">
        <v>1231</v>
      </c>
      <c r="B1343" s="1" t="s">
        <v>1232</v>
      </c>
      <c r="C1343" s="2" t="s">
        <v>69</v>
      </c>
      <c r="D1343" s="1" t="s">
        <v>70</v>
      </c>
    </row>
    <row r="1344">
      <c r="A1344" s="2" t="s">
        <v>1263</v>
      </c>
      <c r="B1344" s="1" t="s">
        <v>1264</v>
      </c>
      <c r="C1344" s="2" t="s">
        <v>520</v>
      </c>
      <c r="D1344" s="1" t="s">
        <v>521</v>
      </c>
    </row>
    <row r="1345">
      <c r="A1345" s="2" t="s">
        <v>1265</v>
      </c>
      <c r="B1345" s="1" t="s">
        <v>1266</v>
      </c>
      <c r="C1345" s="2" t="s">
        <v>43</v>
      </c>
      <c r="D1345" s="1" t="s">
        <v>44</v>
      </c>
    </row>
    <row r="1346">
      <c r="A1346" s="2" t="s">
        <v>1122</v>
      </c>
      <c r="B1346" s="1" t="s">
        <v>1123</v>
      </c>
      <c r="C1346" s="2" t="s">
        <v>49</v>
      </c>
      <c r="D1346" s="1" t="s">
        <v>50</v>
      </c>
    </row>
    <row r="1347">
      <c r="A1347" s="2" t="s">
        <v>1265</v>
      </c>
      <c r="B1347" s="1" t="s">
        <v>1266</v>
      </c>
      <c r="C1347" s="2" t="s">
        <v>49</v>
      </c>
      <c r="D1347" s="1" t="s">
        <v>50</v>
      </c>
    </row>
    <row r="1348">
      <c r="A1348" s="2" t="s">
        <v>1214</v>
      </c>
      <c r="B1348" s="1" t="s">
        <v>1215</v>
      </c>
      <c r="C1348" s="2" t="s">
        <v>1267</v>
      </c>
      <c r="D1348" s="1" t="s">
        <v>1268</v>
      </c>
    </row>
    <row r="1349">
      <c r="A1349" s="2" t="s">
        <v>1245</v>
      </c>
      <c r="B1349" s="1" t="s">
        <v>1246</v>
      </c>
      <c r="C1349" s="2" t="s">
        <v>1269</v>
      </c>
      <c r="D1349" s="1" t="s">
        <v>1270</v>
      </c>
    </row>
    <row r="1350">
      <c r="A1350" s="2" t="s">
        <v>1261</v>
      </c>
      <c r="B1350" s="1" t="s">
        <v>1262</v>
      </c>
      <c r="C1350" s="2" t="s">
        <v>1271</v>
      </c>
      <c r="D1350" s="1" t="s">
        <v>1272</v>
      </c>
    </row>
    <row r="1351">
      <c r="A1351" s="2" t="s">
        <v>1273</v>
      </c>
      <c r="B1351" s="1" t="s">
        <v>1274</v>
      </c>
      <c r="C1351" s="2" t="s">
        <v>673</v>
      </c>
      <c r="D1351" s="1" t="s">
        <v>674</v>
      </c>
    </row>
    <row r="1352">
      <c r="A1352" s="2" t="s">
        <v>1229</v>
      </c>
      <c r="B1352" s="1" t="s">
        <v>1230</v>
      </c>
      <c r="C1352" s="2" t="s">
        <v>1267</v>
      </c>
      <c r="D1352" s="1" t="s">
        <v>1268</v>
      </c>
    </row>
    <row r="1353">
      <c r="A1353" s="2" t="s">
        <v>1210</v>
      </c>
      <c r="B1353" s="1" t="s">
        <v>1211</v>
      </c>
      <c r="C1353" s="2" t="s">
        <v>604</v>
      </c>
      <c r="D1353" s="1" t="s">
        <v>605</v>
      </c>
    </row>
    <row r="1354">
      <c r="A1354" s="2" t="s">
        <v>1265</v>
      </c>
      <c r="B1354" s="1" t="s">
        <v>1266</v>
      </c>
      <c r="C1354" s="2" t="s">
        <v>92</v>
      </c>
      <c r="D1354" s="1" t="s">
        <v>93</v>
      </c>
    </row>
    <row r="1355">
      <c r="A1355" s="2" t="s">
        <v>1227</v>
      </c>
      <c r="B1355" s="1" t="s">
        <v>1228</v>
      </c>
      <c r="C1355" s="2" t="s">
        <v>133</v>
      </c>
      <c r="D1355" s="1" t="s">
        <v>134</v>
      </c>
    </row>
    <row r="1356">
      <c r="A1356" s="2" t="s">
        <v>1227</v>
      </c>
      <c r="B1356" s="1" t="s">
        <v>1228</v>
      </c>
      <c r="C1356" s="2" t="s">
        <v>43</v>
      </c>
      <c r="D1356" s="1" t="s">
        <v>44</v>
      </c>
    </row>
    <row r="1357">
      <c r="A1357" s="2" t="s">
        <v>1275</v>
      </c>
      <c r="B1357" s="1" t="s">
        <v>1276</v>
      </c>
    </row>
    <row r="1358">
      <c r="A1358" s="2" t="s">
        <v>1277</v>
      </c>
      <c r="B1358" s="1" t="s">
        <v>1278</v>
      </c>
    </row>
    <row r="1359">
      <c r="A1359" s="2" t="s">
        <v>1279</v>
      </c>
      <c r="B1359" s="1" t="s">
        <v>1280</v>
      </c>
    </row>
    <row r="1360">
      <c r="A1360" s="2" t="s">
        <v>1227</v>
      </c>
      <c r="B1360" s="1" t="s">
        <v>1228</v>
      </c>
      <c r="C1360" s="2" t="s">
        <v>49</v>
      </c>
      <c r="D1360" s="1" t="s">
        <v>50</v>
      </c>
    </row>
    <row r="1361">
      <c r="A1361" s="2" t="s">
        <v>1281</v>
      </c>
      <c r="B1361" s="1" t="s">
        <v>1282</v>
      </c>
    </row>
    <row r="1362">
      <c r="A1362" s="2" t="s">
        <v>1283</v>
      </c>
      <c r="B1362" s="1" t="s">
        <v>1284</v>
      </c>
    </row>
    <row r="1363">
      <c r="A1363" s="2" t="s">
        <v>1210</v>
      </c>
      <c r="B1363" s="1" t="s">
        <v>1211</v>
      </c>
      <c r="C1363" s="2" t="s">
        <v>306</v>
      </c>
      <c r="D1363" s="1" t="s">
        <v>307</v>
      </c>
    </row>
    <row r="1364">
      <c r="A1364" s="2" t="s">
        <v>1265</v>
      </c>
      <c r="B1364" s="1" t="s">
        <v>1266</v>
      </c>
      <c r="C1364" s="2" t="s">
        <v>69</v>
      </c>
      <c r="D1364" s="1" t="s">
        <v>70</v>
      </c>
    </row>
    <row r="1365">
      <c r="A1365" s="2" t="s">
        <v>1285</v>
      </c>
      <c r="B1365" s="1" t="s">
        <v>1286</v>
      </c>
      <c r="C1365" s="2" t="s">
        <v>604</v>
      </c>
      <c r="D1365" s="1" t="s">
        <v>605</v>
      </c>
    </row>
    <row r="1366">
      <c r="A1366" s="2" t="s">
        <v>1287</v>
      </c>
      <c r="B1366" s="1" t="s">
        <v>1288</v>
      </c>
    </row>
    <row r="1367">
      <c r="A1367" s="2" t="s">
        <v>1289</v>
      </c>
      <c r="B1367" s="1" t="s">
        <v>1290</v>
      </c>
      <c r="C1367" s="2" t="s">
        <v>49</v>
      </c>
      <c r="D1367" s="1" t="s">
        <v>50</v>
      </c>
    </row>
    <row r="1368">
      <c r="A1368" s="2" t="s">
        <v>1291</v>
      </c>
      <c r="B1368" s="1" t="s">
        <v>1292</v>
      </c>
      <c r="C1368" s="2" t="s">
        <v>311</v>
      </c>
      <c r="D1368" s="1" t="s">
        <v>312</v>
      </c>
    </row>
    <row r="1369">
      <c r="A1369" s="2" t="s">
        <v>1293</v>
      </c>
      <c r="B1369" s="1" t="s">
        <v>1294</v>
      </c>
      <c r="C1369" s="2" t="s">
        <v>221</v>
      </c>
      <c r="D1369" s="1" t="s">
        <v>222</v>
      </c>
    </row>
    <row r="1370">
      <c r="A1370" s="2" t="s">
        <v>1295</v>
      </c>
      <c r="B1370" s="1" t="s">
        <v>1296</v>
      </c>
      <c r="C1370" s="2" t="s">
        <v>25</v>
      </c>
      <c r="D1370" s="1" t="s">
        <v>26</v>
      </c>
    </row>
    <row r="1371">
      <c r="A1371" s="2" t="s">
        <v>1297</v>
      </c>
      <c r="B1371" s="1" t="s">
        <v>1298</v>
      </c>
    </row>
    <row r="1372">
      <c r="A1372" s="2" t="s">
        <v>1299</v>
      </c>
      <c r="B1372" s="1" t="s">
        <v>1300</v>
      </c>
      <c r="C1372" s="2" t="s">
        <v>53</v>
      </c>
      <c r="D1372" s="1" t="s">
        <v>54</v>
      </c>
    </row>
    <row r="1373">
      <c r="A1373" s="2" t="s">
        <v>1299</v>
      </c>
      <c r="B1373" s="1" t="s">
        <v>1300</v>
      </c>
      <c r="C1373" s="2" t="s">
        <v>202</v>
      </c>
      <c r="D1373" s="1" t="s">
        <v>203</v>
      </c>
    </row>
    <row r="1374">
      <c r="A1374" s="2" t="s">
        <v>1176</v>
      </c>
      <c r="B1374" s="1" t="s">
        <v>1177</v>
      </c>
      <c r="C1374" s="2" t="s">
        <v>221</v>
      </c>
      <c r="D1374" s="1" t="s">
        <v>222</v>
      </c>
    </row>
    <row r="1375">
      <c r="A1375" s="2" t="s">
        <v>1301</v>
      </c>
      <c r="B1375" s="1" t="s">
        <v>1302</v>
      </c>
      <c r="C1375" s="2" t="s">
        <v>341</v>
      </c>
      <c r="D1375" s="1" t="s">
        <v>342</v>
      </c>
    </row>
    <row r="1376">
      <c r="A1376" s="2" t="s">
        <v>1303</v>
      </c>
      <c r="B1376" s="1" t="s">
        <v>1304</v>
      </c>
      <c r="C1376" s="2" t="s">
        <v>114</v>
      </c>
      <c r="D1376" s="1" t="s">
        <v>115</v>
      </c>
    </row>
    <row r="1377">
      <c r="A1377" s="2" t="s">
        <v>1303</v>
      </c>
      <c r="B1377" s="1" t="s">
        <v>1304</v>
      </c>
      <c r="C1377" s="2" t="s">
        <v>902</v>
      </c>
      <c r="D1377" s="1" t="s">
        <v>903</v>
      </c>
    </row>
    <row r="1378">
      <c r="A1378" s="2" t="s">
        <v>1301</v>
      </c>
      <c r="B1378" s="1" t="s">
        <v>1302</v>
      </c>
      <c r="C1378" s="2" t="s">
        <v>139</v>
      </c>
      <c r="D1378" s="1" t="s">
        <v>140</v>
      </c>
    </row>
    <row r="1379">
      <c r="A1379" s="2" t="s">
        <v>1305</v>
      </c>
      <c r="B1379" s="1" t="s">
        <v>1306</v>
      </c>
      <c r="C1379" s="2" t="s">
        <v>1307</v>
      </c>
      <c r="D1379" s="1" t="s">
        <v>1308</v>
      </c>
    </row>
    <row r="1380">
      <c r="A1380" s="2" t="s">
        <v>1309</v>
      </c>
      <c r="B1380" s="1" t="s">
        <v>1310</v>
      </c>
      <c r="C1380" s="2" t="s">
        <v>43</v>
      </c>
      <c r="D1380" s="1" t="s">
        <v>44</v>
      </c>
    </row>
    <row r="1381">
      <c r="A1381" s="2" t="s">
        <v>1311</v>
      </c>
      <c r="B1381" s="1" t="s">
        <v>1312</v>
      </c>
      <c r="C1381" s="2" t="s">
        <v>43</v>
      </c>
      <c r="D1381" s="1" t="s">
        <v>44</v>
      </c>
    </row>
    <row r="1382">
      <c r="A1382" s="2" t="s">
        <v>1301</v>
      </c>
      <c r="B1382" s="1" t="s">
        <v>1302</v>
      </c>
      <c r="C1382" s="2" t="s">
        <v>141</v>
      </c>
      <c r="D1382" s="1" t="s">
        <v>142</v>
      </c>
    </row>
    <row r="1383">
      <c r="A1383" s="2" t="s">
        <v>1313</v>
      </c>
      <c r="B1383" s="1" t="s">
        <v>1314</v>
      </c>
      <c r="C1383" s="2" t="s">
        <v>306</v>
      </c>
      <c r="D1383" s="1" t="s">
        <v>307</v>
      </c>
      <c r="E1383" s="2" t="s">
        <v>1315</v>
      </c>
    </row>
    <row r="1384">
      <c r="A1384" s="2" t="s">
        <v>1316</v>
      </c>
      <c r="B1384" s="1" t="s">
        <v>1317</v>
      </c>
      <c r="C1384" s="2" t="s">
        <v>173</v>
      </c>
      <c r="D1384" s="1" t="s">
        <v>174</v>
      </c>
    </row>
    <row r="1385">
      <c r="A1385" s="2" t="s">
        <v>1299</v>
      </c>
      <c r="B1385" s="1" t="s">
        <v>1300</v>
      </c>
      <c r="C1385" s="2" t="s">
        <v>41</v>
      </c>
      <c r="D1385" s="1" t="s">
        <v>42</v>
      </c>
    </row>
    <row r="1386">
      <c r="A1386" s="2" t="s">
        <v>1299</v>
      </c>
      <c r="B1386" s="1" t="s">
        <v>1300</v>
      </c>
      <c r="C1386" s="2" t="s">
        <v>79</v>
      </c>
      <c r="D1386" s="1" t="s">
        <v>80</v>
      </c>
    </row>
    <row r="1387">
      <c r="A1387" s="2" t="s">
        <v>1309</v>
      </c>
      <c r="B1387" s="1" t="s">
        <v>1310</v>
      </c>
      <c r="C1387" s="2" t="s">
        <v>90</v>
      </c>
      <c r="D1387" s="1" t="s">
        <v>91</v>
      </c>
    </row>
    <row r="1388">
      <c r="A1388" s="2" t="s">
        <v>1318</v>
      </c>
      <c r="B1388" s="1" t="s">
        <v>1319</v>
      </c>
      <c r="C1388" s="2" t="s">
        <v>1320</v>
      </c>
      <c r="D1388" s="1" t="s">
        <v>1321</v>
      </c>
    </row>
    <row r="1389">
      <c r="A1389" s="2" t="s">
        <v>1322</v>
      </c>
      <c r="B1389" s="1" t="s">
        <v>1323</v>
      </c>
      <c r="C1389" s="2" t="s">
        <v>151</v>
      </c>
      <c r="D1389" s="1" t="s">
        <v>152</v>
      </c>
    </row>
    <row r="1390">
      <c r="A1390" s="2" t="s">
        <v>1299</v>
      </c>
      <c r="B1390" s="1" t="s">
        <v>1300</v>
      </c>
      <c r="C1390" s="2" t="s">
        <v>86</v>
      </c>
      <c r="D1390" s="1" t="s">
        <v>87</v>
      </c>
    </row>
    <row r="1391">
      <c r="A1391" s="2" t="s">
        <v>1324</v>
      </c>
      <c r="B1391" s="1" t="s">
        <v>1325</v>
      </c>
      <c r="C1391" s="2" t="s">
        <v>522</v>
      </c>
      <c r="D1391" s="1" t="s">
        <v>523</v>
      </c>
    </row>
    <row r="1392">
      <c r="A1392" s="2" t="s">
        <v>1326</v>
      </c>
      <c r="B1392" s="1" t="s">
        <v>1327</v>
      </c>
      <c r="C1392" s="2" t="s">
        <v>1328</v>
      </c>
      <c r="D1392" s="1" t="s">
        <v>1329</v>
      </c>
    </row>
    <row r="1393">
      <c r="A1393" s="2" t="s">
        <v>1311</v>
      </c>
      <c r="B1393" s="1" t="s">
        <v>1312</v>
      </c>
      <c r="C1393" s="2" t="s">
        <v>147</v>
      </c>
      <c r="D1393" s="1" t="s">
        <v>148</v>
      </c>
    </row>
    <row r="1394">
      <c r="A1394" s="2" t="s">
        <v>1313</v>
      </c>
      <c r="B1394" s="1" t="s">
        <v>1314</v>
      </c>
      <c r="C1394" s="2" t="s">
        <v>216</v>
      </c>
      <c r="D1394" s="1" t="s">
        <v>217</v>
      </c>
      <c r="E1394" s="2" t="s">
        <v>1315</v>
      </c>
    </row>
    <row r="1395">
      <c r="A1395" s="2" t="s">
        <v>1330</v>
      </c>
      <c r="B1395" s="1" t="s">
        <v>1331</v>
      </c>
      <c r="C1395" s="2" t="s">
        <v>1332</v>
      </c>
      <c r="D1395" s="1" t="s">
        <v>1333</v>
      </c>
    </row>
    <row r="1396">
      <c r="A1396" s="2" t="s">
        <v>1334</v>
      </c>
      <c r="B1396" s="1" t="s">
        <v>1335</v>
      </c>
      <c r="C1396" s="2" t="s">
        <v>118</v>
      </c>
      <c r="D1396" s="1" t="s">
        <v>119</v>
      </c>
    </row>
    <row r="1397">
      <c r="A1397" s="2" t="s">
        <v>1305</v>
      </c>
      <c r="B1397" s="1" t="s">
        <v>1306</v>
      </c>
      <c r="C1397" s="2" t="s">
        <v>1336</v>
      </c>
      <c r="D1397" s="1" t="s">
        <v>1337</v>
      </c>
    </row>
    <row r="1398">
      <c r="A1398" s="2" t="s">
        <v>1318</v>
      </c>
      <c r="B1398" s="1" t="s">
        <v>1319</v>
      </c>
      <c r="C1398" s="2" t="s">
        <v>114</v>
      </c>
      <c r="D1398" s="1" t="s">
        <v>115</v>
      </c>
    </row>
    <row r="1399">
      <c r="A1399" s="2" t="s">
        <v>1338</v>
      </c>
      <c r="B1399" s="1" t="s">
        <v>1339</v>
      </c>
      <c r="C1399" s="2" t="s">
        <v>43</v>
      </c>
      <c r="D1399" s="1" t="s">
        <v>44</v>
      </c>
    </row>
    <row r="1400">
      <c r="A1400" s="2" t="s">
        <v>1340</v>
      </c>
      <c r="B1400" s="1" t="s">
        <v>1341</v>
      </c>
      <c r="C1400" s="2" t="s">
        <v>1307</v>
      </c>
      <c r="D1400" s="1" t="s">
        <v>1308</v>
      </c>
    </row>
    <row r="1401">
      <c r="A1401" s="2" t="s">
        <v>1324</v>
      </c>
      <c r="B1401" s="1" t="s">
        <v>1325</v>
      </c>
      <c r="C1401" s="2" t="s">
        <v>651</v>
      </c>
      <c r="D1401" s="1" t="s">
        <v>652</v>
      </c>
    </row>
    <row r="1402">
      <c r="A1402" s="2" t="s">
        <v>1342</v>
      </c>
      <c r="B1402" s="1" t="s">
        <v>1343</v>
      </c>
      <c r="C1402" s="2" t="s">
        <v>173</v>
      </c>
      <c r="D1402" s="1" t="s">
        <v>174</v>
      </c>
    </row>
    <row r="1403">
      <c r="A1403" s="2" t="s">
        <v>1344</v>
      </c>
      <c r="B1403" s="1" t="s">
        <v>1345</v>
      </c>
      <c r="C1403" s="2" t="s">
        <v>1346</v>
      </c>
      <c r="D1403" s="1" t="s">
        <v>1347</v>
      </c>
    </row>
    <row r="1404">
      <c r="A1404" s="2" t="s">
        <v>1344</v>
      </c>
      <c r="B1404" s="1" t="s">
        <v>1345</v>
      </c>
      <c r="C1404" s="2" t="s">
        <v>970</v>
      </c>
      <c r="D1404" s="1" t="s">
        <v>971</v>
      </c>
    </row>
    <row r="1405">
      <c r="A1405" s="2" t="s">
        <v>1348</v>
      </c>
      <c r="B1405" s="1" t="s">
        <v>1349</v>
      </c>
      <c r="C1405" s="2" t="s">
        <v>216</v>
      </c>
      <c r="D1405" s="1" t="s">
        <v>217</v>
      </c>
    </row>
    <row r="1406">
      <c r="A1406" s="2" t="s">
        <v>1348</v>
      </c>
      <c r="B1406" s="1" t="s">
        <v>1349</v>
      </c>
      <c r="C1406" s="2" t="s">
        <v>43</v>
      </c>
      <c r="D1406" s="1" t="s">
        <v>44</v>
      </c>
    </row>
    <row r="1407">
      <c r="A1407" s="2" t="s">
        <v>1350</v>
      </c>
      <c r="B1407" s="1" t="s">
        <v>1351</v>
      </c>
      <c r="C1407" s="2" t="s">
        <v>221</v>
      </c>
      <c r="D1407" s="1" t="s">
        <v>222</v>
      </c>
    </row>
    <row r="1408">
      <c r="A1408" s="2" t="s">
        <v>1295</v>
      </c>
      <c r="B1408" s="1" t="s">
        <v>1296</v>
      </c>
      <c r="C1408" s="2" t="s">
        <v>35</v>
      </c>
      <c r="D1408" s="1" t="s">
        <v>36</v>
      </c>
    </row>
    <row r="1409">
      <c r="A1409" s="2" t="s">
        <v>1295</v>
      </c>
      <c r="B1409" s="1" t="s">
        <v>1296</v>
      </c>
      <c r="C1409" s="2" t="s">
        <v>247</v>
      </c>
      <c r="D1409" s="1" t="s">
        <v>248</v>
      </c>
    </row>
    <row r="1410">
      <c r="A1410" s="2" t="s">
        <v>1352</v>
      </c>
      <c r="B1410" s="1" t="s">
        <v>1353</v>
      </c>
      <c r="C1410" s="2" t="s">
        <v>202</v>
      </c>
      <c r="D1410" s="1" t="s">
        <v>203</v>
      </c>
    </row>
    <row r="1411">
      <c r="A1411" s="2" t="s">
        <v>1295</v>
      </c>
      <c r="B1411" s="1" t="s">
        <v>1296</v>
      </c>
      <c r="C1411" s="2" t="s">
        <v>1354</v>
      </c>
      <c r="D1411" s="1" t="s">
        <v>1355</v>
      </c>
    </row>
    <row r="1412">
      <c r="A1412" s="2" t="s">
        <v>1356</v>
      </c>
      <c r="B1412" s="1" t="s">
        <v>1357</v>
      </c>
      <c r="C1412" s="2" t="s">
        <v>604</v>
      </c>
      <c r="D1412" s="1" t="s">
        <v>605</v>
      </c>
    </row>
    <row r="1413">
      <c r="A1413" s="2" t="s">
        <v>1358</v>
      </c>
      <c r="B1413" s="1" t="s">
        <v>1359</v>
      </c>
      <c r="C1413" s="2" t="s">
        <v>604</v>
      </c>
      <c r="D1413" s="1" t="s">
        <v>605</v>
      </c>
    </row>
    <row r="1414">
      <c r="A1414" s="2" t="s">
        <v>1360</v>
      </c>
      <c r="B1414" s="1" t="s">
        <v>1361</v>
      </c>
      <c r="C1414" s="2" t="s">
        <v>41</v>
      </c>
      <c r="D1414" s="1" t="s">
        <v>42</v>
      </c>
    </row>
    <row r="1415">
      <c r="A1415" s="2" t="s">
        <v>1352</v>
      </c>
      <c r="B1415" s="1" t="s">
        <v>1353</v>
      </c>
      <c r="C1415" s="2" t="s">
        <v>41</v>
      </c>
      <c r="D1415" s="1" t="s">
        <v>42</v>
      </c>
    </row>
    <row r="1416">
      <c r="A1416" s="2" t="s">
        <v>1352</v>
      </c>
      <c r="B1416" s="1" t="s">
        <v>1353</v>
      </c>
      <c r="C1416" s="2" t="s">
        <v>84</v>
      </c>
      <c r="D1416" s="1" t="s">
        <v>85</v>
      </c>
    </row>
    <row r="1417">
      <c r="A1417" s="2" t="s">
        <v>1316</v>
      </c>
      <c r="B1417" s="1" t="s">
        <v>1317</v>
      </c>
      <c r="C1417" s="2" t="s">
        <v>12</v>
      </c>
      <c r="D1417" s="1" t="s">
        <v>13</v>
      </c>
    </row>
    <row r="1418">
      <c r="A1418" s="2" t="s">
        <v>1360</v>
      </c>
      <c r="B1418" s="1" t="s">
        <v>1361</v>
      </c>
      <c r="C1418" s="2" t="s">
        <v>216</v>
      </c>
      <c r="D1418" s="1" t="s">
        <v>217</v>
      </c>
    </row>
    <row r="1419">
      <c r="A1419" s="2" t="s">
        <v>1360</v>
      </c>
      <c r="B1419" s="1" t="s">
        <v>1361</v>
      </c>
      <c r="C1419" s="2" t="s">
        <v>133</v>
      </c>
      <c r="D1419" s="1" t="s">
        <v>134</v>
      </c>
    </row>
    <row r="1420">
      <c r="A1420" s="2" t="s">
        <v>1360</v>
      </c>
      <c r="B1420" s="1" t="s">
        <v>1361</v>
      </c>
      <c r="C1420" s="2" t="s">
        <v>43</v>
      </c>
      <c r="D1420" s="1" t="s">
        <v>44</v>
      </c>
    </row>
    <row r="1421">
      <c r="A1421" s="2" t="s">
        <v>1352</v>
      </c>
      <c r="B1421" s="1" t="s">
        <v>1353</v>
      </c>
      <c r="C1421" s="2" t="s">
        <v>43</v>
      </c>
      <c r="D1421" s="1" t="s">
        <v>44</v>
      </c>
    </row>
    <row r="1422">
      <c r="A1422" s="2" t="s">
        <v>1299</v>
      </c>
      <c r="B1422" s="1" t="s">
        <v>1300</v>
      </c>
      <c r="C1422" s="2" t="s">
        <v>118</v>
      </c>
      <c r="D1422" s="1" t="s">
        <v>119</v>
      </c>
    </row>
    <row r="1423">
      <c r="A1423" s="2" t="s">
        <v>1362</v>
      </c>
      <c r="B1423" s="1" t="s">
        <v>1363</v>
      </c>
      <c r="C1423" s="2" t="s">
        <v>216</v>
      </c>
      <c r="D1423" s="1" t="s">
        <v>217</v>
      </c>
    </row>
    <row r="1424">
      <c r="A1424" s="2" t="s">
        <v>1313</v>
      </c>
      <c r="B1424" s="1" t="s">
        <v>1314</v>
      </c>
      <c r="C1424" s="2" t="s">
        <v>604</v>
      </c>
      <c r="D1424" s="1" t="s">
        <v>605</v>
      </c>
      <c r="E1424" s="2" t="s">
        <v>1315</v>
      </c>
    </row>
    <row r="1425">
      <c r="A1425" s="2" t="s">
        <v>1352</v>
      </c>
      <c r="B1425" s="1" t="s">
        <v>1353</v>
      </c>
      <c r="C1425" s="2" t="s">
        <v>49</v>
      </c>
      <c r="D1425" s="1" t="s">
        <v>50</v>
      </c>
    </row>
    <row r="1426">
      <c r="A1426" s="2" t="s">
        <v>1338</v>
      </c>
      <c r="B1426" s="1" t="s">
        <v>1339</v>
      </c>
      <c r="C1426" s="2" t="s">
        <v>221</v>
      </c>
      <c r="D1426" s="1" t="s">
        <v>222</v>
      </c>
    </row>
    <row r="1427">
      <c r="A1427" s="2" t="s">
        <v>1364</v>
      </c>
      <c r="B1427" s="1" t="s">
        <v>1365</v>
      </c>
      <c r="C1427" s="2" t="s">
        <v>12</v>
      </c>
      <c r="D1427" s="1" t="s">
        <v>13</v>
      </c>
    </row>
    <row r="1428">
      <c r="A1428" s="2" t="s">
        <v>1366</v>
      </c>
      <c r="B1428" s="1" t="s">
        <v>1367</v>
      </c>
      <c r="C1428" s="2" t="s">
        <v>832</v>
      </c>
      <c r="D1428" s="1" t="s">
        <v>833</v>
      </c>
    </row>
    <row r="1429">
      <c r="A1429" s="2" t="s">
        <v>1366</v>
      </c>
      <c r="B1429" s="1" t="s">
        <v>1367</v>
      </c>
      <c r="C1429" s="2" t="s">
        <v>1097</v>
      </c>
      <c r="D1429" s="1" t="s">
        <v>1098</v>
      </c>
    </row>
    <row r="1430">
      <c r="A1430" s="2" t="s">
        <v>1368</v>
      </c>
      <c r="B1430" s="1" t="s">
        <v>1369</v>
      </c>
      <c r="C1430" s="2" t="s">
        <v>1370</v>
      </c>
      <c r="D1430" s="1" t="s">
        <v>1371</v>
      </c>
    </row>
    <row r="1431">
      <c r="A1431" s="2" t="s">
        <v>1368</v>
      </c>
      <c r="B1431" s="1" t="s">
        <v>1369</v>
      </c>
      <c r="C1431" s="2" t="s">
        <v>216</v>
      </c>
      <c r="D1431" s="1" t="s">
        <v>217</v>
      </c>
    </row>
    <row r="1432">
      <c r="A1432" s="2" t="s">
        <v>1368</v>
      </c>
      <c r="B1432" s="1" t="s">
        <v>1369</v>
      </c>
      <c r="C1432" s="2" t="s">
        <v>1235</v>
      </c>
      <c r="D1432" s="1" t="s">
        <v>1236</v>
      </c>
    </row>
    <row r="1433">
      <c r="A1433" s="2" t="s">
        <v>1364</v>
      </c>
      <c r="B1433" s="1" t="s">
        <v>1365</v>
      </c>
      <c r="C1433" s="2" t="s">
        <v>516</v>
      </c>
      <c r="D1433" s="1" t="s">
        <v>517</v>
      </c>
    </row>
    <row r="1434">
      <c r="A1434" s="2" t="s">
        <v>1303</v>
      </c>
      <c r="B1434" s="1" t="s">
        <v>1304</v>
      </c>
      <c r="C1434" s="2" t="s">
        <v>490</v>
      </c>
      <c r="D1434" s="1" t="s">
        <v>491</v>
      </c>
    </row>
    <row r="1435">
      <c r="A1435" s="2" t="s">
        <v>1348</v>
      </c>
      <c r="B1435" s="1" t="s">
        <v>1349</v>
      </c>
      <c r="C1435" s="2" t="s">
        <v>221</v>
      </c>
      <c r="D1435" s="1" t="s">
        <v>222</v>
      </c>
    </row>
    <row r="1436">
      <c r="A1436" s="2" t="s">
        <v>1350</v>
      </c>
      <c r="B1436" s="1" t="s">
        <v>1351</v>
      </c>
      <c r="C1436" s="2" t="s">
        <v>118</v>
      </c>
      <c r="D1436" s="1" t="s">
        <v>119</v>
      </c>
    </row>
    <row r="1437">
      <c r="A1437" s="2" t="s">
        <v>1322</v>
      </c>
      <c r="B1437" s="1" t="s">
        <v>1323</v>
      </c>
      <c r="C1437" s="2" t="s">
        <v>604</v>
      </c>
      <c r="D1437" s="1" t="s">
        <v>605</v>
      </c>
    </row>
    <row r="1438">
      <c r="A1438" s="2" t="s">
        <v>1334</v>
      </c>
      <c r="B1438" s="1" t="s">
        <v>1335</v>
      </c>
      <c r="C1438" s="2" t="s">
        <v>49</v>
      </c>
      <c r="D1438" s="1" t="s">
        <v>50</v>
      </c>
    </row>
    <row r="1439">
      <c r="A1439" s="2" t="s">
        <v>1360</v>
      </c>
      <c r="B1439" s="1" t="s">
        <v>1361</v>
      </c>
      <c r="C1439" s="2" t="s">
        <v>69</v>
      </c>
      <c r="D1439" s="1" t="s">
        <v>70</v>
      </c>
    </row>
    <row r="1440">
      <c r="A1440" s="2" t="s">
        <v>1176</v>
      </c>
      <c r="B1440" s="1" t="s">
        <v>1177</v>
      </c>
      <c r="C1440" s="2" t="s">
        <v>43</v>
      </c>
      <c r="D1440" s="1" t="s">
        <v>44</v>
      </c>
    </row>
    <row r="1441">
      <c r="A1441" s="2" t="s">
        <v>1372</v>
      </c>
      <c r="B1441" s="1" t="s">
        <v>1373</v>
      </c>
      <c r="C1441" s="2" t="s">
        <v>41</v>
      </c>
      <c r="D1441" s="1" t="s">
        <v>42</v>
      </c>
    </row>
    <row r="1442">
      <c r="A1442" s="2" t="s">
        <v>1295</v>
      </c>
      <c r="B1442" s="1" t="s">
        <v>1296</v>
      </c>
      <c r="C1442" s="2" t="s">
        <v>1374</v>
      </c>
      <c r="D1442" s="1" t="s">
        <v>1375</v>
      </c>
    </row>
    <row r="1443">
      <c r="A1443" s="2" t="s">
        <v>1372</v>
      </c>
      <c r="B1443" s="1" t="s">
        <v>1373</v>
      </c>
      <c r="C1443" s="2" t="s">
        <v>43</v>
      </c>
      <c r="D1443" s="1" t="s">
        <v>44</v>
      </c>
    </row>
    <row r="1444">
      <c r="A1444" s="2" t="s">
        <v>1372</v>
      </c>
      <c r="B1444" s="1" t="s">
        <v>1373</v>
      </c>
      <c r="C1444" s="2" t="s">
        <v>49</v>
      </c>
      <c r="D1444" s="1" t="s">
        <v>50</v>
      </c>
    </row>
    <row r="1445">
      <c r="A1445" s="2" t="s">
        <v>1376</v>
      </c>
      <c r="B1445" s="1" t="s">
        <v>1377</v>
      </c>
      <c r="C1445" s="2" t="s">
        <v>604</v>
      </c>
      <c r="D1445" s="1" t="s">
        <v>605</v>
      </c>
    </row>
    <row r="1446">
      <c r="A1446" s="2" t="s">
        <v>1368</v>
      </c>
      <c r="B1446" s="1" t="s">
        <v>1369</v>
      </c>
      <c r="C1446" s="2" t="s">
        <v>508</v>
      </c>
      <c r="D1446" s="1" t="s">
        <v>509</v>
      </c>
    </row>
    <row r="1447">
      <c r="A1447" s="2" t="s">
        <v>1378</v>
      </c>
      <c r="B1447" s="1" t="s">
        <v>1379</v>
      </c>
      <c r="C1447" s="2" t="s">
        <v>341</v>
      </c>
      <c r="D1447" s="1" t="s">
        <v>342</v>
      </c>
    </row>
    <row r="1448">
      <c r="A1448" s="2" t="s">
        <v>1380</v>
      </c>
      <c r="B1448" s="1" t="s">
        <v>1381</v>
      </c>
      <c r="C1448" s="2" t="s">
        <v>151</v>
      </c>
      <c r="D1448" s="1" t="s">
        <v>152</v>
      </c>
    </row>
    <row r="1449">
      <c r="A1449" s="2" t="s">
        <v>1382</v>
      </c>
      <c r="B1449" s="1" t="s">
        <v>1383</v>
      </c>
      <c r="C1449" s="2" t="s">
        <v>604</v>
      </c>
      <c r="D1449" s="1" t="s">
        <v>605</v>
      </c>
    </row>
    <row r="1450">
      <c r="A1450" s="2" t="s">
        <v>1376</v>
      </c>
      <c r="B1450" s="1" t="s">
        <v>1377</v>
      </c>
      <c r="C1450" s="2" t="s">
        <v>306</v>
      </c>
      <c r="D1450" s="1" t="s">
        <v>307</v>
      </c>
    </row>
    <row r="1451">
      <c r="A1451" s="2" t="s">
        <v>1384</v>
      </c>
      <c r="B1451" s="1" t="s">
        <v>1385</v>
      </c>
      <c r="C1451" s="2" t="s">
        <v>321</v>
      </c>
      <c r="D1451" s="1" t="s">
        <v>322</v>
      </c>
    </row>
    <row r="1452">
      <c r="A1452" s="2" t="s">
        <v>1318</v>
      </c>
      <c r="B1452" s="1" t="s">
        <v>1319</v>
      </c>
      <c r="C1452" s="2" t="s">
        <v>12</v>
      </c>
      <c r="D1452" s="1" t="s">
        <v>13</v>
      </c>
    </row>
    <row r="1453">
      <c r="A1453" s="2" t="s">
        <v>1386</v>
      </c>
      <c r="B1453" s="1" t="s">
        <v>1387</v>
      </c>
    </row>
    <row r="1454">
      <c r="A1454" s="2" t="s">
        <v>1388</v>
      </c>
      <c r="B1454" s="1" t="s">
        <v>1389</v>
      </c>
    </row>
    <row r="1455">
      <c r="A1455" s="2" t="s">
        <v>1390</v>
      </c>
      <c r="B1455" s="1" t="s">
        <v>1391</v>
      </c>
    </row>
    <row r="1456">
      <c r="A1456" s="2" t="s">
        <v>1392</v>
      </c>
      <c r="B1456" s="1" t="s">
        <v>1393</v>
      </c>
    </row>
    <row r="1457">
      <c r="A1457" s="2" t="s">
        <v>1394</v>
      </c>
      <c r="B1457" s="1" t="s">
        <v>1395</v>
      </c>
    </row>
    <row r="1458">
      <c r="A1458" s="2" t="s">
        <v>1396</v>
      </c>
      <c r="B1458" s="1" t="s">
        <v>1397</v>
      </c>
    </row>
    <row r="1459">
      <c r="A1459" s="2" t="s">
        <v>1382</v>
      </c>
      <c r="B1459" s="1" t="s">
        <v>1383</v>
      </c>
      <c r="C1459" s="2" t="s">
        <v>306</v>
      </c>
      <c r="D1459" s="1" t="s">
        <v>307</v>
      </c>
    </row>
    <row r="1460">
      <c r="A1460" s="2" t="s">
        <v>1344</v>
      </c>
      <c r="B1460" s="1" t="s">
        <v>1345</v>
      </c>
      <c r="C1460" s="2" t="s">
        <v>114</v>
      </c>
      <c r="D1460" s="1" t="s">
        <v>115</v>
      </c>
    </row>
    <row r="1461">
      <c r="A1461" s="2" t="s">
        <v>1176</v>
      </c>
      <c r="B1461" s="1" t="s">
        <v>1177</v>
      </c>
      <c r="C1461" s="2" t="s">
        <v>306</v>
      </c>
      <c r="D1461" s="1" t="s">
        <v>307</v>
      </c>
    </row>
    <row r="1462">
      <c r="A1462" s="2" t="s">
        <v>1176</v>
      </c>
      <c r="B1462" s="1" t="s">
        <v>1177</v>
      </c>
      <c r="C1462" s="2" t="s">
        <v>69</v>
      </c>
      <c r="D1462" s="1" t="s">
        <v>70</v>
      </c>
    </row>
    <row r="1463">
      <c r="A1463" s="2" t="s">
        <v>1289</v>
      </c>
      <c r="B1463" s="1" t="s">
        <v>1290</v>
      </c>
      <c r="C1463" s="2" t="s">
        <v>133</v>
      </c>
      <c r="D1463" s="1" t="s">
        <v>134</v>
      </c>
    </row>
    <row r="1464">
      <c r="A1464" s="2" t="s">
        <v>1289</v>
      </c>
      <c r="B1464" s="1" t="s">
        <v>1290</v>
      </c>
      <c r="C1464" s="2" t="s">
        <v>43</v>
      </c>
      <c r="D1464" s="1" t="s">
        <v>44</v>
      </c>
    </row>
    <row r="1465">
      <c r="A1465" s="2" t="s">
        <v>1176</v>
      </c>
      <c r="B1465" s="1" t="s">
        <v>1177</v>
      </c>
      <c r="C1465" s="2" t="s">
        <v>492</v>
      </c>
      <c r="D1465" s="1" t="s">
        <v>493</v>
      </c>
    </row>
    <row r="1466">
      <c r="A1466" s="2" t="s">
        <v>1398</v>
      </c>
      <c r="B1466" s="1" t="s">
        <v>1399</v>
      </c>
      <c r="C1466" s="2" t="s">
        <v>225</v>
      </c>
      <c r="D1466" s="1" t="s">
        <v>226</v>
      </c>
      <c r="E1466" s="2" t="s">
        <v>1400</v>
      </c>
    </row>
    <row r="1467">
      <c r="A1467" s="2" t="s">
        <v>1401</v>
      </c>
      <c r="B1467" s="1" t="s">
        <v>1402</v>
      </c>
      <c r="C1467" s="2" t="s">
        <v>1403</v>
      </c>
      <c r="D1467" s="1" t="s">
        <v>1404</v>
      </c>
      <c r="E1467" s="2" t="s">
        <v>1405</v>
      </c>
    </row>
    <row r="1468">
      <c r="A1468" s="2" t="s">
        <v>1406</v>
      </c>
      <c r="B1468" s="1" t="s">
        <v>1407</v>
      </c>
      <c r="C1468" s="2" t="s">
        <v>116</v>
      </c>
      <c r="D1468" s="1" t="s">
        <v>117</v>
      </c>
      <c r="E1468" s="2" t="s">
        <v>1408</v>
      </c>
    </row>
    <row r="1469">
      <c r="A1469" s="2" t="s">
        <v>1409</v>
      </c>
      <c r="B1469" s="1" t="s">
        <v>1410</v>
      </c>
      <c r="C1469" s="2" t="s">
        <v>22</v>
      </c>
      <c r="D1469" s="1" t="s">
        <v>23</v>
      </c>
      <c r="E1469" s="2" t="s">
        <v>1411</v>
      </c>
    </row>
    <row r="1470">
      <c r="A1470" s="2" t="s">
        <v>1409</v>
      </c>
      <c r="B1470" s="1" t="s">
        <v>1410</v>
      </c>
      <c r="C1470" s="2" t="s">
        <v>25</v>
      </c>
      <c r="D1470" s="1" t="s">
        <v>26</v>
      </c>
      <c r="E1470" s="2" t="s">
        <v>1411</v>
      </c>
    </row>
    <row r="1471">
      <c r="A1471" s="2" t="s">
        <v>1412</v>
      </c>
      <c r="B1471" s="1" t="s">
        <v>1413</v>
      </c>
      <c r="C1471" s="2" t="s">
        <v>12</v>
      </c>
      <c r="D1471" s="1" t="s">
        <v>13</v>
      </c>
      <c r="E1471" s="2" t="s">
        <v>1414</v>
      </c>
    </row>
    <row r="1472">
      <c r="A1472" s="2" t="s">
        <v>1398</v>
      </c>
      <c r="B1472" s="1" t="s">
        <v>1399</v>
      </c>
      <c r="C1472" s="2" t="s">
        <v>22</v>
      </c>
      <c r="D1472" s="1" t="s">
        <v>23</v>
      </c>
      <c r="E1472" s="2" t="s">
        <v>1400</v>
      </c>
    </row>
    <row r="1473">
      <c r="A1473" s="2" t="s">
        <v>1415</v>
      </c>
      <c r="B1473" s="1" t="s">
        <v>1416</v>
      </c>
      <c r="C1473" s="2" t="s">
        <v>1417</v>
      </c>
      <c r="D1473" s="1" t="s">
        <v>1418</v>
      </c>
      <c r="E1473" s="2" t="s">
        <v>1419</v>
      </c>
    </row>
    <row r="1474">
      <c r="A1474" s="2" t="s">
        <v>1398</v>
      </c>
      <c r="B1474" s="1" t="s">
        <v>1399</v>
      </c>
      <c r="C1474" s="2" t="s">
        <v>25</v>
      </c>
      <c r="D1474" s="1" t="s">
        <v>26</v>
      </c>
      <c r="E1474" s="2" t="s">
        <v>1400</v>
      </c>
    </row>
    <row r="1475">
      <c r="A1475" s="2" t="s">
        <v>1415</v>
      </c>
      <c r="B1475" s="1" t="s">
        <v>1416</v>
      </c>
      <c r="C1475" s="2" t="s">
        <v>151</v>
      </c>
      <c r="D1475" s="1" t="s">
        <v>152</v>
      </c>
      <c r="E1475" s="2" t="s">
        <v>1419</v>
      </c>
    </row>
    <row r="1476">
      <c r="A1476" s="2" t="s">
        <v>1420</v>
      </c>
      <c r="B1476" s="1" t="s">
        <v>1421</v>
      </c>
      <c r="C1476" s="2" t="s">
        <v>114</v>
      </c>
      <c r="D1476" s="1" t="s">
        <v>115</v>
      </c>
      <c r="E1476" s="2" t="s">
        <v>1422</v>
      </c>
    </row>
    <row r="1477">
      <c r="A1477" s="2" t="s">
        <v>1423</v>
      </c>
      <c r="B1477" s="1" t="s">
        <v>1424</v>
      </c>
      <c r="C1477" s="2" t="s">
        <v>165</v>
      </c>
      <c r="D1477" s="1" t="s">
        <v>166</v>
      </c>
      <c r="E1477" s="2" t="s">
        <v>1425</v>
      </c>
    </row>
    <row r="1478">
      <c r="A1478" s="2" t="s">
        <v>1426</v>
      </c>
      <c r="B1478" s="1" t="s">
        <v>1427</v>
      </c>
      <c r="C1478" s="2" t="s">
        <v>288</v>
      </c>
      <c r="D1478" s="1" t="s">
        <v>289</v>
      </c>
    </row>
    <row r="1479">
      <c r="A1479" s="2" t="s">
        <v>1426</v>
      </c>
      <c r="B1479" s="1" t="s">
        <v>1427</v>
      </c>
      <c r="C1479" s="2" t="s">
        <v>84</v>
      </c>
      <c r="D1479" s="1" t="s">
        <v>85</v>
      </c>
    </row>
    <row r="1480">
      <c r="A1480" s="2" t="s">
        <v>1426</v>
      </c>
      <c r="B1480" s="1" t="s">
        <v>1427</v>
      </c>
      <c r="C1480" s="2" t="s">
        <v>77</v>
      </c>
      <c r="D1480" s="1" t="s">
        <v>78</v>
      </c>
    </row>
    <row r="1481">
      <c r="A1481" s="2" t="s">
        <v>1426</v>
      </c>
      <c r="B1481" s="1" t="s">
        <v>1427</v>
      </c>
      <c r="C1481" s="2" t="s">
        <v>133</v>
      </c>
      <c r="D1481" s="1" t="s">
        <v>134</v>
      </c>
    </row>
    <row r="1482">
      <c r="A1482" s="2" t="s">
        <v>1426</v>
      </c>
      <c r="B1482" s="1" t="s">
        <v>1427</v>
      </c>
      <c r="C1482" s="2" t="s">
        <v>43</v>
      </c>
      <c r="D1482" s="1" t="s">
        <v>44</v>
      </c>
    </row>
    <row r="1483">
      <c r="A1483" s="2" t="s">
        <v>1428</v>
      </c>
      <c r="B1483" s="1" t="s">
        <v>1429</v>
      </c>
      <c r="C1483" s="2" t="s">
        <v>118</v>
      </c>
      <c r="D1483" s="1" t="s">
        <v>119</v>
      </c>
      <c r="E1483" s="2" t="s">
        <v>1430</v>
      </c>
    </row>
    <row r="1484">
      <c r="A1484" s="2" t="s">
        <v>1426</v>
      </c>
      <c r="B1484" s="1" t="s">
        <v>1427</v>
      </c>
      <c r="C1484" s="2" t="s">
        <v>79</v>
      </c>
      <c r="D1484" s="1" t="s">
        <v>80</v>
      </c>
    </row>
    <row r="1485">
      <c r="A1485" s="2" t="s">
        <v>1426</v>
      </c>
      <c r="B1485" s="1" t="s">
        <v>1427</v>
      </c>
      <c r="C1485" s="2" t="s">
        <v>871</v>
      </c>
      <c r="D1485" s="1" t="s">
        <v>642</v>
      </c>
    </row>
    <row r="1486">
      <c r="A1486" s="2" t="s">
        <v>1412</v>
      </c>
      <c r="B1486" s="1" t="s">
        <v>1413</v>
      </c>
      <c r="C1486" s="2" t="s">
        <v>99</v>
      </c>
      <c r="D1486" s="1" t="s">
        <v>100</v>
      </c>
      <c r="E1486" s="2" t="s">
        <v>1414</v>
      </c>
    </row>
    <row r="1487">
      <c r="A1487" s="2" t="s">
        <v>1398</v>
      </c>
      <c r="B1487" s="1" t="s">
        <v>1399</v>
      </c>
      <c r="C1487" s="2" t="s">
        <v>252</v>
      </c>
      <c r="D1487" s="1" t="s">
        <v>253</v>
      </c>
      <c r="E1487" s="2" t="s">
        <v>1400</v>
      </c>
    </row>
    <row r="1488">
      <c r="A1488" s="2" t="s">
        <v>1431</v>
      </c>
      <c r="B1488" s="1" t="s">
        <v>1432</v>
      </c>
      <c r="C1488" s="2" t="s">
        <v>1346</v>
      </c>
      <c r="D1488" s="1" t="s">
        <v>1347</v>
      </c>
      <c r="E1488" s="2" t="s">
        <v>1433</v>
      </c>
    </row>
    <row r="1489">
      <c r="A1489" s="2" t="s">
        <v>1434</v>
      </c>
      <c r="B1489" s="1" t="s">
        <v>1435</v>
      </c>
      <c r="C1489" s="2" t="s">
        <v>1436</v>
      </c>
      <c r="D1489" s="1" t="s">
        <v>1437</v>
      </c>
    </row>
    <row r="1490">
      <c r="A1490" s="2" t="s">
        <v>1434</v>
      </c>
      <c r="B1490" s="1" t="s">
        <v>1435</v>
      </c>
      <c r="C1490" s="2" t="s">
        <v>1438</v>
      </c>
      <c r="D1490" s="1" t="s">
        <v>1439</v>
      </c>
    </row>
    <row r="1491">
      <c r="A1491" s="2" t="s">
        <v>1434</v>
      </c>
      <c r="B1491" s="1" t="s">
        <v>1435</v>
      </c>
      <c r="C1491" s="2" t="s">
        <v>380</v>
      </c>
      <c r="D1491" s="1" t="s">
        <v>381</v>
      </c>
    </row>
    <row r="1492">
      <c r="A1492" s="2" t="s">
        <v>1401</v>
      </c>
      <c r="B1492" s="1" t="s">
        <v>1402</v>
      </c>
      <c r="C1492" s="2" t="s">
        <v>439</v>
      </c>
      <c r="D1492" s="1" t="s">
        <v>440</v>
      </c>
      <c r="E1492" s="2" t="s">
        <v>1405</v>
      </c>
    </row>
    <row r="1493">
      <c r="A1493" s="2" t="s">
        <v>1434</v>
      </c>
      <c r="B1493" s="1" t="s">
        <v>1435</v>
      </c>
      <c r="C1493" s="2" t="s">
        <v>1004</v>
      </c>
      <c r="D1493" s="1" t="s">
        <v>1005</v>
      </c>
    </row>
    <row r="1494">
      <c r="A1494" s="2" t="s">
        <v>1434</v>
      </c>
      <c r="B1494" s="1" t="s">
        <v>1435</v>
      </c>
      <c r="C1494" s="2" t="s">
        <v>49</v>
      </c>
      <c r="D1494" s="1" t="s">
        <v>50</v>
      </c>
    </row>
    <row r="1495">
      <c r="A1495" s="2" t="s">
        <v>1423</v>
      </c>
      <c r="B1495" s="1" t="s">
        <v>1424</v>
      </c>
      <c r="C1495" s="2" t="s">
        <v>41</v>
      </c>
      <c r="D1495" s="1" t="s">
        <v>42</v>
      </c>
      <c r="E1495" s="2" t="s">
        <v>1425</v>
      </c>
    </row>
    <row r="1496">
      <c r="A1496" s="2" t="s">
        <v>1412</v>
      </c>
      <c r="B1496" s="1" t="s">
        <v>1413</v>
      </c>
      <c r="C1496" s="2" t="s">
        <v>22</v>
      </c>
      <c r="D1496" s="1" t="s">
        <v>23</v>
      </c>
      <c r="E1496" s="2" t="s">
        <v>1414</v>
      </c>
    </row>
    <row r="1497">
      <c r="A1497" s="2" t="s">
        <v>1440</v>
      </c>
      <c r="B1497" s="1" t="s">
        <v>1441</v>
      </c>
      <c r="C1497" s="2" t="s">
        <v>53</v>
      </c>
      <c r="D1497" s="1" t="s">
        <v>54</v>
      </c>
    </row>
    <row r="1498">
      <c r="A1498" s="2" t="s">
        <v>1401</v>
      </c>
      <c r="B1498" s="1" t="s">
        <v>1402</v>
      </c>
      <c r="C1498" s="2" t="s">
        <v>665</v>
      </c>
      <c r="D1498" s="1" t="s">
        <v>666</v>
      </c>
      <c r="E1498" s="2" t="s">
        <v>1405</v>
      </c>
    </row>
    <row r="1499">
      <c r="A1499" s="2" t="s">
        <v>1423</v>
      </c>
      <c r="B1499" s="1" t="s">
        <v>1424</v>
      </c>
      <c r="C1499" s="2" t="s">
        <v>77</v>
      </c>
      <c r="D1499" s="1" t="s">
        <v>78</v>
      </c>
      <c r="E1499" s="2" t="s">
        <v>1425</v>
      </c>
    </row>
    <row r="1500">
      <c r="A1500" s="2" t="s">
        <v>1423</v>
      </c>
      <c r="B1500" s="1" t="s">
        <v>1424</v>
      </c>
      <c r="C1500" s="2" t="s">
        <v>49</v>
      </c>
      <c r="D1500" s="1" t="s">
        <v>50</v>
      </c>
      <c r="E1500" s="2" t="s">
        <v>1425</v>
      </c>
    </row>
    <row r="1501">
      <c r="A1501" s="2" t="s">
        <v>1415</v>
      </c>
      <c r="B1501" s="1" t="s">
        <v>1416</v>
      </c>
      <c r="C1501" s="2" t="s">
        <v>139</v>
      </c>
      <c r="D1501" s="1" t="s">
        <v>140</v>
      </c>
      <c r="E1501" s="2" t="s">
        <v>1419</v>
      </c>
    </row>
    <row r="1502">
      <c r="A1502" s="2" t="s">
        <v>1442</v>
      </c>
      <c r="B1502" s="1" t="s">
        <v>1443</v>
      </c>
      <c r="C1502" s="2" t="s">
        <v>12</v>
      </c>
      <c r="D1502" s="1" t="s">
        <v>13</v>
      </c>
    </row>
    <row r="1503">
      <c r="A1503" s="2" t="s">
        <v>1442</v>
      </c>
      <c r="B1503" s="1" t="s">
        <v>1443</v>
      </c>
      <c r="C1503" s="2" t="s">
        <v>77</v>
      </c>
      <c r="D1503" s="1" t="s">
        <v>78</v>
      </c>
    </row>
    <row r="1504">
      <c r="A1504" s="2" t="s">
        <v>1444</v>
      </c>
      <c r="B1504" s="1" t="s">
        <v>1445</v>
      </c>
      <c r="C1504" s="2" t="s">
        <v>22</v>
      </c>
      <c r="D1504" s="1" t="s">
        <v>23</v>
      </c>
      <c r="E1504" s="2" t="s">
        <v>1446</v>
      </c>
    </row>
    <row r="1505">
      <c r="A1505" s="2" t="s">
        <v>1444</v>
      </c>
      <c r="B1505" s="1" t="s">
        <v>1445</v>
      </c>
      <c r="C1505" s="2" t="s">
        <v>25</v>
      </c>
      <c r="D1505" s="1" t="s">
        <v>26</v>
      </c>
      <c r="E1505" s="2" t="s">
        <v>1446</v>
      </c>
    </row>
    <row r="1506">
      <c r="A1506" s="2" t="s">
        <v>1442</v>
      </c>
      <c r="B1506" s="1" t="s">
        <v>1443</v>
      </c>
      <c r="C1506" s="2" t="s">
        <v>254</v>
      </c>
      <c r="D1506" s="1" t="s">
        <v>255</v>
      </c>
    </row>
    <row r="1507">
      <c r="A1507" s="2" t="s">
        <v>1406</v>
      </c>
      <c r="B1507" s="1" t="s">
        <v>1407</v>
      </c>
      <c r="C1507" s="2" t="s">
        <v>135</v>
      </c>
      <c r="D1507" s="1" t="s">
        <v>136</v>
      </c>
      <c r="E1507" s="2" t="s">
        <v>1408</v>
      </c>
    </row>
    <row r="1508">
      <c r="A1508" s="2" t="s">
        <v>1447</v>
      </c>
      <c r="B1508" s="1" t="s">
        <v>1448</v>
      </c>
      <c r="C1508" s="2" t="s">
        <v>230</v>
      </c>
      <c r="D1508" s="1" t="s">
        <v>231</v>
      </c>
      <c r="E1508" s="2" t="s">
        <v>1449</v>
      </c>
    </row>
    <row r="1509">
      <c r="A1509" s="2" t="s">
        <v>1442</v>
      </c>
      <c r="B1509" s="1" t="s">
        <v>1443</v>
      </c>
      <c r="C1509" s="2" t="s">
        <v>165</v>
      </c>
      <c r="D1509" s="1" t="s">
        <v>166</v>
      </c>
    </row>
    <row r="1510">
      <c r="A1510" s="2" t="s">
        <v>1450</v>
      </c>
      <c r="B1510" s="1" t="s">
        <v>1451</v>
      </c>
      <c r="C1510" s="2" t="s">
        <v>173</v>
      </c>
      <c r="D1510" s="1" t="s">
        <v>174</v>
      </c>
      <c r="E1510" s="2" t="s">
        <v>1452</v>
      </c>
    </row>
    <row r="1511">
      <c r="A1511" s="2" t="s">
        <v>1450</v>
      </c>
      <c r="B1511" s="1" t="s">
        <v>1451</v>
      </c>
      <c r="C1511" s="2" t="s">
        <v>22</v>
      </c>
      <c r="D1511" s="1" t="s">
        <v>23</v>
      </c>
      <c r="E1511" s="2" t="s">
        <v>1452</v>
      </c>
    </row>
    <row r="1512">
      <c r="A1512" s="2" t="s">
        <v>1447</v>
      </c>
      <c r="B1512" s="1" t="s">
        <v>1448</v>
      </c>
      <c r="C1512" s="2" t="s">
        <v>133</v>
      </c>
      <c r="D1512" s="1" t="s">
        <v>134</v>
      </c>
      <c r="E1512" s="2" t="s">
        <v>1449</v>
      </c>
    </row>
    <row r="1513">
      <c r="A1513" s="2" t="s">
        <v>1412</v>
      </c>
      <c r="B1513" s="1" t="s">
        <v>1413</v>
      </c>
      <c r="C1513" s="2" t="s">
        <v>1453</v>
      </c>
      <c r="D1513" s="1" t="s">
        <v>248</v>
      </c>
      <c r="E1513" s="2" t="s">
        <v>1414</v>
      </c>
    </row>
    <row r="1514">
      <c r="A1514" s="2" t="s">
        <v>1412</v>
      </c>
      <c r="B1514" s="1" t="s">
        <v>1413</v>
      </c>
      <c r="C1514" s="2" t="s">
        <v>79</v>
      </c>
      <c r="D1514" s="1" t="s">
        <v>80</v>
      </c>
      <c r="E1514" s="2" t="s">
        <v>1414</v>
      </c>
    </row>
    <row r="1515">
      <c r="A1515" s="2" t="s">
        <v>1440</v>
      </c>
      <c r="B1515" s="1" t="s">
        <v>1441</v>
      </c>
      <c r="C1515" s="2" t="s">
        <v>41</v>
      </c>
      <c r="D1515" s="1" t="s">
        <v>42</v>
      </c>
    </row>
    <row r="1516">
      <c r="A1516" s="2" t="s">
        <v>1440</v>
      </c>
      <c r="B1516" s="1" t="s">
        <v>1441</v>
      </c>
      <c r="C1516" s="2" t="s">
        <v>12</v>
      </c>
      <c r="D1516" s="1" t="s">
        <v>13</v>
      </c>
    </row>
    <row r="1517">
      <c r="A1517" s="2" t="s">
        <v>1440</v>
      </c>
      <c r="B1517" s="1" t="s">
        <v>1441</v>
      </c>
      <c r="C1517" s="2" t="s">
        <v>135</v>
      </c>
      <c r="D1517" s="1" t="s">
        <v>136</v>
      </c>
    </row>
    <row r="1518">
      <c r="A1518" s="2" t="s">
        <v>1440</v>
      </c>
      <c r="B1518" s="1" t="s">
        <v>1441</v>
      </c>
      <c r="C1518" s="2" t="s">
        <v>43</v>
      </c>
      <c r="D1518" s="1" t="s">
        <v>44</v>
      </c>
    </row>
    <row r="1519">
      <c r="A1519" s="2" t="s">
        <v>1412</v>
      </c>
      <c r="B1519" s="1" t="s">
        <v>1413</v>
      </c>
      <c r="C1519" s="2" t="s">
        <v>252</v>
      </c>
      <c r="D1519" s="1" t="s">
        <v>253</v>
      </c>
      <c r="E1519" s="2" t="s">
        <v>1414</v>
      </c>
    </row>
    <row r="1520">
      <c r="A1520" s="2" t="s">
        <v>1447</v>
      </c>
      <c r="B1520" s="1" t="s">
        <v>1448</v>
      </c>
      <c r="C1520" s="2" t="s">
        <v>22</v>
      </c>
      <c r="D1520" s="1" t="s">
        <v>23</v>
      </c>
      <c r="E1520" s="2" t="s">
        <v>1449</v>
      </c>
    </row>
    <row r="1521">
      <c r="A1521" s="2" t="s">
        <v>1440</v>
      </c>
      <c r="B1521" s="1" t="s">
        <v>1441</v>
      </c>
      <c r="C1521" s="2" t="s">
        <v>49</v>
      </c>
      <c r="D1521" s="1" t="s">
        <v>50</v>
      </c>
    </row>
    <row r="1522">
      <c r="A1522" s="2" t="s">
        <v>1412</v>
      </c>
      <c r="B1522" s="1" t="s">
        <v>1413</v>
      </c>
      <c r="C1522" s="2" t="s">
        <v>180</v>
      </c>
      <c r="D1522" s="1" t="s">
        <v>181</v>
      </c>
      <c r="E1522" s="2" t="s">
        <v>1414</v>
      </c>
    </row>
    <row r="1523">
      <c r="A1523" s="2" t="s">
        <v>1450</v>
      </c>
      <c r="B1523" s="1" t="s">
        <v>1451</v>
      </c>
      <c r="C1523" s="2" t="s">
        <v>79</v>
      </c>
      <c r="D1523" s="1" t="s">
        <v>80</v>
      </c>
      <c r="E1523" s="2" t="s">
        <v>1452</v>
      </c>
    </row>
    <row r="1524">
      <c r="A1524" s="2" t="s">
        <v>1406</v>
      </c>
      <c r="B1524" s="1" t="s">
        <v>1407</v>
      </c>
      <c r="C1524" s="2" t="s">
        <v>25</v>
      </c>
      <c r="D1524" s="1" t="s">
        <v>26</v>
      </c>
      <c r="E1524" s="2" t="s">
        <v>1408</v>
      </c>
    </row>
    <row r="1525">
      <c r="A1525" s="2" t="s">
        <v>1428</v>
      </c>
      <c r="B1525" s="1" t="s">
        <v>1429</v>
      </c>
      <c r="C1525" s="2" t="s">
        <v>12</v>
      </c>
      <c r="D1525" s="1" t="s">
        <v>13</v>
      </c>
      <c r="E1525" s="2" t="s">
        <v>1430</v>
      </c>
    </row>
    <row r="1526">
      <c r="A1526" s="2" t="s">
        <v>1423</v>
      </c>
      <c r="B1526" s="1" t="s">
        <v>1424</v>
      </c>
      <c r="C1526" s="2" t="s">
        <v>43</v>
      </c>
      <c r="D1526" s="1" t="s">
        <v>44</v>
      </c>
      <c r="E1526" s="2" t="s">
        <v>1425</v>
      </c>
    </row>
    <row r="1527">
      <c r="A1527" s="2" t="s">
        <v>1454</v>
      </c>
      <c r="B1527" s="1" t="s">
        <v>1455</v>
      </c>
      <c r="C1527" s="2" t="s">
        <v>53</v>
      </c>
      <c r="D1527" s="1" t="s">
        <v>54</v>
      </c>
    </row>
    <row r="1528">
      <c r="A1528" s="2" t="s">
        <v>1431</v>
      </c>
      <c r="B1528" s="1" t="s">
        <v>1432</v>
      </c>
      <c r="C1528" s="2" t="s">
        <v>443</v>
      </c>
      <c r="D1528" s="1" t="s">
        <v>444</v>
      </c>
      <c r="E1528" s="2" t="s">
        <v>1433</v>
      </c>
    </row>
    <row r="1529">
      <c r="A1529" s="2" t="s">
        <v>1423</v>
      </c>
      <c r="B1529" s="1" t="s">
        <v>1424</v>
      </c>
      <c r="C1529" s="2" t="s">
        <v>22</v>
      </c>
      <c r="D1529" s="1" t="s">
        <v>23</v>
      </c>
      <c r="E1529" s="2" t="s">
        <v>1425</v>
      </c>
    </row>
    <row r="1530">
      <c r="A1530" s="2" t="s">
        <v>1428</v>
      </c>
      <c r="B1530" s="1" t="s">
        <v>1429</v>
      </c>
      <c r="C1530" s="2" t="s">
        <v>49</v>
      </c>
      <c r="D1530" s="1" t="s">
        <v>50</v>
      </c>
      <c r="E1530" s="2" t="s">
        <v>1430</v>
      </c>
    </row>
    <row r="1531">
      <c r="A1531" s="2" t="s">
        <v>1440</v>
      </c>
      <c r="B1531" s="1" t="s">
        <v>1441</v>
      </c>
      <c r="C1531" s="2" t="s">
        <v>69</v>
      </c>
      <c r="D1531" s="1" t="s">
        <v>70</v>
      </c>
    </row>
    <row r="1532">
      <c r="A1532" s="2" t="s">
        <v>1444</v>
      </c>
      <c r="B1532" s="1" t="s">
        <v>1445</v>
      </c>
      <c r="C1532" s="2" t="s">
        <v>1456</v>
      </c>
      <c r="D1532" s="1" t="s">
        <v>1457</v>
      </c>
      <c r="E1532" s="2" t="s">
        <v>1446</v>
      </c>
    </row>
    <row r="1533">
      <c r="A1533" s="2" t="s">
        <v>1415</v>
      </c>
      <c r="B1533" s="1" t="s">
        <v>1416</v>
      </c>
      <c r="C1533" s="2" t="s">
        <v>353</v>
      </c>
      <c r="D1533" s="1" t="s">
        <v>354</v>
      </c>
      <c r="E1533" s="2" t="s">
        <v>1419</v>
      </c>
    </row>
    <row r="1534">
      <c r="A1534" s="2" t="s">
        <v>1415</v>
      </c>
      <c r="B1534" s="1" t="s">
        <v>1416</v>
      </c>
      <c r="C1534" s="2" t="s">
        <v>341</v>
      </c>
      <c r="D1534" s="1" t="s">
        <v>342</v>
      </c>
      <c r="E1534" s="2" t="s">
        <v>1419</v>
      </c>
    </row>
    <row r="1535">
      <c r="A1535" s="2" t="s">
        <v>1442</v>
      </c>
      <c r="B1535" s="1" t="s">
        <v>1443</v>
      </c>
      <c r="C1535" s="2" t="s">
        <v>395</v>
      </c>
      <c r="D1535" s="1" t="s">
        <v>396</v>
      </c>
    </row>
    <row r="1536">
      <c r="A1536" s="2" t="s">
        <v>1454</v>
      </c>
      <c r="B1536" s="1" t="s">
        <v>1455</v>
      </c>
      <c r="C1536" s="2" t="s">
        <v>103</v>
      </c>
      <c r="D1536" s="1" t="s">
        <v>104</v>
      </c>
    </row>
    <row r="1537">
      <c r="A1537" s="2" t="s">
        <v>1454</v>
      </c>
      <c r="B1537" s="1" t="s">
        <v>1455</v>
      </c>
      <c r="C1537" s="2" t="s">
        <v>77</v>
      </c>
      <c r="D1537" s="1" t="s">
        <v>78</v>
      </c>
    </row>
    <row r="1538">
      <c r="A1538" s="2" t="s">
        <v>1454</v>
      </c>
      <c r="B1538" s="1" t="s">
        <v>1455</v>
      </c>
      <c r="C1538" s="2" t="s">
        <v>43</v>
      </c>
      <c r="D1538" s="1" t="s">
        <v>44</v>
      </c>
    </row>
    <row r="1539">
      <c r="A1539" s="2" t="s">
        <v>1458</v>
      </c>
      <c r="B1539" s="1" t="s">
        <v>1459</v>
      </c>
      <c r="C1539" s="2" t="s">
        <v>43</v>
      </c>
      <c r="D1539" s="1" t="s">
        <v>44</v>
      </c>
      <c r="E1539" s="2" t="s">
        <v>1460</v>
      </c>
    </row>
    <row r="1540">
      <c r="A1540" s="2" t="s">
        <v>1428</v>
      </c>
      <c r="B1540" s="1" t="s">
        <v>1429</v>
      </c>
      <c r="C1540" s="2" t="s">
        <v>230</v>
      </c>
      <c r="D1540" s="1" t="s">
        <v>231</v>
      </c>
      <c r="E1540" s="2" t="s">
        <v>1430</v>
      </c>
    </row>
    <row r="1541">
      <c r="A1541" s="2" t="s">
        <v>1434</v>
      </c>
      <c r="B1541" s="1" t="s">
        <v>1435</v>
      </c>
      <c r="C1541" s="2" t="s">
        <v>370</v>
      </c>
      <c r="D1541" s="1" t="s">
        <v>371</v>
      </c>
    </row>
    <row r="1542">
      <c r="A1542" s="2" t="s">
        <v>1428</v>
      </c>
      <c r="B1542" s="1" t="s">
        <v>1429</v>
      </c>
      <c r="C1542" s="2" t="s">
        <v>133</v>
      </c>
      <c r="D1542" s="1" t="s">
        <v>134</v>
      </c>
      <c r="E1542" s="2" t="s">
        <v>1430</v>
      </c>
    </row>
    <row r="1543">
      <c r="A1543" s="2" t="s">
        <v>1458</v>
      </c>
      <c r="B1543" s="1" t="s">
        <v>1459</v>
      </c>
      <c r="C1543" s="2" t="s">
        <v>22</v>
      </c>
      <c r="D1543" s="1" t="s">
        <v>23</v>
      </c>
      <c r="E1543" s="2" t="s">
        <v>1460</v>
      </c>
    </row>
    <row r="1544">
      <c r="A1544" s="2" t="s">
        <v>1461</v>
      </c>
      <c r="B1544" s="1" t="s">
        <v>1462</v>
      </c>
      <c r="C1544" s="2" t="s">
        <v>49</v>
      </c>
      <c r="D1544" s="1" t="s">
        <v>50</v>
      </c>
      <c r="E1544" s="2" t="s">
        <v>1463</v>
      </c>
    </row>
    <row r="1545">
      <c r="A1545" s="2" t="s">
        <v>1454</v>
      </c>
      <c r="B1545" s="1" t="s">
        <v>1455</v>
      </c>
      <c r="C1545" s="2" t="s">
        <v>92</v>
      </c>
      <c r="D1545" s="1" t="s">
        <v>93</v>
      </c>
    </row>
    <row r="1546">
      <c r="A1546" s="2" t="s">
        <v>1454</v>
      </c>
      <c r="B1546" s="1" t="s">
        <v>1455</v>
      </c>
      <c r="C1546" s="2" t="s">
        <v>147</v>
      </c>
      <c r="D1546" s="1" t="s">
        <v>148</v>
      </c>
    </row>
    <row r="1547">
      <c r="A1547" s="2" t="s">
        <v>1409</v>
      </c>
      <c r="B1547" s="1" t="s">
        <v>1410</v>
      </c>
      <c r="C1547" s="2" t="s">
        <v>12</v>
      </c>
      <c r="D1547" s="1" t="s">
        <v>13</v>
      </c>
      <c r="E1547" s="2" t="s">
        <v>1411</v>
      </c>
    </row>
    <row r="1548">
      <c r="A1548" s="2" t="s">
        <v>1454</v>
      </c>
      <c r="B1548" s="1" t="s">
        <v>1455</v>
      </c>
      <c r="C1548" s="2" t="s">
        <v>69</v>
      </c>
      <c r="D1548" s="1" t="s">
        <v>70</v>
      </c>
    </row>
    <row r="1549">
      <c r="A1549" s="2" t="s">
        <v>1398</v>
      </c>
      <c r="B1549" s="1" t="s">
        <v>1399</v>
      </c>
      <c r="C1549" s="2" t="s">
        <v>103</v>
      </c>
      <c r="D1549" s="1" t="s">
        <v>104</v>
      </c>
      <c r="E1549" s="2" t="s">
        <v>1400</v>
      </c>
    </row>
    <row r="1550">
      <c r="A1550" s="2" t="s">
        <v>1409</v>
      </c>
      <c r="B1550" s="1" t="s">
        <v>1410</v>
      </c>
      <c r="C1550" s="2" t="s">
        <v>49</v>
      </c>
      <c r="D1550" s="1" t="s">
        <v>50</v>
      </c>
      <c r="E1550" s="2" t="s">
        <v>1411</v>
      </c>
    </row>
    <row r="1551">
      <c r="A1551" s="2" t="s">
        <v>1420</v>
      </c>
      <c r="B1551" s="1" t="s">
        <v>1421</v>
      </c>
      <c r="C1551" s="2" t="s">
        <v>12</v>
      </c>
      <c r="D1551" s="1" t="s">
        <v>13</v>
      </c>
      <c r="E1551" s="2" t="s">
        <v>1422</v>
      </c>
    </row>
    <row r="1552">
      <c r="A1552" s="2" t="s">
        <v>1398</v>
      </c>
      <c r="B1552" s="1" t="s">
        <v>1399</v>
      </c>
      <c r="C1552" s="2" t="s">
        <v>49</v>
      </c>
      <c r="D1552" s="1" t="s">
        <v>50</v>
      </c>
      <c r="E1552" s="2" t="s">
        <v>1400</v>
      </c>
    </row>
    <row r="1553">
      <c r="A1553" s="2" t="s">
        <v>1442</v>
      </c>
      <c r="B1553" s="1" t="s">
        <v>1443</v>
      </c>
      <c r="C1553" s="2" t="s">
        <v>22</v>
      </c>
      <c r="D1553" s="1" t="s">
        <v>23</v>
      </c>
    </row>
    <row r="1554">
      <c r="A1554" s="2" t="s">
        <v>1464</v>
      </c>
      <c r="B1554" s="1" t="s">
        <v>1465</v>
      </c>
      <c r="C1554" s="2" t="s">
        <v>12</v>
      </c>
      <c r="D1554" s="1" t="s">
        <v>13</v>
      </c>
    </row>
    <row r="1555">
      <c r="A1555" s="2" t="s">
        <v>1464</v>
      </c>
      <c r="B1555" s="1" t="s">
        <v>1465</v>
      </c>
      <c r="C1555" s="2" t="s">
        <v>186</v>
      </c>
      <c r="D1555" s="1" t="s">
        <v>187</v>
      </c>
    </row>
    <row r="1556">
      <c r="A1556" s="2" t="s">
        <v>1464</v>
      </c>
      <c r="B1556" s="1" t="s">
        <v>1465</v>
      </c>
      <c r="C1556" s="2" t="s">
        <v>77</v>
      </c>
      <c r="D1556" s="1" t="s">
        <v>78</v>
      </c>
    </row>
    <row r="1557">
      <c r="A1557" s="2" t="s">
        <v>1401</v>
      </c>
      <c r="B1557" s="1" t="s">
        <v>1402</v>
      </c>
      <c r="C1557" s="2" t="s">
        <v>353</v>
      </c>
      <c r="D1557" s="1" t="s">
        <v>354</v>
      </c>
      <c r="E1557" s="2" t="s">
        <v>1405</v>
      </c>
    </row>
    <row r="1558">
      <c r="A1558" s="2" t="s">
        <v>1428</v>
      </c>
      <c r="B1558" s="1" t="s">
        <v>1429</v>
      </c>
      <c r="C1558" s="2" t="s">
        <v>120</v>
      </c>
      <c r="D1558" s="1" t="s">
        <v>121</v>
      </c>
      <c r="E1558" s="2" t="s">
        <v>1430</v>
      </c>
    </row>
    <row r="1559">
      <c r="A1559" s="2" t="s">
        <v>1423</v>
      </c>
      <c r="B1559" s="1" t="s">
        <v>1424</v>
      </c>
      <c r="C1559" s="2" t="s">
        <v>296</v>
      </c>
      <c r="D1559" s="1" t="s">
        <v>297</v>
      </c>
      <c r="E1559" s="2" t="s">
        <v>1425</v>
      </c>
    </row>
    <row r="1560">
      <c r="A1560" s="2" t="s">
        <v>1409</v>
      </c>
      <c r="B1560" s="1" t="s">
        <v>1410</v>
      </c>
      <c r="C1560" s="2" t="s">
        <v>405</v>
      </c>
      <c r="D1560" s="1" t="s">
        <v>406</v>
      </c>
      <c r="E1560" s="2" t="s">
        <v>1411</v>
      </c>
    </row>
    <row r="1561">
      <c r="A1561" s="2" t="s">
        <v>1409</v>
      </c>
      <c r="B1561" s="1" t="s">
        <v>1410</v>
      </c>
      <c r="C1561" s="2" t="s">
        <v>254</v>
      </c>
      <c r="D1561" s="1" t="s">
        <v>255</v>
      </c>
      <c r="E1561" s="2" t="s">
        <v>1411</v>
      </c>
    </row>
    <row r="1562">
      <c r="A1562" s="2" t="s">
        <v>1440</v>
      </c>
      <c r="B1562" s="1" t="s">
        <v>1441</v>
      </c>
      <c r="C1562" s="2" t="s">
        <v>22</v>
      </c>
      <c r="D1562" s="1" t="s">
        <v>23</v>
      </c>
    </row>
    <row r="1563">
      <c r="A1563" s="2" t="s">
        <v>1461</v>
      </c>
      <c r="B1563" s="1" t="s">
        <v>1462</v>
      </c>
      <c r="C1563" s="2" t="s">
        <v>43</v>
      </c>
      <c r="D1563" s="1" t="s">
        <v>44</v>
      </c>
      <c r="E1563" s="2" t="s">
        <v>1463</v>
      </c>
    </row>
    <row r="1564">
      <c r="A1564" s="2" t="s">
        <v>1409</v>
      </c>
      <c r="B1564" s="1" t="s">
        <v>1410</v>
      </c>
      <c r="C1564" s="2" t="s">
        <v>128</v>
      </c>
      <c r="D1564" s="1" t="s">
        <v>129</v>
      </c>
      <c r="E1564" s="2" t="s">
        <v>1411</v>
      </c>
    </row>
    <row r="1565">
      <c r="A1565" s="2" t="s">
        <v>1409</v>
      </c>
      <c r="B1565" s="1" t="s">
        <v>1410</v>
      </c>
      <c r="C1565" s="2" t="s">
        <v>345</v>
      </c>
      <c r="D1565" s="1" t="s">
        <v>346</v>
      </c>
      <c r="E1565" s="2" t="s">
        <v>1411</v>
      </c>
    </row>
    <row r="1566">
      <c r="A1566" s="2" t="s">
        <v>1466</v>
      </c>
      <c r="B1566" s="1" t="s">
        <v>1467</v>
      </c>
      <c r="C1566" s="2" t="s">
        <v>41</v>
      </c>
      <c r="D1566" s="1" t="s">
        <v>42</v>
      </c>
    </row>
    <row r="1567">
      <c r="A1567" s="2" t="s">
        <v>1466</v>
      </c>
      <c r="B1567" s="1" t="s">
        <v>1467</v>
      </c>
      <c r="C1567" s="2" t="s">
        <v>133</v>
      </c>
      <c r="D1567" s="1" t="s">
        <v>134</v>
      </c>
    </row>
    <row r="1568">
      <c r="A1568" s="2" t="s">
        <v>1466</v>
      </c>
      <c r="B1568" s="1" t="s">
        <v>1467</v>
      </c>
      <c r="C1568" s="2" t="s">
        <v>43</v>
      </c>
      <c r="D1568" s="1" t="s">
        <v>44</v>
      </c>
    </row>
    <row r="1569">
      <c r="A1569" s="2" t="s">
        <v>1468</v>
      </c>
      <c r="B1569" s="1" t="s">
        <v>1469</v>
      </c>
      <c r="C1569" s="2" t="s">
        <v>49</v>
      </c>
      <c r="D1569" s="1" t="s">
        <v>50</v>
      </c>
    </row>
    <row r="1570">
      <c r="A1570" s="2" t="s">
        <v>1466</v>
      </c>
      <c r="B1570" s="1" t="s">
        <v>1467</v>
      </c>
      <c r="C1570" s="2" t="s">
        <v>49</v>
      </c>
      <c r="D1570" s="1" t="s">
        <v>50</v>
      </c>
    </row>
    <row r="1571">
      <c r="A1571" s="2" t="s">
        <v>1470</v>
      </c>
      <c r="B1571" s="1" t="s">
        <v>1471</v>
      </c>
      <c r="C1571" s="2" t="s">
        <v>41</v>
      </c>
      <c r="D1571" s="1" t="s">
        <v>42</v>
      </c>
    </row>
    <row r="1572">
      <c r="A1572" s="2" t="s">
        <v>1470</v>
      </c>
      <c r="B1572" s="1" t="s">
        <v>1471</v>
      </c>
      <c r="C1572" s="2" t="s">
        <v>84</v>
      </c>
      <c r="D1572" s="1" t="s">
        <v>85</v>
      </c>
    </row>
    <row r="1573">
      <c r="A1573" s="2" t="s">
        <v>1468</v>
      </c>
      <c r="B1573" s="1" t="s">
        <v>1469</v>
      </c>
      <c r="C1573" s="2" t="s">
        <v>296</v>
      </c>
      <c r="D1573" s="1" t="s">
        <v>297</v>
      </c>
    </row>
    <row r="1574">
      <c r="A1574" s="2" t="s">
        <v>1470</v>
      </c>
      <c r="B1574" s="1" t="s">
        <v>1471</v>
      </c>
      <c r="C1574" s="2" t="s">
        <v>43</v>
      </c>
      <c r="D1574" s="1" t="s">
        <v>44</v>
      </c>
    </row>
    <row r="1575">
      <c r="A1575" s="2" t="s">
        <v>1470</v>
      </c>
      <c r="B1575" s="1" t="s">
        <v>1471</v>
      </c>
      <c r="C1575" s="2" t="s">
        <v>49</v>
      </c>
      <c r="D1575" s="1" t="s">
        <v>50</v>
      </c>
    </row>
    <row r="1576">
      <c r="A1576" s="2" t="s">
        <v>1470</v>
      </c>
      <c r="B1576" s="1" t="s">
        <v>1471</v>
      </c>
      <c r="C1576" s="2" t="s">
        <v>92</v>
      </c>
      <c r="D1576" s="1" t="s">
        <v>93</v>
      </c>
    </row>
    <row r="1577">
      <c r="A1577" s="2" t="s">
        <v>1472</v>
      </c>
      <c r="B1577" s="1" t="s">
        <v>1473</v>
      </c>
      <c r="C1577" s="2" t="s">
        <v>341</v>
      </c>
      <c r="D1577" s="1" t="s">
        <v>342</v>
      </c>
    </row>
    <row r="1578">
      <c r="A1578" s="2" t="s">
        <v>1472</v>
      </c>
      <c r="B1578" s="1" t="s">
        <v>1473</v>
      </c>
      <c r="C1578" s="2" t="s">
        <v>353</v>
      </c>
      <c r="D1578" s="1" t="s">
        <v>354</v>
      </c>
    </row>
    <row r="1579">
      <c r="A1579" s="2" t="s">
        <v>1472</v>
      </c>
      <c r="B1579" s="1" t="s">
        <v>1473</v>
      </c>
      <c r="C1579" s="2" t="s">
        <v>361</v>
      </c>
      <c r="D1579" s="1" t="s">
        <v>362</v>
      </c>
    </row>
    <row r="1580">
      <c r="A1580" s="2" t="s">
        <v>1468</v>
      </c>
      <c r="B1580" s="1" t="s">
        <v>1469</v>
      </c>
      <c r="C1580" s="2" t="s">
        <v>118</v>
      </c>
      <c r="D1580" s="1" t="s">
        <v>119</v>
      </c>
    </row>
    <row r="1581">
      <c r="A1581" s="2" t="s">
        <v>1474</v>
      </c>
      <c r="B1581" s="1" t="s">
        <v>1475</v>
      </c>
      <c r="C1581" s="2" t="s">
        <v>288</v>
      </c>
      <c r="D1581" s="1" t="s">
        <v>289</v>
      </c>
      <c r="E1581" s="2" t="s">
        <v>1476</v>
      </c>
    </row>
    <row r="1582">
      <c r="A1582" s="2" t="s">
        <v>1474</v>
      </c>
      <c r="B1582" s="1" t="s">
        <v>1475</v>
      </c>
      <c r="C1582" s="2" t="s">
        <v>49</v>
      </c>
      <c r="D1582" s="1" t="s">
        <v>50</v>
      </c>
      <c r="E1582" s="2" t="s">
        <v>1476</v>
      </c>
    </row>
    <row r="1583">
      <c r="A1583" s="2" t="s">
        <v>1474</v>
      </c>
      <c r="B1583" s="1" t="s">
        <v>1475</v>
      </c>
      <c r="C1583" s="2" t="s">
        <v>254</v>
      </c>
      <c r="D1583" s="1" t="s">
        <v>255</v>
      </c>
      <c r="E1583" s="2" t="s">
        <v>1476</v>
      </c>
    </row>
    <row r="1584">
      <c r="A1584" s="2" t="s">
        <v>1474</v>
      </c>
      <c r="B1584" s="1" t="s">
        <v>1475</v>
      </c>
      <c r="C1584" s="2" t="s">
        <v>43</v>
      </c>
      <c r="D1584" s="1" t="s">
        <v>44</v>
      </c>
      <c r="E1584" s="2" t="s">
        <v>1476</v>
      </c>
    </row>
    <row r="1585">
      <c r="A1585" s="2" t="s">
        <v>1474</v>
      </c>
      <c r="B1585" s="1" t="s">
        <v>1475</v>
      </c>
      <c r="C1585" s="2" t="s">
        <v>1477</v>
      </c>
      <c r="D1585" s="1" t="s">
        <v>1478</v>
      </c>
      <c r="E1585" s="2" t="s">
        <v>1476</v>
      </c>
    </row>
    <row r="1586">
      <c r="A1586" s="2" t="s">
        <v>1479</v>
      </c>
      <c r="B1586" s="1" t="s">
        <v>1480</v>
      </c>
      <c r="C1586" s="2" t="s">
        <v>41</v>
      </c>
      <c r="D1586" s="1" t="s">
        <v>42</v>
      </c>
    </row>
    <row r="1587">
      <c r="A1587" s="2" t="s">
        <v>1481</v>
      </c>
      <c r="B1587" s="1" t="s">
        <v>1482</v>
      </c>
      <c r="C1587" s="2" t="s">
        <v>35</v>
      </c>
      <c r="D1587" s="1" t="s">
        <v>36</v>
      </c>
    </row>
    <row r="1588">
      <c r="A1588" s="2" t="s">
        <v>1481</v>
      </c>
      <c r="B1588" s="1" t="s">
        <v>1482</v>
      </c>
      <c r="C1588" s="2" t="s">
        <v>405</v>
      </c>
      <c r="D1588" s="1" t="s">
        <v>406</v>
      </c>
    </row>
    <row r="1589">
      <c r="A1589" s="2" t="s">
        <v>1479</v>
      </c>
      <c r="B1589" s="1" t="s">
        <v>1480</v>
      </c>
      <c r="C1589" s="2" t="s">
        <v>43</v>
      </c>
      <c r="D1589" s="1" t="s">
        <v>44</v>
      </c>
    </row>
    <row r="1590">
      <c r="A1590" s="2" t="s">
        <v>1483</v>
      </c>
      <c r="B1590" s="1" t="s">
        <v>1484</v>
      </c>
      <c r="C1590" s="2" t="s">
        <v>53</v>
      </c>
      <c r="D1590" s="1" t="s">
        <v>54</v>
      </c>
    </row>
    <row r="1591">
      <c r="A1591" s="2" t="s">
        <v>1481</v>
      </c>
      <c r="B1591" s="1" t="s">
        <v>1482</v>
      </c>
      <c r="C1591" s="2" t="s">
        <v>49</v>
      </c>
      <c r="D1591" s="1" t="s">
        <v>50</v>
      </c>
    </row>
    <row r="1592">
      <c r="A1592" s="2" t="s">
        <v>1485</v>
      </c>
      <c r="B1592" s="1" t="s">
        <v>1486</v>
      </c>
      <c r="C1592" s="2" t="s">
        <v>12</v>
      </c>
      <c r="D1592" s="1" t="s">
        <v>13</v>
      </c>
    </row>
    <row r="1593">
      <c r="A1593" s="2" t="s">
        <v>1487</v>
      </c>
      <c r="B1593" s="1" t="s">
        <v>1488</v>
      </c>
      <c r="C1593" s="2" t="s">
        <v>41</v>
      </c>
      <c r="D1593" s="1" t="s">
        <v>42</v>
      </c>
    </row>
    <row r="1594">
      <c r="A1594" s="2" t="s">
        <v>1489</v>
      </c>
      <c r="B1594" s="1" t="s">
        <v>1490</v>
      </c>
      <c r="C1594" s="2" t="s">
        <v>53</v>
      </c>
      <c r="D1594" s="1" t="s">
        <v>54</v>
      </c>
    </row>
    <row r="1595">
      <c r="A1595" s="2" t="s">
        <v>1487</v>
      </c>
      <c r="B1595" s="1" t="s">
        <v>1488</v>
      </c>
      <c r="C1595" s="2" t="s">
        <v>43</v>
      </c>
      <c r="D1595" s="1" t="s">
        <v>44</v>
      </c>
    </row>
    <row r="1596">
      <c r="A1596" s="2" t="s">
        <v>1483</v>
      </c>
      <c r="B1596" s="1" t="s">
        <v>1484</v>
      </c>
      <c r="C1596" s="2" t="s">
        <v>84</v>
      </c>
      <c r="D1596" s="1" t="s">
        <v>85</v>
      </c>
    </row>
    <row r="1597">
      <c r="A1597" s="2" t="s">
        <v>1491</v>
      </c>
      <c r="B1597" s="1" t="s">
        <v>1492</v>
      </c>
      <c r="C1597" s="2" t="s">
        <v>41</v>
      </c>
      <c r="D1597" s="1" t="s">
        <v>42</v>
      </c>
    </row>
    <row r="1598">
      <c r="A1598" s="2" t="s">
        <v>1493</v>
      </c>
      <c r="B1598" s="1" t="s">
        <v>1494</v>
      </c>
      <c r="C1598" s="2" t="s">
        <v>703</v>
      </c>
      <c r="D1598" s="1" t="s">
        <v>704</v>
      </c>
      <c r="E1598" s="2" t="s">
        <v>1495</v>
      </c>
    </row>
    <row r="1599">
      <c r="A1599" s="2" t="s">
        <v>1483</v>
      </c>
      <c r="B1599" s="1" t="s">
        <v>1484</v>
      </c>
      <c r="C1599" s="2" t="s">
        <v>216</v>
      </c>
      <c r="D1599" s="1" t="s">
        <v>217</v>
      </c>
    </row>
    <row r="1600">
      <c r="A1600" s="2" t="s">
        <v>1483</v>
      </c>
      <c r="B1600" s="1" t="s">
        <v>1484</v>
      </c>
      <c r="C1600" s="2" t="s">
        <v>43</v>
      </c>
      <c r="D1600" s="1" t="s">
        <v>44</v>
      </c>
    </row>
    <row r="1601">
      <c r="A1601" s="2" t="s">
        <v>1491</v>
      </c>
      <c r="B1601" s="1" t="s">
        <v>1492</v>
      </c>
      <c r="C1601" s="2" t="s">
        <v>133</v>
      </c>
      <c r="D1601" s="1" t="s">
        <v>134</v>
      </c>
    </row>
    <row r="1602">
      <c r="A1602" s="2" t="s">
        <v>1491</v>
      </c>
      <c r="B1602" s="1" t="s">
        <v>1492</v>
      </c>
      <c r="C1602" s="2" t="s">
        <v>43</v>
      </c>
      <c r="D1602" s="1" t="s">
        <v>44</v>
      </c>
    </row>
    <row r="1603">
      <c r="A1603" s="2" t="s">
        <v>1496</v>
      </c>
      <c r="B1603" s="1" t="s">
        <v>1497</v>
      </c>
      <c r="C1603" s="2" t="s">
        <v>405</v>
      </c>
      <c r="D1603" s="1" t="s">
        <v>406</v>
      </c>
    </row>
    <row r="1604">
      <c r="A1604" s="2" t="s">
        <v>1498</v>
      </c>
      <c r="B1604" s="1" t="s">
        <v>1499</v>
      </c>
      <c r="C1604" s="2" t="s">
        <v>41</v>
      </c>
      <c r="D1604" s="1" t="s">
        <v>42</v>
      </c>
    </row>
    <row r="1605">
      <c r="A1605" s="2" t="s">
        <v>1496</v>
      </c>
      <c r="B1605" s="1" t="s">
        <v>1497</v>
      </c>
      <c r="C1605" s="2" t="s">
        <v>216</v>
      </c>
      <c r="D1605" s="1" t="s">
        <v>217</v>
      </c>
    </row>
    <row r="1606">
      <c r="A1606" s="2" t="s">
        <v>1500</v>
      </c>
      <c r="B1606" s="1" t="s">
        <v>1501</v>
      </c>
      <c r="C1606" s="2" t="s">
        <v>41</v>
      </c>
      <c r="D1606" s="1" t="s">
        <v>42</v>
      </c>
    </row>
    <row r="1607">
      <c r="A1607" s="2" t="s">
        <v>1498</v>
      </c>
      <c r="B1607" s="1" t="s">
        <v>1499</v>
      </c>
      <c r="C1607" s="2" t="s">
        <v>43</v>
      </c>
      <c r="D1607" s="1" t="s">
        <v>44</v>
      </c>
    </row>
    <row r="1608">
      <c r="A1608" s="2" t="s">
        <v>1500</v>
      </c>
      <c r="B1608" s="1" t="s">
        <v>1501</v>
      </c>
      <c r="C1608" s="2" t="s">
        <v>43</v>
      </c>
      <c r="D1608" s="1" t="s">
        <v>44</v>
      </c>
    </row>
    <row r="1609">
      <c r="A1609" s="2" t="s">
        <v>1491</v>
      </c>
      <c r="B1609" s="1" t="s">
        <v>1492</v>
      </c>
      <c r="C1609" s="2" t="s">
        <v>49</v>
      </c>
      <c r="D1609" s="1" t="s">
        <v>50</v>
      </c>
    </row>
    <row r="1610">
      <c r="A1610" s="2" t="s">
        <v>1502</v>
      </c>
      <c r="B1610" s="1" t="s">
        <v>1503</v>
      </c>
      <c r="C1610" s="2" t="s">
        <v>41</v>
      </c>
      <c r="D1610" s="1" t="s">
        <v>42</v>
      </c>
    </row>
    <row r="1611">
      <c r="A1611" s="2" t="s">
        <v>1502</v>
      </c>
      <c r="B1611" s="1" t="s">
        <v>1503</v>
      </c>
      <c r="C1611" s="2" t="s">
        <v>43</v>
      </c>
      <c r="D1611" s="1" t="s">
        <v>44</v>
      </c>
    </row>
    <row r="1612">
      <c r="A1612" s="2" t="s">
        <v>1498</v>
      </c>
      <c r="B1612" s="1" t="s">
        <v>1499</v>
      </c>
      <c r="C1612" s="2" t="s">
        <v>49</v>
      </c>
      <c r="D1612" s="1" t="s">
        <v>50</v>
      </c>
    </row>
    <row r="1613">
      <c r="A1613" s="2" t="s">
        <v>1479</v>
      </c>
      <c r="B1613" s="1" t="s">
        <v>1480</v>
      </c>
      <c r="C1613" s="2" t="s">
        <v>69</v>
      </c>
      <c r="D1613" s="1" t="s">
        <v>70</v>
      </c>
    </row>
    <row r="1614">
      <c r="A1614" s="2" t="s">
        <v>1504</v>
      </c>
      <c r="B1614" s="1" t="s">
        <v>1505</v>
      </c>
      <c r="C1614" s="2" t="s">
        <v>49</v>
      </c>
      <c r="D1614" s="1" t="s">
        <v>50</v>
      </c>
    </row>
    <row r="1615">
      <c r="A1615" s="2" t="s">
        <v>1500</v>
      </c>
      <c r="B1615" s="1" t="s">
        <v>1501</v>
      </c>
      <c r="C1615" s="2" t="s">
        <v>49</v>
      </c>
      <c r="D1615" s="1" t="s">
        <v>50</v>
      </c>
    </row>
    <row r="1616">
      <c r="A1616" s="2" t="s">
        <v>1506</v>
      </c>
      <c r="B1616" s="1" t="s">
        <v>1507</v>
      </c>
      <c r="C1616" s="2" t="s">
        <v>84</v>
      </c>
      <c r="D1616" s="1" t="s">
        <v>85</v>
      </c>
    </row>
    <row r="1617">
      <c r="A1617" s="2" t="s">
        <v>1508</v>
      </c>
      <c r="B1617" s="1" t="s">
        <v>1509</v>
      </c>
      <c r="C1617" s="2" t="s">
        <v>162</v>
      </c>
      <c r="D1617" s="1" t="s">
        <v>163</v>
      </c>
    </row>
    <row r="1618">
      <c r="A1618" s="2" t="s">
        <v>1502</v>
      </c>
      <c r="B1618" s="1" t="s">
        <v>1503</v>
      </c>
      <c r="C1618" s="2" t="s">
        <v>49</v>
      </c>
      <c r="D1618" s="1" t="s">
        <v>50</v>
      </c>
    </row>
    <row r="1619">
      <c r="A1619" s="2" t="s">
        <v>1510</v>
      </c>
      <c r="B1619" s="1" t="s">
        <v>1511</v>
      </c>
      <c r="C1619" s="2" t="s">
        <v>216</v>
      </c>
      <c r="D1619" s="1" t="s">
        <v>217</v>
      </c>
    </row>
    <row r="1620">
      <c r="A1620" s="2" t="s">
        <v>1510</v>
      </c>
      <c r="B1620" s="1" t="s">
        <v>1511</v>
      </c>
      <c r="C1620" s="2" t="s">
        <v>43</v>
      </c>
      <c r="D1620" s="1" t="s">
        <v>44</v>
      </c>
    </row>
    <row r="1621">
      <c r="A1621" s="2" t="s">
        <v>1485</v>
      </c>
      <c r="B1621" s="1" t="s">
        <v>1486</v>
      </c>
      <c r="C1621" s="2" t="s">
        <v>1512</v>
      </c>
      <c r="D1621" s="1" t="s">
        <v>1513</v>
      </c>
    </row>
    <row r="1622">
      <c r="A1622" s="2" t="s">
        <v>1508</v>
      </c>
      <c r="B1622" s="1" t="s">
        <v>1509</v>
      </c>
      <c r="C1622" s="2" t="s">
        <v>238</v>
      </c>
      <c r="D1622" s="1" t="s">
        <v>239</v>
      </c>
    </row>
    <row r="1623">
      <c r="A1623" s="2" t="s">
        <v>1489</v>
      </c>
      <c r="B1623" s="1" t="s">
        <v>1490</v>
      </c>
      <c r="C1623" s="2" t="s">
        <v>41</v>
      </c>
      <c r="D1623" s="1" t="s">
        <v>42</v>
      </c>
    </row>
    <row r="1624">
      <c r="A1624" s="2" t="s">
        <v>1506</v>
      </c>
      <c r="B1624" s="1" t="s">
        <v>1507</v>
      </c>
      <c r="C1624" s="2" t="s">
        <v>49</v>
      </c>
      <c r="D1624" s="1" t="s">
        <v>50</v>
      </c>
    </row>
    <row r="1625">
      <c r="A1625" s="2" t="s">
        <v>1487</v>
      </c>
      <c r="B1625" s="1" t="s">
        <v>1488</v>
      </c>
      <c r="C1625" s="2" t="s">
        <v>92</v>
      </c>
      <c r="D1625" s="1" t="s">
        <v>93</v>
      </c>
    </row>
    <row r="1626">
      <c r="A1626" s="2" t="s">
        <v>1514</v>
      </c>
      <c r="B1626" s="1" t="s">
        <v>1515</v>
      </c>
      <c r="C1626" s="2" t="s">
        <v>114</v>
      </c>
      <c r="D1626" s="1" t="s">
        <v>115</v>
      </c>
    </row>
    <row r="1627">
      <c r="A1627" s="2" t="s">
        <v>1514</v>
      </c>
      <c r="B1627" s="1" t="s">
        <v>1515</v>
      </c>
      <c r="C1627" s="2" t="s">
        <v>22</v>
      </c>
      <c r="D1627" s="1" t="s">
        <v>23</v>
      </c>
    </row>
    <row r="1628">
      <c r="A1628" s="2" t="s">
        <v>1516</v>
      </c>
      <c r="B1628" s="1" t="s">
        <v>1517</v>
      </c>
      <c r="C1628" s="2" t="s">
        <v>41</v>
      </c>
      <c r="D1628" s="1" t="s">
        <v>42</v>
      </c>
    </row>
    <row r="1629">
      <c r="A1629" s="2" t="s">
        <v>1483</v>
      </c>
      <c r="B1629" s="1" t="s">
        <v>1484</v>
      </c>
      <c r="C1629" s="2" t="s">
        <v>147</v>
      </c>
      <c r="D1629" s="1" t="s">
        <v>148</v>
      </c>
    </row>
    <row r="1630">
      <c r="A1630" s="2" t="s">
        <v>1516</v>
      </c>
      <c r="B1630" s="1" t="s">
        <v>1517</v>
      </c>
      <c r="C1630" s="2" t="s">
        <v>84</v>
      </c>
      <c r="D1630" s="1" t="s">
        <v>85</v>
      </c>
    </row>
    <row r="1631">
      <c r="A1631" s="2" t="s">
        <v>1516</v>
      </c>
      <c r="B1631" s="1" t="s">
        <v>1517</v>
      </c>
      <c r="C1631" s="2" t="s">
        <v>43</v>
      </c>
      <c r="D1631" s="1" t="s">
        <v>44</v>
      </c>
    </row>
    <row r="1632">
      <c r="A1632" s="2" t="s">
        <v>1487</v>
      </c>
      <c r="B1632" s="1" t="s">
        <v>1488</v>
      </c>
      <c r="C1632" s="2" t="s">
        <v>69</v>
      </c>
      <c r="D1632" s="1" t="s">
        <v>70</v>
      </c>
    </row>
    <row r="1633">
      <c r="A1633" s="2" t="s">
        <v>1516</v>
      </c>
      <c r="B1633" s="1" t="s">
        <v>1517</v>
      </c>
      <c r="C1633" s="2" t="s">
        <v>86</v>
      </c>
      <c r="D1633" s="1" t="s">
        <v>87</v>
      </c>
    </row>
    <row r="1634">
      <c r="A1634" s="2" t="s">
        <v>1483</v>
      </c>
      <c r="B1634" s="1" t="s">
        <v>1484</v>
      </c>
      <c r="C1634" s="2" t="s">
        <v>69</v>
      </c>
      <c r="D1634" s="1" t="s">
        <v>70</v>
      </c>
    </row>
    <row r="1635">
      <c r="A1635" s="2" t="s">
        <v>1491</v>
      </c>
      <c r="B1635" s="1" t="s">
        <v>1492</v>
      </c>
      <c r="C1635" s="2" t="s">
        <v>69</v>
      </c>
      <c r="D1635" s="1" t="s">
        <v>70</v>
      </c>
    </row>
    <row r="1636">
      <c r="A1636" s="2" t="s">
        <v>1516</v>
      </c>
      <c r="B1636" s="1" t="s">
        <v>1517</v>
      </c>
      <c r="C1636" s="2" t="s">
        <v>49</v>
      </c>
      <c r="D1636" s="1" t="s">
        <v>50</v>
      </c>
    </row>
    <row r="1637">
      <c r="A1637" s="2" t="s">
        <v>1518</v>
      </c>
      <c r="B1637" s="1" t="s">
        <v>1519</v>
      </c>
      <c r="C1637" s="2" t="s">
        <v>41</v>
      </c>
      <c r="D1637" s="1" t="s">
        <v>42</v>
      </c>
    </row>
    <row r="1638">
      <c r="A1638" s="2" t="s">
        <v>1518</v>
      </c>
      <c r="B1638" s="1" t="s">
        <v>1519</v>
      </c>
      <c r="C1638" s="2" t="s">
        <v>133</v>
      </c>
      <c r="D1638" s="1" t="s">
        <v>134</v>
      </c>
    </row>
    <row r="1639">
      <c r="A1639" s="2" t="s">
        <v>1518</v>
      </c>
      <c r="B1639" s="1" t="s">
        <v>1519</v>
      </c>
      <c r="C1639" s="2" t="s">
        <v>43</v>
      </c>
      <c r="D1639" s="1" t="s">
        <v>44</v>
      </c>
    </row>
    <row r="1640">
      <c r="A1640" s="2" t="s">
        <v>1491</v>
      </c>
      <c r="B1640" s="1" t="s">
        <v>1492</v>
      </c>
      <c r="C1640" s="2" t="s">
        <v>492</v>
      </c>
      <c r="D1640" s="1" t="s">
        <v>493</v>
      </c>
    </row>
    <row r="1641">
      <c r="A1641" s="2" t="s">
        <v>1498</v>
      </c>
      <c r="B1641" s="1" t="s">
        <v>1499</v>
      </c>
      <c r="C1641" s="2" t="s">
        <v>69</v>
      </c>
      <c r="D1641" s="1" t="s">
        <v>70</v>
      </c>
    </row>
    <row r="1642">
      <c r="A1642" s="2" t="s">
        <v>1504</v>
      </c>
      <c r="B1642" s="1" t="s">
        <v>1505</v>
      </c>
      <c r="C1642" s="2" t="s">
        <v>69</v>
      </c>
      <c r="D1642" s="1" t="s">
        <v>70</v>
      </c>
    </row>
    <row r="1643">
      <c r="A1643" s="2" t="s">
        <v>1500</v>
      </c>
      <c r="B1643" s="1" t="s">
        <v>1501</v>
      </c>
      <c r="C1643" s="2" t="s">
        <v>69</v>
      </c>
      <c r="D1643" s="1" t="s">
        <v>70</v>
      </c>
    </row>
    <row r="1644">
      <c r="A1644" s="2" t="s">
        <v>1506</v>
      </c>
      <c r="B1644" s="1" t="s">
        <v>1507</v>
      </c>
      <c r="C1644" s="2" t="s">
        <v>508</v>
      </c>
      <c r="D1644" s="1" t="s">
        <v>509</v>
      </c>
    </row>
    <row r="1645">
      <c r="A1645" s="2" t="s">
        <v>1510</v>
      </c>
      <c r="B1645" s="1" t="s">
        <v>1511</v>
      </c>
      <c r="C1645" s="2" t="s">
        <v>147</v>
      </c>
      <c r="D1645" s="1" t="s">
        <v>148</v>
      </c>
    </row>
    <row r="1646">
      <c r="A1646" s="2" t="s">
        <v>1502</v>
      </c>
      <c r="B1646" s="1" t="s">
        <v>1503</v>
      </c>
      <c r="C1646" s="2" t="s">
        <v>69</v>
      </c>
      <c r="D1646" s="1" t="s">
        <v>70</v>
      </c>
    </row>
    <row r="1647">
      <c r="A1647" s="2" t="s">
        <v>1518</v>
      </c>
      <c r="B1647" s="1" t="s">
        <v>1519</v>
      </c>
      <c r="C1647" s="2" t="s">
        <v>49</v>
      </c>
      <c r="D1647" s="1" t="s">
        <v>50</v>
      </c>
    </row>
    <row r="1648">
      <c r="A1648" s="2" t="s">
        <v>1506</v>
      </c>
      <c r="B1648" s="1" t="s">
        <v>1507</v>
      </c>
      <c r="C1648" s="2" t="s">
        <v>69</v>
      </c>
      <c r="D1648" s="1" t="s">
        <v>70</v>
      </c>
    </row>
    <row r="1649">
      <c r="A1649" s="2" t="s">
        <v>1510</v>
      </c>
      <c r="B1649" s="1" t="s">
        <v>1511</v>
      </c>
      <c r="C1649" s="2" t="s">
        <v>69</v>
      </c>
      <c r="D1649" s="1" t="s">
        <v>70</v>
      </c>
    </row>
    <row r="1650">
      <c r="A1650" s="2" t="s">
        <v>1489</v>
      </c>
      <c r="B1650" s="1" t="s">
        <v>1490</v>
      </c>
      <c r="C1650" s="2" t="s">
        <v>69</v>
      </c>
      <c r="D1650" s="1" t="s">
        <v>70</v>
      </c>
    </row>
    <row r="1651">
      <c r="A1651" s="2" t="s">
        <v>1510</v>
      </c>
      <c r="B1651" s="1" t="s">
        <v>1511</v>
      </c>
      <c r="C1651" s="2" t="s">
        <v>647</v>
      </c>
      <c r="D1651" s="1" t="s">
        <v>648</v>
      </c>
    </row>
    <row r="1652">
      <c r="A1652" s="2" t="s">
        <v>1496</v>
      </c>
      <c r="B1652" s="1" t="s">
        <v>1497</v>
      </c>
      <c r="C1652" s="2" t="s">
        <v>221</v>
      </c>
      <c r="D1652" s="1" t="s">
        <v>222</v>
      </c>
    </row>
    <row r="1653">
      <c r="A1653" s="2" t="s">
        <v>1458</v>
      </c>
      <c r="B1653" s="1" t="s">
        <v>1459</v>
      </c>
      <c r="C1653" s="2" t="s">
        <v>41</v>
      </c>
      <c r="D1653" s="1" t="s">
        <v>42</v>
      </c>
      <c r="E1653" s="2" t="s">
        <v>1460</v>
      </c>
    </row>
    <row r="1654">
      <c r="A1654" s="2" t="s">
        <v>1520</v>
      </c>
      <c r="B1654" s="1" t="s">
        <v>1521</v>
      </c>
      <c r="C1654" s="2" t="s">
        <v>604</v>
      </c>
      <c r="D1654" s="1" t="s">
        <v>605</v>
      </c>
    </row>
    <row r="1655">
      <c r="A1655" s="2" t="s">
        <v>1522</v>
      </c>
      <c r="B1655" s="1" t="s">
        <v>1523</v>
      </c>
      <c r="C1655" s="2" t="s">
        <v>341</v>
      </c>
      <c r="D1655" s="1" t="s">
        <v>342</v>
      </c>
    </row>
    <row r="1656">
      <c r="A1656" s="2" t="s">
        <v>1493</v>
      </c>
      <c r="B1656" s="1" t="s">
        <v>1494</v>
      </c>
      <c r="C1656" s="2" t="s">
        <v>151</v>
      </c>
      <c r="D1656" s="1" t="s">
        <v>152</v>
      </c>
      <c r="E1656" s="2" t="s">
        <v>1495</v>
      </c>
    </row>
    <row r="1657">
      <c r="A1657" s="2" t="s">
        <v>1522</v>
      </c>
      <c r="B1657" s="1" t="s">
        <v>1523</v>
      </c>
      <c r="C1657" s="2" t="s">
        <v>139</v>
      </c>
      <c r="D1657" s="1" t="s">
        <v>140</v>
      </c>
    </row>
    <row r="1658">
      <c r="A1658" s="2" t="s">
        <v>1522</v>
      </c>
      <c r="B1658" s="1" t="s">
        <v>1523</v>
      </c>
      <c r="C1658" s="2" t="s">
        <v>353</v>
      </c>
      <c r="D1658" s="1" t="s">
        <v>354</v>
      </c>
    </row>
    <row r="1659">
      <c r="A1659" s="2" t="s">
        <v>1522</v>
      </c>
      <c r="B1659" s="1" t="s">
        <v>1523</v>
      </c>
      <c r="C1659" s="2" t="s">
        <v>141</v>
      </c>
      <c r="D1659" s="1" t="s">
        <v>142</v>
      </c>
    </row>
    <row r="1660">
      <c r="A1660" s="2" t="s">
        <v>1458</v>
      </c>
      <c r="B1660" s="1" t="s">
        <v>1459</v>
      </c>
      <c r="C1660" s="2" t="s">
        <v>56</v>
      </c>
      <c r="D1660" s="1" t="s">
        <v>57</v>
      </c>
      <c r="E1660" s="2" t="s">
        <v>1460</v>
      </c>
    </row>
    <row r="1661">
      <c r="A1661" s="2" t="s">
        <v>1485</v>
      </c>
      <c r="B1661" s="1" t="s">
        <v>1486</v>
      </c>
      <c r="C1661" s="2" t="s">
        <v>173</v>
      </c>
      <c r="D1661" s="1" t="s">
        <v>174</v>
      </c>
    </row>
    <row r="1662">
      <c r="A1662" s="2" t="s">
        <v>1498</v>
      </c>
      <c r="B1662" s="1" t="s">
        <v>1499</v>
      </c>
      <c r="C1662" s="2" t="s">
        <v>22</v>
      </c>
      <c r="D1662" s="1" t="s">
        <v>23</v>
      </c>
    </row>
    <row r="1663">
      <c r="A1663" s="2" t="s">
        <v>1496</v>
      </c>
      <c r="B1663" s="1" t="s">
        <v>1497</v>
      </c>
      <c r="C1663" s="2" t="s">
        <v>118</v>
      </c>
      <c r="D1663" s="1" t="s">
        <v>119</v>
      </c>
    </row>
    <row r="1664">
      <c r="A1664" s="2" t="s">
        <v>1504</v>
      </c>
      <c r="B1664" s="1" t="s">
        <v>1505</v>
      </c>
      <c r="C1664" s="2" t="s">
        <v>118</v>
      </c>
      <c r="D1664" s="1" t="s">
        <v>119</v>
      </c>
    </row>
    <row r="1665">
      <c r="A1665" s="2" t="s">
        <v>1489</v>
      </c>
      <c r="B1665" s="1" t="s">
        <v>1490</v>
      </c>
      <c r="C1665" s="2" t="s">
        <v>118</v>
      </c>
      <c r="D1665" s="1" t="s">
        <v>119</v>
      </c>
    </row>
    <row r="1666">
      <c r="A1666" s="2" t="s">
        <v>1504</v>
      </c>
      <c r="B1666" s="1" t="s">
        <v>1505</v>
      </c>
      <c r="C1666" s="2" t="s">
        <v>143</v>
      </c>
      <c r="D1666" s="1" t="s">
        <v>144</v>
      </c>
    </row>
    <row r="1667">
      <c r="A1667" s="2" t="s">
        <v>1514</v>
      </c>
      <c r="B1667" s="1" t="s">
        <v>1515</v>
      </c>
      <c r="C1667" s="2" t="s">
        <v>162</v>
      </c>
      <c r="D1667" s="1" t="s">
        <v>163</v>
      </c>
    </row>
    <row r="1668">
      <c r="A1668" s="2" t="s">
        <v>1502</v>
      </c>
      <c r="B1668" s="1" t="s">
        <v>1503</v>
      </c>
      <c r="C1668" s="2" t="s">
        <v>143</v>
      </c>
      <c r="D1668" s="1" t="s">
        <v>144</v>
      </c>
    </row>
    <row r="1669">
      <c r="A1669" s="2" t="s">
        <v>1516</v>
      </c>
      <c r="B1669" s="1" t="s">
        <v>1517</v>
      </c>
      <c r="C1669" s="2" t="s">
        <v>22</v>
      </c>
      <c r="D1669" s="1" t="s">
        <v>23</v>
      </c>
    </row>
    <row r="1670">
      <c r="A1670" s="2" t="s">
        <v>1518</v>
      </c>
      <c r="B1670" s="1" t="s">
        <v>1519</v>
      </c>
      <c r="C1670" s="2" t="s">
        <v>25</v>
      </c>
      <c r="D1670" s="1" t="s">
        <v>26</v>
      </c>
    </row>
    <row r="1671">
      <c r="A1671" s="2" t="s">
        <v>1524</v>
      </c>
      <c r="B1671" s="1" t="s">
        <v>1525</v>
      </c>
      <c r="C1671" s="2" t="s">
        <v>53</v>
      </c>
      <c r="D1671" s="1" t="s">
        <v>54</v>
      </c>
    </row>
    <row r="1672">
      <c r="A1672" s="2" t="s">
        <v>1524</v>
      </c>
      <c r="B1672" s="1" t="s">
        <v>1525</v>
      </c>
      <c r="C1672" s="2" t="s">
        <v>43</v>
      </c>
      <c r="D1672" s="1" t="s">
        <v>44</v>
      </c>
    </row>
    <row r="1673">
      <c r="A1673" s="2" t="s">
        <v>1526</v>
      </c>
      <c r="B1673" s="1" t="s">
        <v>1527</v>
      </c>
      <c r="C1673" s="2" t="s">
        <v>53</v>
      </c>
      <c r="D1673" s="1" t="s">
        <v>54</v>
      </c>
    </row>
    <row r="1674">
      <c r="A1674" s="2" t="s">
        <v>1528</v>
      </c>
      <c r="B1674" s="1" t="s">
        <v>1529</v>
      </c>
      <c r="C1674" s="2" t="s">
        <v>53</v>
      </c>
      <c r="D1674" s="1" t="s">
        <v>54</v>
      </c>
    </row>
    <row r="1675">
      <c r="A1675" s="2" t="s">
        <v>1528</v>
      </c>
      <c r="B1675" s="1" t="s">
        <v>1529</v>
      </c>
      <c r="C1675" s="2" t="s">
        <v>202</v>
      </c>
      <c r="D1675" s="1" t="s">
        <v>203</v>
      </c>
    </row>
    <row r="1676">
      <c r="A1676" s="2" t="s">
        <v>1524</v>
      </c>
      <c r="B1676" s="1" t="s">
        <v>1525</v>
      </c>
      <c r="C1676" s="2" t="s">
        <v>234</v>
      </c>
      <c r="D1676" s="1" t="s">
        <v>235</v>
      </c>
    </row>
    <row r="1677">
      <c r="A1677" s="2" t="s">
        <v>1524</v>
      </c>
      <c r="B1677" s="1" t="s">
        <v>1525</v>
      </c>
      <c r="C1677" s="2" t="s">
        <v>69</v>
      </c>
      <c r="D1677" s="1" t="s">
        <v>70</v>
      </c>
    </row>
    <row r="1678">
      <c r="A1678" s="2" t="s">
        <v>1528</v>
      </c>
      <c r="B1678" s="1" t="s">
        <v>1529</v>
      </c>
      <c r="C1678" s="2" t="s">
        <v>41</v>
      </c>
      <c r="D1678" s="1" t="s">
        <v>42</v>
      </c>
    </row>
    <row r="1679">
      <c r="A1679" s="2" t="s">
        <v>1526</v>
      </c>
      <c r="B1679" s="1" t="s">
        <v>1527</v>
      </c>
      <c r="C1679" s="2" t="s">
        <v>43</v>
      </c>
      <c r="D1679" s="1" t="s">
        <v>44</v>
      </c>
    </row>
    <row r="1680">
      <c r="A1680" s="2" t="s">
        <v>1528</v>
      </c>
      <c r="B1680" s="1" t="s">
        <v>1529</v>
      </c>
      <c r="C1680" s="2" t="s">
        <v>43</v>
      </c>
      <c r="D1680" s="1" t="s">
        <v>44</v>
      </c>
    </row>
    <row r="1681">
      <c r="A1681" s="2" t="s">
        <v>1530</v>
      </c>
      <c r="B1681" s="1" t="s">
        <v>1531</v>
      </c>
      <c r="C1681" s="2" t="s">
        <v>84</v>
      </c>
      <c r="D1681" s="1" t="s">
        <v>85</v>
      </c>
    </row>
    <row r="1682">
      <c r="A1682" s="2" t="s">
        <v>1524</v>
      </c>
      <c r="B1682" s="1" t="s">
        <v>1525</v>
      </c>
      <c r="C1682" s="2" t="s">
        <v>647</v>
      </c>
      <c r="D1682" s="1" t="s">
        <v>648</v>
      </c>
    </row>
    <row r="1683">
      <c r="A1683" s="2" t="s">
        <v>1530</v>
      </c>
      <c r="B1683" s="1" t="s">
        <v>1531</v>
      </c>
      <c r="C1683" s="2" t="s">
        <v>43</v>
      </c>
      <c r="D1683" s="1" t="s">
        <v>44</v>
      </c>
    </row>
    <row r="1684">
      <c r="A1684" s="2" t="s">
        <v>1532</v>
      </c>
      <c r="B1684" s="1" t="s">
        <v>1533</v>
      </c>
      <c r="C1684" s="2" t="s">
        <v>41</v>
      </c>
      <c r="D1684" s="1" t="s">
        <v>42</v>
      </c>
    </row>
    <row r="1685">
      <c r="A1685" s="2" t="s">
        <v>1534</v>
      </c>
      <c r="B1685" s="1" t="s">
        <v>1535</v>
      </c>
      <c r="C1685" s="2" t="s">
        <v>1235</v>
      </c>
      <c r="D1685" s="1" t="s">
        <v>1236</v>
      </c>
    </row>
    <row r="1686">
      <c r="A1686" s="2" t="s">
        <v>1532</v>
      </c>
      <c r="B1686" s="1" t="s">
        <v>1533</v>
      </c>
      <c r="C1686" s="2" t="s">
        <v>133</v>
      </c>
      <c r="D1686" s="1" t="s">
        <v>134</v>
      </c>
    </row>
    <row r="1687">
      <c r="A1687" s="2" t="s">
        <v>1532</v>
      </c>
      <c r="B1687" s="1" t="s">
        <v>1533</v>
      </c>
      <c r="C1687" s="2" t="s">
        <v>43</v>
      </c>
      <c r="D1687" s="1" t="s">
        <v>44</v>
      </c>
    </row>
    <row r="1688">
      <c r="A1688" s="2" t="s">
        <v>1530</v>
      </c>
      <c r="B1688" s="1" t="s">
        <v>1531</v>
      </c>
      <c r="C1688" s="2" t="s">
        <v>49</v>
      </c>
      <c r="D1688" s="1" t="s">
        <v>50</v>
      </c>
    </row>
    <row r="1689">
      <c r="A1689" s="2" t="s">
        <v>1528</v>
      </c>
      <c r="B1689" s="1" t="s">
        <v>1529</v>
      </c>
      <c r="C1689" s="2" t="s">
        <v>962</v>
      </c>
      <c r="D1689" s="1" t="s">
        <v>963</v>
      </c>
    </row>
    <row r="1690">
      <c r="A1690" s="2" t="s">
        <v>1526</v>
      </c>
      <c r="B1690" s="1" t="s">
        <v>1527</v>
      </c>
      <c r="C1690" s="2" t="s">
        <v>69</v>
      </c>
      <c r="D1690" s="1" t="s">
        <v>70</v>
      </c>
    </row>
    <row r="1691">
      <c r="A1691" s="2" t="s">
        <v>1528</v>
      </c>
      <c r="B1691" s="1" t="s">
        <v>1529</v>
      </c>
      <c r="C1691" s="2" t="s">
        <v>69</v>
      </c>
      <c r="D1691" s="1" t="s">
        <v>70</v>
      </c>
    </row>
    <row r="1692">
      <c r="A1692" s="2" t="s">
        <v>1530</v>
      </c>
      <c r="B1692" s="1" t="s">
        <v>1531</v>
      </c>
      <c r="C1692" s="2" t="s">
        <v>69</v>
      </c>
      <c r="D1692" s="1" t="s">
        <v>70</v>
      </c>
    </row>
    <row r="1693">
      <c r="A1693" s="2" t="s">
        <v>1536</v>
      </c>
      <c r="B1693" s="1" t="s">
        <v>1537</v>
      </c>
      <c r="C1693" s="2" t="s">
        <v>114</v>
      </c>
      <c r="D1693" s="1" t="s">
        <v>115</v>
      </c>
    </row>
    <row r="1694">
      <c r="A1694" s="2" t="s">
        <v>1538</v>
      </c>
      <c r="B1694" s="1" t="s">
        <v>1539</v>
      </c>
    </row>
    <row r="1695">
      <c r="A1695" s="2" t="s">
        <v>1540</v>
      </c>
      <c r="B1695" s="1" t="s">
        <v>1541</v>
      </c>
      <c r="C1695" s="2" t="s">
        <v>216</v>
      </c>
      <c r="D1695" s="1" t="s">
        <v>217</v>
      </c>
    </row>
    <row r="1696">
      <c r="A1696" s="2" t="s">
        <v>1542</v>
      </c>
      <c r="B1696" s="1" t="s">
        <v>1543</v>
      </c>
      <c r="C1696" s="2" t="s">
        <v>49</v>
      </c>
      <c r="D1696" s="1" t="s">
        <v>50</v>
      </c>
    </row>
    <row r="1697">
      <c r="A1697" s="2" t="s">
        <v>1544</v>
      </c>
      <c r="B1697" s="1" t="s">
        <v>1545</v>
      </c>
      <c r="C1697" s="2" t="s">
        <v>964</v>
      </c>
      <c r="D1697" s="1" t="s">
        <v>965</v>
      </c>
    </row>
    <row r="1698">
      <c r="A1698" s="2" t="s">
        <v>1546</v>
      </c>
      <c r="B1698" s="1" t="s">
        <v>1547</v>
      </c>
      <c r="C1698" s="2" t="s">
        <v>12</v>
      </c>
      <c r="D1698" s="1" t="s">
        <v>13</v>
      </c>
    </row>
    <row r="1699">
      <c r="A1699" s="2" t="s">
        <v>1542</v>
      </c>
      <c r="B1699" s="1" t="s">
        <v>1543</v>
      </c>
      <c r="C1699" s="2" t="s">
        <v>69</v>
      </c>
      <c r="D1699" s="1" t="s">
        <v>70</v>
      </c>
    </row>
    <row r="1700">
      <c r="A1700" s="2" t="s">
        <v>1548</v>
      </c>
      <c r="B1700" s="1" t="s">
        <v>1549</v>
      </c>
      <c r="C1700" s="2" t="s">
        <v>25</v>
      </c>
      <c r="D1700" s="1" t="s">
        <v>26</v>
      </c>
    </row>
    <row r="1701">
      <c r="A1701" s="2" t="s">
        <v>1550</v>
      </c>
      <c r="B1701" s="1" t="s">
        <v>1551</v>
      </c>
      <c r="C1701" s="2" t="s">
        <v>221</v>
      </c>
      <c r="D1701" s="1" t="s">
        <v>222</v>
      </c>
    </row>
    <row r="1702">
      <c r="A1702" s="2" t="s">
        <v>1552</v>
      </c>
      <c r="B1702" s="1" t="s">
        <v>1553</v>
      </c>
      <c r="C1702" s="2" t="s">
        <v>41</v>
      </c>
      <c r="D1702" s="1" t="s">
        <v>42</v>
      </c>
    </row>
    <row r="1703">
      <c r="A1703" s="2" t="s">
        <v>1554</v>
      </c>
      <c r="B1703" s="1" t="s">
        <v>1555</v>
      </c>
      <c r="C1703" s="2" t="s">
        <v>832</v>
      </c>
      <c r="D1703" s="1" t="s">
        <v>833</v>
      </c>
    </row>
    <row r="1704">
      <c r="A1704" s="2" t="s">
        <v>1552</v>
      </c>
      <c r="B1704" s="1" t="s">
        <v>1553</v>
      </c>
      <c r="C1704" s="2" t="s">
        <v>84</v>
      </c>
      <c r="D1704" s="1" t="s">
        <v>85</v>
      </c>
    </row>
    <row r="1705">
      <c r="A1705" s="2" t="s">
        <v>1552</v>
      </c>
      <c r="B1705" s="1" t="s">
        <v>1553</v>
      </c>
      <c r="C1705" s="2" t="s">
        <v>43</v>
      </c>
      <c r="D1705" s="1" t="s">
        <v>44</v>
      </c>
    </row>
    <row r="1706">
      <c r="A1706" s="2" t="s">
        <v>1552</v>
      </c>
      <c r="B1706" s="1" t="s">
        <v>1553</v>
      </c>
      <c r="C1706" s="2" t="s">
        <v>871</v>
      </c>
      <c r="D1706" s="1" t="s">
        <v>642</v>
      </c>
    </row>
    <row r="1707">
      <c r="A1707" s="2" t="s">
        <v>1552</v>
      </c>
      <c r="B1707" s="1" t="s">
        <v>1553</v>
      </c>
      <c r="C1707" s="2" t="s">
        <v>7</v>
      </c>
      <c r="D1707" s="1" t="s">
        <v>8</v>
      </c>
    </row>
    <row r="1708">
      <c r="A1708" s="2" t="s">
        <v>1556</v>
      </c>
      <c r="B1708" s="1" t="s">
        <v>1557</v>
      </c>
      <c r="C1708" s="2" t="s">
        <v>743</v>
      </c>
      <c r="D1708" s="1" t="s">
        <v>744</v>
      </c>
      <c r="E1708" s="2" t="s">
        <v>1558</v>
      </c>
    </row>
    <row r="1709">
      <c r="A1709" s="2" t="s">
        <v>1559</v>
      </c>
      <c r="B1709" s="1" t="s">
        <v>1560</v>
      </c>
      <c r="C1709" s="2" t="s">
        <v>604</v>
      </c>
      <c r="D1709" s="1" t="s">
        <v>605</v>
      </c>
    </row>
    <row r="1710">
      <c r="A1710" s="2" t="s">
        <v>1552</v>
      </c>
      <c r="B1710" s="1" t="s">
        <v>1553</v>
      </c>
      <c r="C1710" s="2" t="s">
        <v>49</v>
      </c>
      <c r="D1710" s="1" t="s">
        <v>50</v>
      </c>
    </row>
    <row r="1711">
      <c r="A1711" s="2" t="s">
        <v>1561</v>
      </c>
      <c r="B1711" s="1" t="s">
        <v>1562</v>
      </c>
      <c r="C1711" s="2" t="s">
        <v>133</v>
      </c>
      <c r="D1711" s="1" t="s">
        <v>134</v>
      </c>
    </row>
    <row r="1712">
      <c r="A1712" s="2" t="s">
        <v>1552</v>
      </c>
      <c r="B1712" s="1" t="s">
        <v>1553</v>
      </c>
      <c r="C1712" s="2" t="s">
        <v>90</v>
      </c>
      <c r="D1712" s="1" t="s">
        <v>91</v>
      </c>
    </row>
    <row r="1713">
      <c r="A1713" s="2" t="s">
        <v>1561</v>
      </c>
      <c r="B1713" s="1" t="s">
        <v>1562</v>
      </c>
      <c r="C1713" s="2" t="s">
        <v>43</v>
      </c>
      <c r="D1713" s="1" t="s">
        <v>44</v>
      </c>
    </row>
    <row r="1714">
      <c r="A1714" s="2" t="s">
        <v>1540</v>
      </c>
      <c r="B1714" s="1" t="s">
        <v>1541</v>
      </c>
      <c r="C1714" s="2" t="s">
        <v>221</v>
      </c>
      <c r="D1714" s="1" t="s">
        <v>222</v>
      </c>
    </row>
    <row r="1715">
      <c r="A1715" s="2" t="s">
        <v>1561</v>
      </c>
      <c r="B1715" s="1" t="s">
        <v>1562</v>
      </c>
      <c r="C1715" s="2" t="s">
        <v>79</v>
      </c>
      <c r="D1715" s="1" t="s">
        <v>80</v>
      </c>
    </row>
    <row r="1716">
      <c r="A1716" s="2" t="s">
        <v>1559</v>
      </c>
      <c r="B1716" s="1" t="s">
        <v>1560</v>
      </c>
      <c r="C1716" s="2" t="s">
        <v>306</v>
      </c>
      <c r="D1716" s="1" t="s">
        <v>307</v>
      </c>
    </row>
    <row r="1717">
      <c r="A1717" s="2" t="s">
        <v>1563</v>
      </c>
      <c r="B1717" s="1" t="s">
        <v>1564</v>
      </c>
      <c r="C1717" s="2" t="s">
        <v>37</v>
      </c>
      <c r="D1717" s="1" t="s">
        <v>38</v>
      </c>
    </row>
    <row r="1718">
      <c r="A1718" s="2" t="s">
        <v>1565</v>
      </c>
      <c r="B1718" s="1" t="s">
        <v>1566</v>
      </c>
      <c r="C1718" s="2" t="s">
        <v>12</v>
      </c>
      <c r="D1718" s="1" t="s">
        <v>13</v>
      </c>
    </row>
    <row r="1719">
      <c r="A1719" s="2" t="s">
        <v>1567</v>
      </c>
      <c r="B1719" s="1" t="s">
        <v>1568</v>
      </c>
      <c r="C1719" s="2" t="s">
        <v>69</v>
      </c>
      <c r="D1719" s="1" t="s">
        <v>70</v>
      </c>
    </row>
    <row r="1720">
      <c r="A1720" s="2" t="s">
        <v>1569</v>
      </c>
      <c r="B1720" s="1" t="s">
        <v>1570</v>
      </c>
      <c r="C1720" s="2" t="s">
        <v>35</v>
      </c>
      <c r="D1720" s="1" t="s">
        <v>36</v>
      </c>
    </row>
    <row r="1721">
      <c r="A1721" s="2" t="s">
        <v>1571</v>
      </c>
      <c r="B1721" s="1" t="s">
        <v>1572</v>
      </c>
      <c r="C1721" s="2" t="s">
        <v>118</v>
      </c>
      <c r="D1721" s="1" t="s">
        <v>119</v>
      </c>
    </row>
    <row r="1722">
      <c r="A1722" s="2" t="s">
        <v>1573</v>
      </c>
      <c r="B1722" s="1" t="s">
        <v>1574</v>
      </c>
      <c r="C1722" s="2" t="s">
        <v>53</v>
      </c>
      <c r="D1722" s="1" t="s">
        <v>54</v>
      </c>
    </row>
    <row r="1723">
      <c r="A1723" s="2" t="s">
        <v>1575</v>
      </c>
      <c r="B1723" s="1" t="s">
        <v>1576</v>
      </c>
      <c r="C1723" s="2" t="s">
        <v>49</v>
      </c>
      <c r="D1723" s="1" t="s">
        <v>50</v>
      </c>
    </row>
    <row r="1724">
      <c r="A1724" s="2" t="s">
        <v>1577</v>
      </c>
      <c r="B1724" s="1" t="s">
        <v>1578</v>
      </c>
      <c r="C1724" s="2" t="s">
        <v>341</v>
      </c>
      <c r="D1724" s="1" t="s">
        <v>342</v>
      </c>
    </row>
    <row r="1725">
      <c r="A1725" s="2" t="s">
        <v>1579</v>
      </c>
      <c r="B1725" s="1" t="s">
        <v>1580</v>
      </c>
      <c r="E1725" s="2" t="s">
        <v>1581</v>
      </c>
    </row>
    <row r="1726">
      <c r="A1726" s="2" t="s">
        <v>1552</v>
      </c>
      <c r="B1726" s="1" t="s">
        <v>1553</v>
      </c>
      <c r="C1726" s="2" t="s">
        <v>69</v>
      </c>
      <c r="D1726" s="1" t="s">
        <v>70</v>
      </c>
    </row>
    <row r="1727">
      <c r="A1727" s="2" t="s">
        <v>1582</v>
      </c>
      <c r="B1727" s="1" t="s">
        <v>1583</v>
      </c>
      <c r="C1727" s="2" t="s">
        <v>41</v>
      </c>
      <c r="D1727" s="1" t="s">
        <v>42</v>
      </c>
    </row>
    <row r="1728">
      <c r="A1728" s="2" t="s">
        <v>1532</v>
      </c>
      <c r="B1728" s="1" t="s">
        <v>1533</v>
      </c>
      <c r="C1728" s="2" t="s">
        <v>84</v>
      </c>
      <c r="D1728" s="1" t="s">
        <v>85</v>
      </c>
    </row>
    <row r="1729">
      <c r="A1729" s="2" t="s">
        <v>1577</v>
      </c>
      <c r="B1729" s="1" t="s">
        <v>1578</v>
      </c>
      <c r="C1729" s="2" t="s">
        <v>349</v>
      </c>
      <c r="D1729" s="1" t="s">
        <v>350</v>
      </c>
    </row>
    <row r="1730">
      <c r="A1730" s="2" t="s">
        <v>1582</v>
      </c>
      <c r="B1730" s="1" t="s">
        <v>1583</v>
      </c>
      <c r="C1730" s="2" t="s">
        <v>43</v>
      </c>
      <c r="D1730" s="1" t="s">
        <v>44</v>
      </c>
    </row>
    <row r="1731">
      <c r="A1731" s="2" t="s">
        <v>1577</v>
      </c>
      <c r="B1731" s="1" t="s">
        <v>1578</v>
      </c>
      <c r="C1731" s="2" t="s">
        <v>522</v>
      </c>
      <c r="D1731" s="1" t="s">
        <v>523</v>
      </c>
    </row>
    <row r="1732">
      <c r="A1732" s="2" t="s">
        <v>1584</v>
      </c>
      <c r="B1732" s="1" t="s">
        <v>1585</v>
      </c>
      <c r="C1732" s="2" t="s">
        <v>288</v>
      </c>
      <c r="D1732" s="1" t="s">
        <v>289</v>
      </c>
    </row>
    <row r="1733">
      <c r="A1733" s="2" t="s">
        <v>1532</v>
      </c>
      <c r="B1733" s="1" t="s">
        <v>1533</v>
      </c>
      <c r="C1733" s="2" t="s">
        <v>49</v>
      </c>
      <c r="D1733" s="1" t="s">
        <v>50</v>
      </c>
    </row>
    <row r="1734">
      <c r="A1734" s="2" t="s">
        <v>1573</v>
      </c>
      <c r="B1734" s="1" t="s">
        <v>1574</v>
      </c>
      <c r="C1734" s="2" t="s">
        <v>216</v>
      </c>
      <c r="D1734" s="1" t="s">
        <v>217</v>
      </c>
    </row>
    <row r="1735">
      <c r="A1735" s="2" t="s">
        <v>1573</v>
      </c>
      <c r="B1735" s="1" t="s">
        <v>1574</v>
      </c>
      <c r="C1735" s="2" t="s">
        <v>43</v>
      </c>
      <c r="D1735" s="1" t="s">
        <v>44</v>
      </c>
    </row>
    <row r="1736">
      <c r="A1736" s="2" t="s">
        <v>1573</v>
      </c>
      <c r="B1736" s="1" t="s">
        <v>1574</v>
      </c>
      <c r="C1736" s="2" t="s">
        <v>49</v>
      </c>
      <c r="D1736" s="1" t="s">
        <v>50</v>
      </c>
    </row>
    <row r="1737">
      <c r="A1737" s="2" t="s">
        <v>1586</v>
      </c>
      <c r="B1737" s="1" t="s">
        <v>1587</v>
      </c>
      <c r="C1737" s="2" t="s">
        <v>216</v>
      </c>
      <c r="D1737" s="1" t="s">
        <v>217</v>
      </c>
    </row>
    <row r="1738">
      <c r="A1738" s="2" t="s">
        <v>1520</v>
      </c>
      <c r="B1738" s="1" t="s">
        <v>1521</v>
      </c>
      <c r="C1738" s="2" t="s">
        <v>306</v>
      </c>
      <c r="D1738" s="1" t="s">
        <v>307</v>
      </c>
    </row>
    <row r="1739">
      <c r="A1739" s="2" t="s">
        <v>1540</v>
      </c>
      <c r="B1739" s="1" t="s">
        <v>1541</v>
      </c>
      <c r="C1739" s="2" t="s">
        <v>118</v>
      </c>
      <c r="D1739" s="1" t="s">
        <v>119</v>
      </c>
    </row>
    <row r="1740">
      <c r="A1740" s="2" t="s">
        <v>1584</v>
      </c>
      <c r="B1740" s="1" t="s">
        <v>1585</v>
      </c>
      <c r="C1740" s="2" t="s">
        <v>604</v>
      </c>
      <c r="D1740" s="1" t="s">
        <v>605</v>
      </c>
    </row>
    <row r="1741">
      <c r="A1741" s="2" t="s">
        <v>1588</v>
      </c>
      <c r="B1741" s="1" t="s">
        <v>1589</v>
      </c>
      <c r="C1741" s="2" t="s">
        <v>604</v>
      </c>
      <c r="D1741" s="1" t="s">
        <v>605</v>
      </c>
    </row>
    <row r="1742">
      <c r="A1742" s="2" t="s">
        <v>1590</v>
      </c>
      <c r="B1742" s="1" t="s">
        <v>1591</v>
      </c>
      <c r="C1742" s="2" t="s">
        <v>636</v>
      </c>
      <c r="D1742" s="1" t="s">
        <v>637</v>
      </c>
    </row>
    <row r="1743">
      <c r="A1743" s="2" t="s">
        <v>1582</v>
      </c>
      <c r="B1743" s="1" t="s">
        <v>1583</v>
      </c>
      <c r="C1743" s="2" t="s">
        <v>69</v>
      </c>
      <c r="D1743" s="1" t="s">
        <v>70</v>
      </c>
    </row>
    <row r="1744">
      <c r="A1744" s="2" t="s">
        <v>1584</v>
      </c>
      <c r="B1744" s="1" t="s">
        <v>1585</v>
      </c>
      <c r="C1744" s="2" t="s">
        <v>306</v>
      </c>
      <c r="D1744" s="1" t="s">
        <v>307</v>
      </c>
    </row>
    <row r="1745">
      <c r="A1745" s="2" t="s">
        <v>1588</v>
      </c>
      <c r="B1745" s="1" t="s">
        <v>1589</v>
      </c>
      <c r="C1745" s="2" t="s">
        <v>306</v>
      </c>
      <c r="D1745" s="1" t="s">
        <v>307</v>
      </c>
    </row>
    <row r="1746">
      <c r="A1746" s="2" t="s">
        <v>1586</v>
      </c>
      <c r="B1746" s="1" t="s">
        <v>1587</v>
      </c>
      <c r="C1746" s="2" t="s">
        <v>604</v>
      </c>
      <c r="D1746" s="1" t="s">
        <v>605</v>
      </c>
    </row>
    <row r="1747">
      <c r="A1747" s="2" t="s">
        <v>1544</v>
      </c>
      <c r="B1747" s="1" t="s">
        <v>1545</v>
      </c>
      <c r="C1747" s="2" t="s">
        <v>173</v>
      </c>
      <c r="D1747" s="1" t="s">
        <v>174</v>
      </c>
    </row>
    <row r="1748">
      <c r="A1748" s="2" t="s">
        <v>1592</v>
      </c>
      <c r="B1748" s="1" t="s">
        <v>1593</v>
      </c>
      <c r="C1748" s="2" t="s">
        <v>370</v>
      </c>
      <c r="D1748" s="1" t="s">
        <v>371</v>
      </c>
    </row>
    <row r="1749">
      <c r="A1749" s="2" t="s">
        <v>1546</v>
      </c>
      <c r="B1749" s="1" t="s">
        <v>1547</v>
      </c>
      <c r="C1749" s="2" t="s">
        <v>173</v>
      </c>
      <c r="D1749" s="1" t="s">
        <v>174</v>
      </c>
    </row>
    <row r="1750">
      <c r="A1750" s="2" t="s">
        <v>1567</v>
      </c>
      <c r="B1750" s="1" t="s">
        <v>1568</v>
      </c>
      <c r="C1750" s="2" t="s">
        <v>118</v>
      </c>
      <c r="D1750" s="1" t="s">
        <v>119</v>
      </c>
    </row>
    <row r="1751">
      <c r="A1751" s="2" t="s">
        <v>1588</v>
      </c>
      <c r="B1751" s="1" t="s">
        <v>1589</v>
      </c>
      <c r="C1751" s="2" t="s">
        <v>1594</v>
      </c>
      <c r="D1751" s="1" t="s">
        <v>1595</v>
      </c>
    </row>
    <row r="1752">
      <c r="A1752" s="2" t="s">
        <v>1590</v>
      </c>
      <c r="B1752" s="1" t="s">
        <v>1591</v>
      </c>
      <c r="C1752" s="2" t="s">
        <v>1596</v>
      </c>
      <c r="D1752" s="1" t="s">
        <v>1597</v>
      </c>
    </row>
    <row r="1753">
      <c r="A1753" s="2" t="s">
        <v>1577</v>
      </c>
      <c r="B1753" s="1" t="s">
        <v>1578</v>
      </c>
      <c r="C1753" s="2" t="s">
        <v>274</v>
      </c>
      <c r="D1753" s="1" t="s">
        <v>275</v>
      </c>
    </row>
    <row r="1754">
      <c r="A1754" s="2" t="s">
        <v>1598</v>
      </c>
      <c r="B1754" s="1" t="s">
        <v>1599</v>
      </c>
      <c r="C1754" s="2" t="s">
        <v>116</v>
      </c>
      <c r="D1754" s="1" t="s">
        <v>117</v>
      </c>
    </row>
    <row r="1755">
      <c r="A1755" s="2" t="s">
        <v>1600</v>
      </c>
      <c r="B1755" s="1" t="s">
        <v>1601</v>
      </c>
      <c r="C1755" s="2" t="s">
        <v>1602</v>
      </c>
      <c r="D1755" s="1" t="s">
        <v>1603</v>
      </c>
    </row>
    <row r="1756">
      <c r="A1756" s="2" t="s">
        <v>1598</v>
      </c>
      <c r="B1756" s="1" t="s">
        <v>1599</v>
      </c>
      <c r="C1756" s="2" t="s">
        <v>128</v>
      </c>
      <c r="D1756" s="1" t="s">
        <v>129</v>
      </c>
    </row>
    <row r="1757">
      <c r="A1757" s="2" t="s">
        <v>1563</v>
      </c>
      <c r="B1757" s="1" t="s">
        <v>1564</v>
      </c>
      <c r="C1757" s="2" t="s">
        <v>906</v>
      </c>
      <c r="D1757" s="1" t="s">
        <v>907</v>
      </c>
    </row>
    <row r="1758">
      <c r="A1758" s="2" t="s">
        <v>1563</v>
      </c>
      <c r="B1758" s="1" t="s">
        <v>1564</v>
      </c>
      <c r="C1758" s="2" t="s">
        <v>345</v>
      </c>
      <c r="D1758" s="1" t="s">
        <v>346</v>
      </c>
    </row>
    <row r="1759">
      <c r="A1759" s="2" t="s">
        <v>1563</v>
      </c>
      <c r="B1759" s="1" t="s">
        <v>1564</v>
      </c>
      <c r="C1759" s="2" t="s">
        <v>665</v>
      </c>
      <c r="D1759" s="1" t="s">
        <v>666</v>
      </c>
    </row>
    <row r="1760">
      <c r="A1760" s="2" t="s">
        <v>1548</v>
      </c>
      <c r="B1760" s="1" t="s">
        <v>1549</v>
      </c>
      <c r="C1760" s="2" t="s">
        <v>604</v>
      </c>
      <c r="D1760" s="1" t="s">
        <v>605</v>
      </c>
    </row>
    <row r="1761">
      <c r="A1761" s="2" t="s">
        <v>1575</v>
      </c>
      <c r="B1761" s="1" t="s">
        <v>1576</v>
      </c>
      <c r="C1761" s="2" t="s">
        <v>22</v>
      </c>
      <c r="D1761" s="1" t="s">
        <v>23</v>
      </c>
    </row>
    <row r="1762">
      <c r="A1762" s="2" t="s">
        <v>1575</v>
      </c>
      <c r="B1762" s="1" t="s">
        <v>1576</v>
      </c>
      <c r="C1762" s="2" t="s">
        <v>25</v>
      </c>
      <c r="D1762" s="1" t="s">
        <v>26</v>
      </c>
    </row>
    <row r="1763">
      <c r="A1763" s="2" t="s">
        <v>1556</v>
      </c>
      <c r="B1763" s="1" t="s">
        <v>1557</v>
      </c>
      <c r="C1763" s="2" t="s">
        <v>321</v>
      </c>
      <c r="D1763" s="1" t="s">
        <v>322</v>
      </c>
      <c r="E1763" s="2" t="s">
        <v>1558</v>
      </c>
    </row>
    <row r="1764">
      <c r="A1764" s="2" t="s">
        <v>1575</v>
      </c>
      <c r="B1764" s="1" t="s">
        <v>1576</v>
      </c>
      <c r="C1764" s="2" t="s">
        <v>118</v>
      </c>
      <c r="D1764" s="1" t="s">
        <v>119</v>
      </c>
    </row>
    <row r="1765">
      <c r="A1765" s="2" t="s">
        <v>1604</v>
      </c>
      <c r="B1765" s="1" t="s">
        <v>1605</v>
      </c>
      <c r="C1765" s="2" t="s">
        <v>41</v>
      </c>
      <c r="D1765" s="1" t="s">
        <v>42</v>
      </c>
    </row>
    <row r="1766">
      <c r="A1766" s="2" t="s">
        <v>1604</v>
      </c>
      <c r="B1766" s="1" t="s">
        <v>1605</v>
      </c>
      <c r="C1766" s="2" t="s">
        <v>288</v>
      </c>
      <c r="D1766" s="1" t="s">
        <v>289</v>
      </c>
    </row>
    <row r="1767">
      <c r="A1767" s="2" t="s">
        <v>1604</v>
      </c>
      <c r="B1767" s="1" t="s">
        <v>1605</v>
      </c>
      <c r="C1767" s="2" t="s">
        <v>133</v>
      </c>
      <c r="D1767" s="1" t="s">
        <v>134</v>
      </c>
    </row>
    <row r="1768">
      <c r="A1768" s="2" t="s">
        <v>1571</v>
      </c>
      <c r="B1768" s="1" t="s">
        <v>1572</v>
      </c>
      <c r="C1768" s="2" t="s">
        <v>133</v>
      </c>
      <c r="D1768" s="1" t="s">
        <v>134</v>
      </c>
    </row>
    <row r="1769">
      <c r="A1769" s="2" t="s">
        <v>1604</v>
      </c>
      <c r="B1769" s="1" t="s">
        <v>1605</v>
      </c>
      <c r="C1769" s="2" t="s">
        <v>43</v>
      </c>
      <c r="D1769" s="1" t="s">
        <v>44</v>
      </c>
    </row>
    <row r="1770">
      <c r="A1770" s="2" t="s">
        <v>1604</v>
      </c>
      <c r="B1770" s="1" t="s">
        <v>1605</v>
      </c>
      <c r="C1770" s="2" t="s">
        <v>49</v>
      </c>
      <c r="D1770" s="1" t="s">
        <v>50</v>
      </c>
    </row>
    <row r="1771">
      <c r="A1771" s="2" t="s">
        <v>1571</v>
      </c>
      <c r="B1771" s="1" t="s">
        <v>1572</v>
      </c>
      <c r="C1771" s="2" t="s">
        <v>49</v>
      </c>
      <c r="D1771" s="1" t="s">
        <v>50</v>
      </c>
    </row>
    <row r="1772">
      <c r="A1772" s="2" t="s">
        <v>1606</v>
      </c>
      <c r="B1772" s="1" t="s">
        <v>1607</v>
      </c>
    </row>
    <row r="1773">
      <c r="A1773" s="2" t="s">
        <v>1588</v>
      </c>
      <c r="B1773" s="1" t="s">
        <v>1589</v>
      </c>
      <c r="C1773" s="2" t="s">
        <v>151</v>
      </c>
      <c r="D1773" s="1" t="s">
        <v>152</v>
      </c>
    </row>
    <row r="1774">
      <c r="A1774" s="2" t="s">
        <v>1550</v>
      </c>
      <c r="B1774" s="1" t="s">
        <v>1551</v>
      </c>
      <c r="C1774" s="2" t="s">
        <v>43</v>
      </c>
      <c r="D1774" s="1" t="s">
        <v>44</v>
      </c>
    </row>
    <row r="1775">
      <c r="A1775" s="2" t="s">
        <v>1608</v>
      </c>
      <c r="B1775" s="1" t="s">
        <v>1609</v>
      </c>
    </row>
    <row r="1776">
      <c r="A1776" s="2" t="s">
        <v>1610</v>
      </c>
      <c r="B1776" s="1" t="s">
        <v>1611</v>
      </c>
    </row>
    <row r="1777">
      <c r="A1777" s="2" t="s">
        <v>1612</v>
      </c>
      <c r="B1777" s="1" t="s">
        <v>1613</v>
      </c>
    </row>
    <row r="1778">
      <c r="A1778" s="2" t="s">
        <v>1604</v>
      </c>
      <c r="B1778" s="1" t="s">
        <v>1605</v>
      </c>
      <c r="C1778" s="2" t="s">
        <v>92</v>
      </c>
      <c r="D1778" s="1" t="s">
        <v>93</v>
      </c>
    </row>
    <row r="1779">
      <c r="A1779" s="2" t="s">
        <v>1614</v>
      </c>
      <c r="B1779" s="1" t="s">
        <v>1615</v>
      </c>
    </row>
    <row r="1780">
      <c r="A1780" s="2" t="s">
        <v>1586</v>
      </c>
      <c r="B1780" s="1" t="s">
        <v>1587</v>
      </c>
      <c r="C1780" s="2" t="s">
        <v>151</v>
      </c>
      <c r="D1780" s="1" t="s">
        <v>152</v>
      </c>
    </row>
    <row r="1781">
      <c r="A1781" s="2" t="s">
        <v>1550</v>
      </c>
      <c r="B1781" s="1" t="s">
        <v>1551</v>
      </c>
      <c r="C1781" s="2" t="s">
        <v>49</v>
      </c>
      <c r="D1781" s="1" t="s">
        <v>50</v>
      </c>
    </row>
    <row r="1782">
      <c r="A1782" s="2" t="s">
        <v>1542</v>
      </c>
      <c r="B1782" s="1" t="s">
        <v>1543</v>
      </c>
      <c r="C1782" s="2" t="s">
        <v>41</v>
      </c>
      <c r="D1782" s="1" t="s">
        <v>42</v>
      </c>
    </row>
    <row r="1783">
      <c r="A1783" s="2" t="s">
        <v>1556</v>
      </c>
      <c r="B1783" s="1" t="s">
        <v>1557</v>
      </c>
      <c r="C1783" s="2" t="s">
        <v>1616</v>
      </c>
      <c r="D1783" s="1" t="s">
        <v>1617</v>
      </c>
      <c r="E1783" s="2" t="s">
        <v>1558</v>
      </c>
    </row>
    <row r="1784">
      <c r="A1784" s="2" t="s">
        <v>1542</v>
      </c>
      <c r="B1784" s="1" t="s">
        <v>1543</v>
      </c>
      <c r="C1784" s="2" t="s">
        <v>43</v>
      </c>
      <c r="D1784" s="1" t="s">
        <v>44</v>
      </c>
    </row>
    <row r="1785">
      <c r="A1785" s="2" t="s">
        <v>1618</v>
      </c>
      <c r="B1785" s="1" t="s">
        <v>1619</v>
      </c>
      <c r="C1785" s="2" t="s">
        <v>41</v>
      </c>
      <c r="D1785" s="1" t="s">
        <v>42</v>
      </c>
    </row>
    <row r="1786">
      <c r="A1786" s="2" t="s">
        <v>1620</v>
      </c>
      <c r="B1786" s="1" t="s">
        <v>1621</v>
      </c>
      <c r="C1786" s="2" t="s">
        <v>43</v>
      </c>
      <c r="D1786" s="1" t="s">
        <v>44</v>
      </c>
    </row>
    <row r="1787">
      <c r="A1787" s="2" t="s">
        <v>1618</v>
      </c>
      <c r="B1787" s="1" t="s">
        <v>1619</v>
      </c>
      <c r="C1787" s="2" t="s">
        <v>84</v>
      </c>
      <c r="D1787" s="1" t="s">
        <v>85</v>
      </c>
    </row>
    <row r="1788">
      <c r="A1788" s="2" t="s">
        <v>1618</v>
      </c>
      <c r="B1788" s="1" t="s">
        <v>1619</v>
      </c>
      <c r="C1788" s="2" t="s">
        <v>43</v>
      </c>
      <c r="D1788" s="1" t="s">
        <v>44</v>
      </c>
    </row>
    <row r="1789">
      <c r="A1789" s="2" t="s">
        <v>1622</v>
      </c>
      <c r="B1789" s="1" t="s">
        <v>1623</v>
      </c>
      <c r="C1789" s="2" t="s">
        <v>490</v>
      </c>
      <c r="D1789" s="1" t="s">
        <v>491</v>
      </c>
    </row>
    <row r="1790">
      <c r="A1790" s="2" t="s">
        <v>1624</v>
      </c>
      <c r="B1790" s="1" t="s">
        <v>1625</v>
      </c>
      <c r="C1790" s="2" t="s">
        <v>1626</v>
      </c>
      <c r="D1790" s="1" t="s">
        <v>1627</v>
      </c>
    </row>
    <row r="1791">
      <c r="A1791" s="2" t="s">
        <v>101</v>
      </c>
      <c r="B1791" s="1" t="s">
        <v>102</v>
      </c>
      <c r="C1791" s="2" t="s">
        <v>1628</v>
      </c>
      <c r="D1791" s="1" t="s">
        <v>1629</v>
      </c>
      <c r="E1791" s="2" t="s">
        <v>105</v>
      </c>
    </row>
    <row r="1792">
      <c r="A1792" s="2" t="s">
        <v>101</v>
      </c>
      <c r="B1792" s="1" t="s">
        <v>102</v>
      </c>
      <c r="C1792" s="2" t="s">
        <v>252</v>
      </c>
      <c r="D1792" s="1" t="s">
        <v>253</v>
      </c>
      <c r="E1792" s="2" t="s">
        <v>105</v>
      </c>
    </row>
    <row r="1793">
      <c r="A1793" s="2" t="s">
        <v>1630</v>
      </c>
      <c r="B1793" s="1" t="s">
        <v>1631</v>
      </c>
      <c r="C1793" s="2" t="s">
        <v>25</v>
      </c>
      <c r="D1793" s="1" t="s">
        <v>26</v>
      </c>
    </row>
    <row r="1794">
      <c r="A1794" s="2" t="s">
        <v>1632</v>
      </c>
      <c r="B1794" s="1" t="s">
        <v>1633</v>
      </c>
      <c r="C1794" s="2" t="s">
        <v>43</v>
      </c>
      <c r="D1794" s="1" t="s">
        <v>44</v>
      </c>
    </row>
    <row r="1795">
      <c r="A1795" s="2" t="s">
        <v>1618</v>
      </c>
      <c r="B1795" s="1" t="s">
        <v>1619</v>
      </c>
      <c r="C1795" s="2" t="s">
        <v>49</v>
      </c>
      <c r="D1795" s="1" t="s">
        <v>50</v>
      </c>
    </row>
    <row r="1796">
      <c r="A1796" s="2" t="s">
        <v>1634</v>
      </c>
      <c r="B1796" s="1" t="s">
        <v>1635</v>
      </c>
      <c r="C1796" s="2" t="s">
        <v>421</v>
      </c>
      <c r="D1796" s="1" t="s">
        <v>422</v>
      </c>
    </row>
    <row r="1797">
      <c r="A1797" s="2" t="s">
        <v>1636</v>
      </c>
      <c r="B1797" s="1" t="s">
        <v>1637</v>
      </c>
      <c r="C1797" s="2" t="s">
        <v>22</v>
      </c>
      <c r="D1797" s="1" t="s">
        <v>23</v>
      </c>
    </row>
    <row r="1798">
      <c r="A1798" s="2" t="s">
        <v>1636</v>
      </c>
      <c r="B1798" s="1" t="s">
        <v>1637</v>
      </c>
      <c r="C1798" s="2" t="s">
        <v>25</v>
      </c>
      <c r="D1798" s="1" t="s">
        <v>26</v>
      </c>
    </row>
    <row r="1799">
      <c r="A1799" s="2" t="s">
        <v>1638</v>
      </c>
      <c r="B1799" s="1" t="s">
        <v>1639</v>
      </c>
      <c r="C1799" s="2" t="s">
        <v>604</v>
      </c>
      <c r="D1799" s="1" t="s">
        <v>605</v>
      </c>
    </row>
    <row r="1800">
      <c r="A1800" s="2" t="s">
        <v>1640</v>
      </c>
      <c r="B1800" s="1" t="s">
        <v>1641</v>
      </c>
      <c r="C1800" s="2" t="s">
        <v>1642</v>
      </c>
      <c r="D1800" s="1" t="s">
        <v>1643</v>
      </c>
    </row>
    <row r="1801">
      <c r="A1801" s="2" t="s">
        <v>1644</v>
      </c>
      <c r="B1801" s="1" t="s">
        <v>1645</v>
      </c>
      <c r="C1801" s="2" t="s">
        <v>151</v>
      </c>
      <c r="D1801" s="1" t="s">
        <v>152</v>
      </c>
    </row>
    <row r="1802">
      <c r="A1802" s="2" t="s">
        <v>1646</v>
      </c>
      <c r="B1802" s="1" t="s">
        <v>1647</v>
      </c>
      <c r="C1802" s="2" t="s">
        <v>12</v>
      </c>
      <c r="D1802" s="1" t="s">
        <v>13</v>
      </c>
    </row>
    <row r="1803">
      <c r="A1803" s="2" t="s">
        <v>1648</v>
      </c>
      <c r="B1803" s="1" t="s">
        <v>1649</v>
      </c>
      <c r="C1803" s="2" t="s">
        <v>604</v>
      </c>
      <c r="D1803" s="1" t="s">
        <v>605</v>
      </c>
    </row>
    <row r="1804">
      <c r="A1804" s="2" t="s">
        <v>1650</v>
      </c>
      <c r="B1804" s="1" t="s">
        <v>1651</v>
      </c>
      <c r="C1804" s="2" t="s">
        <v>1269</v>
      </c>
      <c r="D1804" s="1" t="s">
        <v>1270</v>
      </c>
    </row>
    <row r="1805">
      <c r="A1805" s="2" t="s">
        <v>1634</v>
      </c>
      <c r="B1805" s="1" t="s">
        <v>1635</v>
      </c>
      <c r="C1805" s="2" t="s">
        <v>84</v>
      </c>
      <c r="D1805" s="1" t="s">
        <v>85</v>
      </c>
    </row>
    <row r="1806">
      <c r="A1806" s="2" t="s">
        <v>1652</v>
      </c>
      <c r="B1806" s="1" t="s">
        <v>1653</v>
      </c>
      <c r="C1806" s="2" t="s">
        <v>604</v>
      </c>
      <c r="D1806" s="1" t="s">
        <v>605</v>
      </c>
    </row>
    <row r="1807">
      <c r="A1807" s="2" t="s">
        <v>1634</v>
      </c>
      <c r="B1807" s="1" t="s">
        <v>1635</v>
      </c>
      <c r="C1807" s="2" t="s">
        <v>43</v>
      </c>
      <c r="D1807" s="1" t="s">
        <v>44</v>
      </c>
    </row>
    <row r="1808">
      <c r="A1808" s="2" t="s">
        <v>1646</v>
      </c>
      <c r="B1808" s="1" t="s">
        <v>1647</v>
      </c>
      <c r="C1808" s="2" t="s">
        <v>407</v>
      </c>
      <c r="D1808" s="1" t="s">
        <v>408</v>
      </c>
    </row>
    <row r="1809">
      <c r="A1809" s="2" t="s">
        <v>1654</v>
      </c>
      <c r="B1809" s="1" t="s">
        <v>1655</v>
      </c>
      <c r="C1809" s="2" t="s">
        <v>604</v>
      </c>
      <c r="D1809" s="1" t="s">
        <v>605</v>
      </c>
    </row>
    <row r="1810">
      <c r="A1810" s="2" t="s">
        <v>1656</v>
      </c>
      <c r="B1810" s="1" t="s">
        <v>1657</v>
      </c>
      <c r="C1810" s="2" t="s">
        <v>53</v>
      </c>
      <c r="D1810" s="1" t="s">
        <v>54</v>
      </c>
    </row>
    <row r="1811">
      <c r="A1811" s="2" t="s">
        <v>1624</v>
      </c>
      <c r="B1811" s="1" t="s">
        <v>1625</v>
      </c>
      <c r="C1811" s="2" t="s">
        <v>1658</v>
      </c>
      <c r="D1811" s="1" t="s">
        <v>1659</v>
      </c>
    </row>
    <row r="1812">
      <c r="A1812" s="2" t="s">
        <v>1634</v>
      </c>
      <c r="B1812" s="1" t="s">
        <v>1635</v>
      </c>
      <c r="C1812" s="2" t="s">
        <v>49</v>
      </c>
      <c r="D1812" s="1" t="s">
        <v>50</v>
      </c>
    </row>
    <row r="1813">
      <c r="A1813" s="2" t="s">
        <v>1660</v>
      </c>
      <c r="B1813" s="1" t="s">
        <v>1661</v>
      </c>
      <c r="C1813" s="2" t="s">
        <v>79</v>
      </c>
      <c r="D1813" s="1" t="s">
        <v>80</v>
      </c>
      <c r="E1813" s="2" t="s">
        <v>1662</v>
      </c>
    </row>
    <row r="1814">
      <c r="A1814" s="2" t="s">
        <v>1648</v>
      </c>
      <c r="B1814" s="1" t="s">
        <v>1649</v>
      </c>
      <c r="C1814" s="2" t="s">
        <v>306</v>
      </c>
      <c r="D1814" s="1" t="s">
        <v>307</v>
      </c>
    </row>
    <row r="1815">
      <c r="A1815" s="2" t="s">
        <v>1636</v>
      </c>
      <c r="B1815" s="1" t="s">
        <v>1637</v>
      </c>
      <c r="C1815" s="2" t="s">
        <v>143</v>
      </c>
      <c r="D1815" s="1" t="s">
        <v>144</v>
      </c>
    </row>
    <row r="1816">
      <c r="A1816" s="2" t="s">
        <v>1646</v>
      </c>
      <c r="B1816" s="1" t="s">
        <v>1647</v>
      </c>
      <c r="C1816" s="2" t="s">
        <v>1663</v>
      </c>
      <c r="D1816" s="1" t="s">
        <v>1664</v>
      </c>
    </row>
    <row r="1817">
      <c r="A1817" s="2" t="s">
        <v>1654</v>
      </c>
      <c r="B1817" s="1" t="s">
        <v>1655</v>
      </c>
      <c r="C1817" s="2" t="s">
        <v>306</v>
      </c>
      <c r="D1817" s="1" t="s">
        <v>307</v>
      </c>
    </row>
    <row r="1818">
      <c r="A1818" s="2" t="s">
        <v>1665</v>
      </c>
      <c r="B1818" s="1" t="s">
        <v>1666</v>
      </c>
      <c r="C1818" s="2" t="s">
        <v>162</v>
      </c>
      <c r="D1818" s="1" t="s">
        <v>163</v>
      </c>
      <c r="E1818" s="2" t="s">
        <v>1667</v>
      </c>
    </row>
    <row r="1819">
      <c r="A1819" s="2" t="s">
        <v>1668</v>
      </c>
      <c r="B1819" s="1" t="s">
        <v>1669</v>
      </c>
    </row>
    <row r="1820">
      <c r="A1820" s="2" t="s">
        <v>1670</v>
      </c>
      <c r="B1820" s="1" t="s">
        <v>1671</v>
      </c>
      <c r="C1820" s="2" t="s">
        <v>361</v>
      </c>
      <c r="D1820" s="1" t="s">
        <v>362</v>
      </c>
    </row>
    <row r="1821">
      <c r="A1821" s="2" t="s">
        <v>1672</v>
      </c>
      <c r="B1821" s="1" t="s">
        <v>1673</v>
      </c>
    </row>
    <row r="1822">
      <c r="A1822" s="2" t="s">
        <v>1674</v>
      </c>
      <c r="B1822" s="1" t="s">
        <v>1675</v>
      </c>
    </row>
    <row r="1823">
      <c r="A1823" s="2" t="s">
        <v>1676</v>
      </c>
      <c r="B1823" s="1" t="s">
        <v>1677</v>
      </c>
    </row>
    <row r="1824">
      <c r="A1824" s="2" t="s">
        <v>1678</v>
      </c>
      <c r="B1824" s="1" t="s">
        <v>1679</v>
      </c>
      <c r="C1824" s="2" t="s">
        <v>12</v>
      </c>
      <c r="D1824" s="1" t="s">
        <v>13</v>
      </c>
    </row>
    <row r="1825">
      <c r="A1825" s="2" t="s">
        <v>1680</v>
      </c>
      <c r="B1825" s="1" t="s">
        <v>1681</v>
      </c>
    </row>
    <row r="1826">
      <c r="A1826" s="2" t="s">
        <v>1682</v>
      </c>
      <c r="B1826" s="1" t="s">
        <v>1683</v>
      </c>
    </row>
    <row r="1827">
      <c r="A1827" s="2" t="s">
        <v>1684</v>
      </c>
      <c r="B1827" s="1" t="s">
        <v>1685</v>
      </c>
    </row>
    <row r="1828">
      <c r="A1828" s="2" t="s">
        <v>1686</v>
      </c>
      <c r="B1828" s="1" t="s">
        <v>1687</v>
      </c>
    </row>
    <row r="1829">
      <c r="A1829" s="2" t="s">
        <v>1688</v>
      </c>
      <c r="B1829" s="1" t="s">
        <v>1689</v>
      </c>
      <c r="C1829" s="2" t="s">
        <v>151</v>
      </c>
      <c r="D1829" s="1" t="s">
        <v>152</v>
      </c>
    </row>
    <row r="1830">
      <c r="A1830" s="2" t="s">
        <v>1690</v>
      </c>
      <c r="B1830" s="1" t="s">
        <v>1691</v>
      </c>
    </row>
    <row r="1831">
      <c r="A1831" s="2" t="s">
        <v>1692</v>
      </c>
      <c r="B1831" s="1" t="s">
        <v>1693</v>
      </c>
    </row>
    <row r="1832">
      <c r="A1832" s="2" t="s">
        <v>1694</v>
      </c>
      <c r="B1832" s="1" t="s">
        <v>1695</v>
      </c>
    </row>
    <row r="1833">
      <c r="A1833" s="2" t="s">
        <v>1696</v>
      </c>
      <c r="B1833" s="1" t="s">
        <v>1697</v>
      </c>
    </row>
    <row r="1834">
      <c r="A1834" s="2" t="s">
        <v>1698</v>
      </c>
      <c r="B1834" s="1" t="s">
        <v>1699</v>
      </c>
    </row>
    <row r="1835">
      <c r="A1835" s="2" t="s">
        <v>1700</v>
      </c>
      <c r="B1835" s="1" t="s">
        <v>1701</v>
      </c>
    </row>
    <row r="1836">
      <c r="A1836" s="2" t="s">
        <v>1702</v>
      </c>
      <c r="B1836" s="1" t="s">
        <v>1703</v>
      </c>
    </row>
    <row r="1837">
      <c r="A1837" s="2" t="s">
        <v>1704</v>
      </c>
      <c r="B1837" s="1" t="s">
        <v>1705</v>
      </c>
    </row>
    <row r="1838">
      <c r="A1838" s="2" t="s">
        <v>1706</v>
      </c>
      <c r="B1838" s="1" t="s">
        <v>1707</v>
      </c>
    </row>
    <row r="1839">
      <c r="A1839" s="2" t="s">
        <v>1708</v>
      </c>
      <c r="B1839" s="1" t="s">
        <v>1709</v>
      </c>
      <c r="C1839" s="2" t="s">
        <v>133</v>
      </c>
      <c r="D1839" s="1" t="s">
        <v>134</v>
      </c>
    </row>
    <row r="1840">
      <c r="A1840" s="2" t="s">
        <v>1710</v>
      </c>
      <c r="B1840" s="1" t="s">
        <v>1711</v>
      </c>
      <c r="C1840" s="2" t="s">
        <v>490</v>
      </c>
      <c r="D1840" s="1" t="s">
        <v>491</v>
      </c>
    </row>
    <row r="1841">
      <c r="A1841" s="2" t="s">
        <v>1632</v>
      </c>
      <c r="B1841" s="1" t="s">
        <v>1633</v>
      </c>
      <c r="C1841" s="2" t="s">
        <v>221</v>
      </c>
      <c r="D1841" s="1" t="s">
        <v>222</v>
      </c>
    </row>
    <row r="1842">
      <c r="A1842" s="2" t="s">
        <v>1638</v>
      </c>
      <c r="B1842" s="1" t="s">
        <v>1639</v>
      </c>
      <c r="C1842" s="2" t="s">
        <v>1120</v>
      </c>
      <c r="D1842" s="1" t="s">
        <v>1121</v>
      </c>
    </row>
    <row r="1843">
      <c r="A1843" s="2" t="s">
        <v>1712</v>
      </c>
      <c r="B1843" s="1" t="s">
        <v>1713</v>
      </c>
      <c r="C1843" s="2" t="s">
        <v>871</v>
      </c>
      <c r="D1843" s="1" t="s">
        <v>642</v>
      </c>
    </row>
    <row r="1844">
      <c r="A1844" s="2" t="s">
        <v>1714</v>
      </c>
      <c r="B1844" s="1" t="s">
        <v>1715</v>
      </c>
      <c r="C1844" s="2" t="s">
        <v>173</v>
      </c>
      <c r="D1844" s="1" t="s">
        <v>174</v>
      </c>
    </row>
    <row r="1845">
      <c r="A1845" s="2" t="s">
        <v>1716</v>
      </c>
      <c r="B1845" s="1" t="s">
        <v>1717</v>
      </c>
      <c r="C1845" s="2" t="s">
        <v>221</v>
      </c>
      <c r="D1845" s="1" t="s">
        <v>222</v>
      </c>
    </row>
    <row r="1846">
      <c r="A1846" s="2" t="s">
        <v>1665</v>
      </c>
      <c r="B1846" s="1" t="s">
        <v>1666</v>
      </c>
      <c r="C1846" s="2" t="s">
        <v>60</v>
      </c>
      <c r="D1846" s="1" t="s">
        <v>61</v>
      </c>
      <c r="E1846" s="2" t="s">
        <v>1667</v>
      </c>
    </row>
    <row r="1847">
      <c r="A1847" s="2" t="s">
        <v>1656</v>
      </c>
      <c r="B1847" s="1" t="s">
        <v>1657</v>
      </c>
      <c r="C1847" s="2" t="s">
        <v>508</v>
      </c>
      <c r="D1847" s="1" t="s">
        <v>509</v>
      </c>
    </row>
    <row r="1848">
      <c r="A1848" s="2" t="s">
        <v>1718</v>
      </c>
      <c r="B1848" s="1" t="s">
        <v>1719</v>
      </c>
      <c r="C1848" s="2" t="s">
        <v>69</v>
      </c>
      <c r="D1848" s="1" t="s">
        <v>70</v>
      </c>
    </row>
    <row r="1849">
      <c r="A1849" s="2" t="s">
        <v>1720</v>
      </c>
      <c r="B1849" s="1" t="s">
        <v>1721</v>
      </c>
      <c r="C1849" s="2" t="s">
        <v>151</v>
      </c>
      <c r="D1849" s="1" t="s">
        <v>152</v>
      </c>
    </row>
    <row r="1850">
      <c r="A1850" s="2" t="s">
        <v>1708</v>
      </c>
      <c r="B1850" s="1" t="s">
        <v>1709</v>
      </c>
      <c r="C1850" s="2" t="s">
        <v>604</v>
      </c>
      <c r="D1850" s="1" t="s">
        <v>605</v>
      </c>
    </row>
    <row r="1851">
      <c r="A1851" s="2" t="s">
        <v>1718</v>
      </c>
      <c r="B1851" s="1" t="s">
        <v>1719</v>
      </c>
      <c r="C1851" s="2" t="s">
        <v>1091</v>
      </c>
      <c r="D1851" s="1" t="s">
        <v>1092</v>
      </c>
    </row>
    <row r="1852">
      <c r="A1852" s="2" t="s">
        <v>1656</v>
      </c>
      <c r="B1852" s="1" t="s">
        <v>1657</v>
      </c>
      <c r="C1852" s="2" t="s">
        <v>69</v>
      </c>
      <c r="D1852" s="1" t="s">
        <v>70</v>
      </c>
    </row>
    <row r="1853">
      <c r="A1853" s="2" t="s">
        <v>1722</v>
      </c>
      <c r="B1853" s="1" t="s">
        <v>1723</v>
      </c>
      <c r="C1853" s="2" t="s">
        <v>49</v>
      </c>
      <c r="D1853" s="1" t="s">
        <v>50</v>
      </c>
    </row>
    <row r="1854">
      <c r="A1854" s="2" t="s">
        <v>1724</v>
      </c>
      <c r="B1854" s="1" t="s">
        <v>1725</v>
      </c>
      <c r="C1854" s="2" t="s">
        <v>508</v>
      </c>
      <c r="D1854" s="1" t="s">
        <v>509</v>
      </c>
    </row>
    <row r="1855">
      <c r="A1855" s="2" t="s">
        <v>1712</v>
      </c>
      <c r="B1855" s="1" t="s">
        <v>1713</v>
      </c>
      <c r="C1855" s="2" t="s">
        <v>1726</v>
      </c>
      <c r="D1855" s="1" t="s">
        <v>1727</v>
      </c>
    </row>
    <row r="1856">
      <c r="A1856" s="2" t="s">
        <v>1728</v>
      </c>
      <c r="B1856" s="1" t="s">
        <v>1729</v>
      </c>
      <c r="C1856" s="2" t="s">
        <v>743</v>
      </c>
      <c r="D1856" s="1" t="s">
        <v>744</v>
      </c>
    </row>
    <row r="1857">
      <c r="A1857" s="2" t="s">
        <v>1724</v>
      </c>
      <c r="B1857" s="1" t="s">
        <v>1725</v>
      </c>
      <c r="C1857" s="2" t="s">
        <v>69</v>
      </c>
      <c r="D1857" s="1" t="s">
        <v>70</v>
      </c>
    </row>
    <row r="1858">
      <c r="A1858" s="2" t="s">
        <v>323</v>
      </c>
      <c r="B1858" s="1" t="s">
        <v>324</v>
      </c>
      <c r="C1858" s="2" t="s">
        <v>405</v>
      </c>
      <c r="D1858" s="1" t="s">
        <v>406</v>
      </c>
      <c r="E1858" s="2" t="s">
        <v>325</v>
      </c>
    </row>
    <row r="1859">
      <c r="A1859" s="2" t="s">
        <v>1728</v>
      </c>
      <c r="B1859" s="1" t="s">
        <v>1729</v>
      </c>
      <c r="C1859" s="2" t="s">
        <v>1307</v>
      </c>
      <c r="D1859" s="1" t="s">
        <v>1308</v>
      </c>
    </row>
    <row r="1860">
      <c r="A1860" s="2" t="s">
        <v>1730</v>
      </c>
      <c r="B1860" s="1" t="s">
        <v>1731</v>
      </c>
      <c r="C1860" s="2" t="s">
        <v>162</v>
      </c>
      <c r="D1860" s="1" t="s">
        <v>163</v>
      </c>
    </row>
    <row r="1861">
      <c r="A1861" s="2" t="s">
        <v>1730</v>
      </c>
      <c r="B1861" s="1" t="s">
        <v>1731</v>
      </c>
      <c r="C1861" s="2" t="s">
        <v>84</v>
      </c>
      <c r="D1861" s="1" t="s">
        <v>85</v>
      </c>
    </row>
    <row r="1862">
      <c r="A1862" s="2" t="s">
        <v>1732</v>
      </c>
      <c r="B1862" s="1" t="s">
        <v>1733</v>
      </c>
      <c r="C1862" s="2" t="s">
        <v>84</v>
      </c>
      <c r="D1862" s="1" t="s">
        <v>85</v>
      </c>
    </row>
    <row r="1863">
      <c r="A1863" s="2" t="s">
        <v>1732</v>
      </c>
      <c r="B1863" s="1" t="s">
        <v>1733</v>
      </c>
      <c r="C1863" s="2" t="s">
        <v>247</v>
      </c>
      <c r="D1863" s="1" t="s">
        <v>248</v>
      </c>
    </row>
    <row r="1864">
      <c r="A1864" s="2" t="s">
        <v>1730</v>
      </c>
      <c r="B1864" s="1" t="s">
        <v>1731</v>
      </c>
      <c r="C1864" s="2" t="s">
        <v>49</v>
      </c>
      <c r="D1864" s="1" t="s">
        <v>50</v>
      </c>
    </row>
    <row r="1865">
      <c r="A1865" s="2" t="s">
        <v>323</v>
      </c>
      <c r="B1865" s="1" t="s">
        <v>324</v>
      </c>
      <c r="C1865" s="2" t="s">
        <v>247</v>
      </c>
      <c r="D1865" s="1" t="s">
        <v>248</v>
      </c>
      <c r="E1865" s="2" t="s">
        <v>325</v>
      </c>
    </row>
    <row r="1866">
      <c r="A1866" s="2" t="s">
        <v>1734</v>
      </c>
      <c r="B1866" s="1" t="s">
        <v>1735</v>
      </c>
      <c r="C1866" s="2" t="s">
        <v>828</v>
      </c>
      <c r="D1866" s="1" t="s">
        <v>829</v>
      </c>
    </row>
    <row r="1867">
      <c r="A1867" s="2" t="s">
        <v>1630</v>
      </c>
      <c r="B1867" s="1" t="s">
        <v>1631</v>
      </c>
      <c r="C1867" s="2" t="s">
        <v>41</v>
      </c>
      <c r="D1867" s="1" t="s">
        <v>42</v>
      </c>
    </row>
    <row r="1868">
      <c r="A1868" s="2" t="s">
        <v>1630</v>
      </c>
      <c r="B1868" s="1" t="s">
        <v>1631</v>
      </c>
      <c r="C1868" s="2" t="s">
        <v>84</v>
      </c>
      <c r="D1868" s="1" t="s">
        <v>85</v>
      </c>
    </row>
    <row r="1869">
      <c r="A1869" s="2" t="s">
        <v>1630</v>
      </c>
      <c r="B1869" s="1" t="s">
        <v>1631</v>
      </c>
      <c r="C1869" s="2" t="s">
        <v>43</v>
      </c>
      <c r="D1869" s="1" t="s">
        <v>44</v>
      </c>
    </row>
    <row r="1870">
      <c r="A1870" s="2" t="s">
        <v>1716</v>
      </c>
      <c r="B1870" s="1" t="s">
        <v>1717</v>
      </c>
      <c r="C1870" s="2" t="s">
        <v>22</v>
      </c>
      <c r="D1870" s="1" t="s">
        <v>23</v>
      </c>
    </row>
    <row r="1871">
      <c r="A1871" s="2" t="s">
        <v>1636</v>
      </c>
      <c r="B1871" s="1" t="s">
        <v>1637</v>
      </c>
      <c r="C1871" s="2" t="s">
        <v>41</v>
      </c>
      <c r="D1871" s="1" t="s">
        <v>42</v>
      </c>
    </row>
    <row r="1872">
      <c r="A1872" s="2" t="s">
        <v>1636</v>
      </c>
      <c r="B1872" s="1" t="s">
        <v>1637</v>
      </c>
      <c r="C1872" s="2" t="s">
        <v>12</v>
      </c>
      <c r="D1872" s="1" t="s">
        <v>13</v>
      </c>
    </row>
    <row r="1873">
      <c r="A1873" s="2" t="s">
        <v>1630</v>
      </c>
      <c r="B1873" s="1" t="s">
        <v>1631</v>
      </c>
      <c r="C1873" s="2" t="s">
        <v>49</v>
      </c>
      <c r="D1873" s="1" t="s">
        <v>50</v>
      </c>
    </row>
    <row r="1874">
      <c r="A1874" s="2" t="s">
        <v>1636</v>
      </c>
      <c r="B1874" s="1" t="s">
        <v>1637</v>
      </c>
      <c r="C1874" s="2" t="s">
        <v>135</v>
      </c>
      <c r="D1874" s="1" t="s">
        <v>136</v>
      </c>
    </row>
    <row r="1875">
      <c r="A1875" s="2" t="s">
        <v>1716</v>
      </c>
      <c r="B1875" s="1" t="s">
        <v>1717</v>
      </c>
      <c r="C1875" s="2" t="s">
        <v>370</v>
      </c>
      <c r="D1875" s="1" t="s">
        <v>371</v>
      </c>
    </row>
    <row r="1876">
      <c r="A1876" s="2" t="s">
        <v>1636</v>
      </c>
      <c r="B1876" s="1" t="s">
        <v>1637</v>
      </c>
      <c r="C1876" s="2" t="s">
        <v>43</v>
      </c>
      <c r="D1876" s="1" t="s">
        <v>44</v>
      </c>
    </row>
    <row r="1877">
      <c r="A1877" s="2" t="s">
        <v>1660</v>
      </c>
      <c r="B1877" s="1" t="s">
        <v>1661</v>
      </c>
      <c r="C1877" s="2" t="s">
        <v>162</v>
      </c>
      <c r="D1877" s="1" t="s">
        <v>163</v>
      </c>
      <c r="E1877" s="2" t="s">
        <v>1662</v>
      </c>
    </row>
    <row r="1878">
      <c r="A1878" s="2" t="s">
        <v>1736</v>
      </c>
      <c r="B1878" s="1" t="s">
        <v>1737</v>
      </c>
      <c r="C1878" s="2" t="s">
        <v>604</v>
      </c>
      <c r="D1878" s="1" t="s">
        <v>605</v>
      </c>
    </row>
    <row r="1879">
      <c r="A1879" s="2" t="s">
        <v>1634</v>
      </c>
      <c r="B1879" s="1" t="s">
        <v>1635</v>
      </c>
      <c r="C1879" s="2" t="s">
        <v>25</v>
      </c>
      <c r="D1879" s="1" t="s">
        <v>26</v>
      </c>
    </row>
    <row r="1880">
      <c r="A1880" s="2" t="s">
        <v>1660</v>
      </c>
      <c r="B1880" s="1" t="s">
        <v>1661</v>
      </c>
      <c r="C1880" s="2" t="s">
        <v>116</v>
      </c>
      <c r="D1880" s="1" t="s">
        <v>117</v>
      </c>
      <c r="E1880" s="2" t="s">
        <v>1662</v>
      </c>
    </row>
    <row r="1881">
      <c r="A1881" s="2" t="s">
        <v>1636</v>
      </c>
      <c r="B1881" s="1" t="s">
        <v>1637</v>
      </c>
      <c r="C1881" s="2" t="s">
        <v>49</v>
      </c>
      <c r="D1881" s="1" t="s">
        <v>50</v>
      </c>
    </row>
    <row r="1882">
      <c r="A1882" s="2" t="s">
        <v>323</v>
      </c>
      <c r="B1882" s="1" t="s">
        <v>324</v>
      </c>
      <c r="C1882" s="2" t="s">
        <v>22</v>
      </c>
      <c r="D1882" s="1" t="s">
        <v>23</v>
      </c>
      <c r="E1882" s="2" t="s">
        <v>325</v>
      </c>
    </row>
    <row r="1883">
      <c r="A1883" s="2" t="s">
        <v>1730</v>
      </c>
      <c r="B1883" s="1" t="s">
        <v>1731</v>
      </c>
      <c r="C1883" s="2" t="s">
        <v>508</v>
      </c>
      <c r="D1883" s="1" t="s">
        <v>509</v>
      </c>
    </row>
    <row r="1884">
      <c r="A1884" s="2" t="s">
        <v>1736</v>
      </c>
      <c r="B1884" s="1" t="s">
        <v>1737</v>
      </c>
      <c r="C1884" s="2" t="s">
        <v>306</v>
      </c>
      <c r="D1884" s="1" t="s">
        <v>307</v>
      </c>
    </row>
    <row r="1885">
      <c r="A1885" s="2" t="s">
        <v>1738</v>
      </c>
      <c r="B1885" s="1" t="s">
        <v>1739</v>
      </c>
      <c r="C1885" s="2" t="s">
        <v>1740</v>
      </c>
      <c r="D1885" s="1" t="s">
        <v>1741</v>
      </c>
    </row>
    <row r="1886">
      <c r="A1886" s="2" t="s">
        <v>1624</v>
      </c>
      <c r="B1886" s="1" t="s">
        <v>1625</v>
      </c>
      <c r="C1886" s="2" t="s">
        <v>1742</v>
      </c>
      <c r="D1886" s="1" t="s">
        <v>1743</v>
      </c>
    </row>
    <row r="1887">
      <c r="A1887" s="2" t="s">
        <v>1730</v>
      </c>
      <c r="B1887" s="1" t="s">
        <v>1731</v>
      </c>
      <c r="C1887" s="2" t="s">
        <v>69</v>
      </c>
      <c r="D1887" s="1" t="s">
        <v>70</v>
      </c>
    </row>
    <row r="1888">
      <c r="A1888" s="2" t="s">
        <v>1744</v>
      </c>
      <c r="B1888" s="1" t="s">
        <v>1745</v>
      </c>
      <c r="C1888" s="2" t="s">
        <v>1346</v>
      </c>
      <c r="D1888" s="1" t="s">
        <v>1347</v>
      </c>
    </row>
    <row r="1889">
      <c r="A1889" s="2" t="s">
        <v>1678</v>
      </c>
      <c r="B1889" s="1" t="s">
        <v>1679</v>
      </c>
      <c r="C1889" s="2" t="s">
        <v>1746</v>
      </c>
      <c r="D1889" s="1" t="s">
        <v>1747</v>
      </c>
    </row>
    <row r="1890">
      <c r="A1890" s="2" t="s">
        <v>1678</v>
      </c>
      <c r="B1890" s="1" t="s">
        <v>1679</v>
      </c>
      <c r="C1890" s="2" t="s">
        <v>22</v>
      </c>
      <c r="D1890" s="1" t="s">
        <v>23</v>
      </c>
    </row>
    <row r="1891">
      <c r="A1891" s="2" t="s">
        <v>1748</v>
      </c>
      <c r="B1891" s="1" t="s">
        <v>1749</v>
      </c>
      <c r="C1891" s="2" t="s">
        <v>1750</v>
      </c>
      <c r="D1891" s="1" t="s">
        <v>637</v>
      </c>
    </row>
    <row r="1892">
      <c r="A1892" s="2" t="s">
        <v>1644</v>
      </c>
      <c r="B1892" s="1" t="s">
        <v>1645</v>
      </c>
      <c r="C1892" s="2" t="s">
        <v>604</v>
      </c>
      <c r="D1892" s="1" t="s">
        <v>605</v>
      </c>
    </row>
    <row r="1893">
      <c r="A1893" s="2" t="s">
        <v>1630</v>
      </c>
      <c r="B1893" s="1" t="s">
        <v>1631</v>
      </c>
      <c r="C1893" s="2" t="s">
        <v>69</v>
      </c>
      <c r="D1893" s="1" t="s">
        <v>70</v>
      </c>
    </row>
    <row r="1894">
      <c r="A1894" s="2" t="s">
        <v>1751</v>
      </c>
      <c r="B1894" s="1" t="s">
        <v>1752</v>
      </c>
      <c r="C1894" s="2" t="s">
        <v>604</v>
      </c>
      <c r="D1894" s="1" t="s">
        <v>605</v>
      </c>
    </row>
    <row r="1895">
      <c r="A1895" s="2" t="s">
        <v>1753</v>
      </c>
      <c r="B1895" s="1" t="s">
        <v>1754</v>
      </c>
      <c r="C1895" s="2" t="s">
        <v>604</v>
      </c>
      <c r="D1895" s="1" t="s">
        <v>605</v>
      </c>
    </row>
    <row r="1896">
      <c r="A1896" s="2" t="s">
        <v>1688</v>
      </c>
      <c r="B1896" s="1" t="s">
        <v>1689</v>
      </c>
      <c r="C1896" s="2" t="s">
        <v>12</v>
      </c>
      <c r="D1896" s="1" t="s">
        <v>13</v>
      </c>
    </row>
    <row r="1897">
      <c r="A1897" s="2" t="s">
        <v>1665</v>
      </c>
      <c r="B1897" s="1" t="s">
        <v>1666</v>
      </c>
      <c r="C1897" s="2" t="s">
        <v>79</v>
      </c>
      <c r="D1897" s="1" t="s">
        <v>80</v>
      </c>
      <c r="E1897" s="2" t="s">
        <v>1667</v>
      </c>
    </row>
    <row r="1898">
      <c r="A1898" s="2" t="s">
        <v>1636</v>
      </c>
      <c r="B1898" s="1" t="s">
        <v>1637</v>
      </c>
      <c r="C1898" s="2" t="s">
        <v>69</v>
      </c>
      <c r="D1898" s="1" t="s">
        <v>70</v>
      </c>
    </row>
    <row r="1899">
      <c r="A1899" s="2" t="s">
        <v>1734</v>
      </c>
      <c r="B1899" s="1" t="s">
        <v>1735</v>
      </c>
      <c r="C1899" s="2" t="s">
        <v>717</v>
      </c>
      <c r="D1899" s="1" t="s">
        <v>718</v>
      </c>
    </row>
    <row r="1900">
      <c r="A1900" s="2" t="s">
        <v>1755</v>
      </c>
      <c r="B1900" s="1" t="s">
        <v>1756</v>
      </c>
      <c r="C1900" s="2" t="s">
        <v>216</v>
      </c>
      <c r="D1900" s="1" t="s">
        <v>217</v>
      </c>
    </row>
    <row r="1901">
      <c r="A1901" s="2" t="s">
        <v>1708</v>
      </c>
      <c r="B1901" s="1" t="s">
        <v>1709</v>
      </c>
      <c r="C1901" s="2" t="s">
        <v>151</v>
      </c>
      <c r="D1901" s="1" t="s">
        <v>152</v>
      </c>
    </row>
    <row r="1902">
      <c r="A1902" s="2" t="s">
        <v>1757</v>
      </c>
      <c r="B1902" s="1" t="s">
        <v>1758</v>
      </c>
      <c r="C1902" s="2" t="s">
        <v>604</v>
      </c>
      <c r="D1902" s="1" t="s">
        <v>605</v>
      </c>
    </row>
    <row r="1903">
      <c r="A1903" s="2" t="s">
        <v>1724</v>
      </c>
      <c r="B1903" s="1" t="s">
        <v>1725</v>
      </c>
      <c r="C1903" s="2" t="s">
        <v>25</v>
      </c>
      <c r="D1903" s="1" t="s">
        <v>26</v>
      </c>
    </row>
    <row r="1904">
      <c r="A1904" s="2" t="s">
        <v>1660</v>
      </c>
      <c r="B1904" s="1" t="s">
        <v>1661</v>
      </c>
      <c r="C1904" s="2" t="s">
        <v>12</v>
      </c>
      <c r="D1904" s="1" t="s">
        <v>13</v>
      </c>
      <c r="E1904" s="2" t="s">
        <v>1662</v>
      </c>
    </row>
    <row r="1905">
      <c r="A1905" s="2" t="s">
        <v>1759</v>
      </c>
      <c r="B1905" s="1" t="s">
        <v>1760</v>
      </c>
      <c r="C1905" s="2" t="s">
        <v>604</v>
      </c>
      <c r="D1905" s="1" t="s">
        <v>605</v>
      </c>
    </row>
    <row r="1906">
      <c r="A1906" s="2" t="s">
        <v>101</v>
      </c>
      <c r="B1906" s="1" t="s">
        <v>102</v>
      </c>
      <c r="C1906" s="2" t="s">
        <v>124</v>
      </c>
      <c r="D1906" s="1" t="s">
        <v>125</v>
      </c>
      <c r="E1906" s="2" t="s">
        <v>105</v>
      </c>
    </row>
    <row r="1907">
      <c r="A1907" s="2" t="s">
        <v>1757</v>
      </c>
      <c r="B1907" s="1" t="s">
        <v>1758</v>
      </c>
      <c r="C1907" s="2" t="s">
        <v>306</v>
      </c>
      <c r="D1907" s="1" t="s">
        <v>307</v>
      </c>
    </row>
    <row r="1908">
      <c r="A1908" s="2" t="s">
        <v>1761</v>
      </c>
      <c r="B1908" s="1" t="s">
        <v>1762</v>
      </c>
      <c r="C1908" s="2" t="s">
        <v>651</v>
      </c>
      <c r="D1908" s="1" t="s">
        <v>652</v>
      </c>
      <c r="E1908" s="2" t="s">
        <v>1763</v>
      </c>
    </row>
    <row r="1909">
      <c r="A1909" s="2" t="s">
        <v>1759</v>
      </c>
      <c r="B1909" s="1" t="s">
        <v>1760</v>
      </c>
      <c r="C1909" s="2" t="s">
        <v>306</v>
      </c>
      <c r="D1909" s="1" t="s">
        <v>307</v>
      </c>
    </row>
    <row r="1910">
      <c r="A1910" s="2" t="s">
        <v>1764</v>
      </c>
      <c r="B1910" s="1" t="s">
        <v>1765</v>
      </c>
      <c r="C1910" s="2" t="s">
        <v>173</v>
      </c>
      <c r="D1910" s="1" t="s">
        <v>174</v>
      </c>
    </row>
    <row r="1911">
      <c r="A1911" s="2" t="s">
        <v>1766</v>
      </c>
      <c r="B1911" s="1" t="s">
        <v>1767</v>
      </c>
      <c r="C1911" s="2" t="s">
        <v>311</v>
      </c>
      <c r="D1911" s="1" t="s">
        <v>312</v>
      </c>
    </row>
    <row r="1912">
      <c r="A1912" s="2" t="s">
        <v>749</v>
      </c>
      <c r="B1912" s="1" t="s">
        <v>750</v>
      </c>
      <c r="C1912" s="2" t="s">
        <v>133</v>
      </c>
      <c r="D1912" s="1" t="s">
        <v>134</v>
      </c>
    </row>
    <row r="1913">
      <c r="A1913" s="2" t="s">
        <v>1640</v>
      </c>
      <c r="B1913" s="1" t="s">
        <v>1641</v>
      </c>
      <c r="C1913" s="2" t="s">
        <v>1768</v>
      </c>
      <c r="D1913" s="1" t="s">
        <v>1769</v>
      </c>
    </row>
    <row r="1914">
      <c r="A1914" s="2" t="s">
        <v>1770</v>
      </c>
      <c r="B1914" s="1" t="s">
        <v>1771</v>
      </c>
      <c r="C1914" s="2" t="s">
        <v>407</v>
      </c>
      <c r="D1914" s="1" t="s">
        <v>408</v>
      </c>
    </row>
    <row r="1915">
      <c r="A1915" s="2" t="s">
        <v>1772</v>
      </c>
      <c r="B1915" s="1" t="s">
        <v>1773</v>
      </c>
      <c r="C1915" s="2" t="s">
        <v>793</v>
      </c>
      <c r="D1915" s="1" t="s">
        <v>794</v>
      </c>
    </row>
    <row r="1916">
      <c r="A1916" s="2" t="s">
        <v>1650</v>
      </c>
      <c r="B1916" s="1" t="s">
        <v>1651</v>
      </c>
      <c r="C1916" s="2" t="s">
        <v>743</v>
      </c>
      <c r="D1916" s="1" t="s">
        <v>744</v>
      </c>
    </row>
    <row r="1917">
      <c r="A1917" s="2" t="s">
        <v>1774</v>
      </c>
      <c r="B1917" s="1" t="s">
        <v>1775</v>
      </c>
      <c r="C1917" s="2" t="s">
        <v>22</v>
      </c>
      <c r="D1917" s="1" t="s">
        <v>23</v>
      </c>
    </row>
    <row r="1918">
      <c r="A1918" s="2" t="s">
        <v>1774</v>
      </c>
      <c r="B1918" s="1" t="s">
        <v>1775</v>
      </c>
      <c r="C1918" s="2" t="s">
        <v>151</v>
      </c>
      <c r="D1918" s="1" t="s">
        <v>152</v>
      </c>
    </row>
    <row r="1919">
      <c r="A1919" s="2" t="s">
        <v>1620</v>
      </c>
      <c r="B1919" s="1" t="s">
        <v>1621</v>
      </c>
      <c r="C1919" s="2" t="s">
        <v>216</v>
      </c>
      <c r="D1919" s="1" t="s">
        <v>217</v>
      </c>
    </row>
    <row r="1920">
      <c r="A1920" s="2" t="s">
        <v>1776</v>
      </c>
      <c r="B1920" s="1" t="s">
        <v>1777</v>
      </c>
      <c r="C1920" s="2" t="s">
        <v>1778</v>
      </c>
      <c r="D1920" s="1" t="s">
        <v>1779</v>
      </c>
    </row>
    <row r="1921">
      <c r="A1921" s="2" t="s">
        <v>1780</v>
      </c>
      <c r="B1921" s="1" t="s">
        <v>1781</v>
      </c>
      <c r="C1921" s="2" t="s">
        <v>12</v>
      </c>
      <c r="D1921" s="1" t="s">
        <v>13</v>
      </c>
      <c r="E1921" s="2" t="s">
        <v>1782</v>
      </c>
    </row>
    <row r="1922">
      <c r="A1922" s="2" t="s">
        <v>1776</v>
      </c>
      <c r="B1922" s="1" t="s">
        <v>1777</v>
      </c>
      <c r="C1922" s="2" t="s">
        <v>370</v>
      </c>
      <c r="D1922" s="1" t="s">
        <v>371</v>
      </c>
    </row>
    <row r="1923">
      <c r="A1923" s="2" t="s">
        <v>1780</v>
      </c>
      <c r="B1923" s="1" t="s">
        <v>1781</v>
      </c>
      <c r="C1923" s="2" t="s">
        <v>1013</v>
      </c>
      <c r="D1923" s="1" t="s">
        <v>1014</v>
      </c>
      <c r="E1923" s="2" t="s">
        <v>1782</v>
      </c>
    </row>
    <row r="1924">
      <c r="A1924" s="2" t="s">
        <v>1780</v>
      </c>
      <c r="B1924" s="1" t="s">
        <v>1781</v>
      </c>
      <c r="C1924" s="2" t="s">
        <v>114</v>
      </c>
      <c r="D1924" s="1" t="s">
        <v>115</v>
      </c>
      <c r="E1924" s="2" t="s">
        <v>1782</v>
      </c>
    </row>
    <row r="1925">
      <c r="A1925" s="2" t="s">
        <v>1776</v>
      </c>
      <c r="B1925" s="1" t="s">
        <v>1777</v>
      </c>
      <c r="C1925" s="2" t="s">
        <v>139</v>
      </c>
      <c r="D1925" s="1" t="s">
        <v>140</v>
      </c>
    </row>
    <row r="1926">
      <c r="A1926" s="2" t="s">
        <v>1776</v>
      </c>
      <c r="B1926" s="1" t="s">
        <v>1777</v>
      </c>
      <c r="C1926" s="2" t="s">
        <v>807</v>
      </c>
      <c r="D1926" s="1" t="s">
        <v>808</v>
      </c>
    </row>
    <row r="1927">
      <c r="A1927" s="2" t="s">
        <v>1783</v>
      </c>
      <c r="B1927" s="1" t="s">
        <v>1784</v>
      </c>
      <c r="C1927" s="2" t="s">
        <v>604</v>
      </c>
      <c r="D1927" s="1" t="s">
        <v>605</v>
      </c>
    </row>
    <row r="1928">
      <c r="A1928" s="2" t="s">
        <v>1783</v>
      </c>
      <c r="B1928" s="1" t="s">
        <v>1784</v>
      </c>
      <c r="C1928" s="2" t="s">
        <v>306</v>
      </c>
      <c r="D1928" s="1" t="s">
        <v>307</v>
      </c>
    </row>
    <row r="1929">
      <c r="A1929" s="2" t="s">
        <v>1785</v>
      </c>
      <c r="B1929" s="1" t="s">
        <v>1786</v>
      </c>
    </row>
    <row r="1930">
      <c r="A1930" s="2" t="s">
        <v>1787</v>
      </c>
      <c r="B1930" s="1" t="s">
        <v>1788</v>
      </c>
      <c r="C1930" s="2" t="s">
        <v>739</v>
      </c>
      <c r="D1930" s="1" t="s">
        <v>740</v>
      </c>
    </row>
    <row r="1931">
      <c r="A1931" s="2" t="s">
        <v>1789</v>
      </c>
      <c r="B1931" s="1" t="s">
        <v>1790</v>
      </c>
      <c r="C1931" s="2" t="s">
        <v>1791</v>
      </c>
      <c r="D1931" s="1" t="s">
        <v>1792</v>
      </c>
      <c r="E1931" s="2" t="s">
        <v>1793</v>
      </c>
    </row>
    <row r="1932">
      <c r="A1932" s="2" t="s">
        <v>1794</v>
      </c>
      <c r="B1932" s="1" t="s">
        <v>1795</v>
      </c>
      <c r="C1932" s="2" t="s">
        <v>1044</v>
      </c>
      <c r="D1932" s="1" t="s">
        <v>1045</v>
      </c>
      <c r="E1932" s="2" t="s">
        <v>1796</v>
      </c>
    </row>
    <row r="1933">
      <c r="A1933" s="2" t="s">
        <v>1794</v>
      </c>
      <c r="B1933" s="1" t="s">
        <v>1795</v>
      </c>
      <c r="C1933" s="2" t="s">
        <v>266</v>
      </c>
      <c r="D1933" s="1" t="s">
        <v>267</v>
      </c>
      <c r="E1933" s="2" t="s">
        <v>1796</v>
      </c>
    </row>
    <row r="1934">
      <c r="A1934" s="2" t="s">
        <v>1797</v>
      </c>
      <c r="B1934" s="1" t="s">
        <v>1798</v>
      </c>
      <c r="C1934" s="2" t="s">
        <v>114</v>
      </c>
      <c r="D1934" s="1" t="s">
        <v>115</v>
      </c>
    </row>
    <row r="1935">
      <c r="A1935" s="2" t="s">
        <v>1797</v>
      </c>
      <c r="B1935" s="1" t="s">
        <v>1798</v>
      </c>
      <c r="C1935" s="2" t="s">
        <v>22</v>
      </c>
      <c r="D1935" s="1" t="s">
        <v>23</v>
      </c>
    </row>
    <row r="1936">
      <c r="A1936" s="2" t="s">
        <v>1794</v>
      </c>
      <c r="B1936" s="1" t="s">
        <v>1795</v>
      </c>
      <c r="C1936" s="2" t="s">
        <v>1799</v>
      </c>
      <c r="D1936" s="1" t="s">
        <v>1800</v>
      </c>
      <c r="E1936" s="2" t="s">
        <v>1796</v>
      </c>
    </row>
    <row r="1937">
      <c r="A1937" s="2" t="s">
        <v>1797</v>
      </c>
      <c r="B1937" s="1" t="s">
        <v>1798</v>
      </c>
      <c r="C1937" s="2" t="s">
        <v>77</v>
      </c>
      <c r="D1937" s="1" t="s">
        <v>78</v>
      </c>
    </row>
    <row r="1938">
      <c r="A1938" s="2" t="s">
        <v>1797</v>
      </c>
      <c r="B1938" s="1" t="s">
        <v>1798</v>
      </c>
      <c r="C1938" s="2" t="s">
        <v>124</v>
      </c>
      <c r="D1938" s="1" t="s">
        <v>125</v>
      </c>
    </row>
    <row r="1939">
      <c r="A1939" s="2" t="s">
        <v>1794</v>
      </c>
      <c r="B1939" s="1" t="s">
        <v>1795</v>
      </c>
      <c r="C1939" s="2" t="s">
        <v>1801</v>
      </c>
      <c r="D1939" s="1" t="s">
        <v>1802</v>
      </c>
      <c r="E1939" s="2" t="s">
        <v>1796</v>
      </c>
    </row>
    <row r="1940">
      <c r="A1940" s="2" t="s">
        <v>1794</v>
      </c>
      <c r="B1940" s="1" t="s">
        <v>1795</v>
      </c>
      <c r="C1940" s="2" t="s">
        <v>1803</v>
      </c>
      <c r="D1940" s="1" t="s">
        <v>1804</v>
      </c>
      <c r="E1940" s="2" t="s">
        <v>1796</v>
      </c>
    </row>
    <row r="1941">
      <c r="A1941" s="2" t="s">
        <v>1805</v>
      </c>
      <c r="B1941" s="1" t="s">
        <v>1806</v>
      </c>
      <c r="C1941" s="2" t="s">
        <v>79</v>
      </c>
      <c r="D1941" s="1" t="s">
        <v>80</v>
      </c>
      <c r="E1941" s="2" t="s">
        <v>1807</v>
      </c>
    </row>
    <row r="1942">
      <c r="A1942" s="2" t="s">
        <v>1805</v>
      </c>
      <c r="B1942" s="1" t="s">
        <v>1806</v>
      </c>
      <c r="C1942" s="2" t="s">
        <v>12</v>
      </c>
      <c r="D1942" s="1" t="s">
        <v>13</v>
      </c>
      <c r="E1942" s="2" t="s">
        <v>1807</v>
      </c>
    </row>
    <row r="1943">
      <c r="A1943" s="2" t="s">
        <v>1805</v>
      </c>
      <c r="B1943" s="1" t="s">
        <v>1806</v>
      </c>
      <c r="C1943" s="2" t="s">
        <v>84</v>
      </c>
      <c r="D1943" s="1" t="s">
        <v>85</v>
      </c>
      <c r="E1943" s="2" t="s">
        <v>1807</v>
      </c>
    </row>
    <row r="1944">
      <c r="A1944" s="2" t="s">
        <v>1805</v>
      </c>
      <c r="B1944" s="1" t="s">
        <v>1806</v>
      </c>
      <c r="C1944" s="2" t="s">
        <v>77</v>
      </c>
      <c r="D1944" s="1" t="s">
        <v>78</v>
      </c>
      <c r="E1944" s="2" t="s">
        <v>1807</v>
      </c>
    </row>
    <row r="1945">
      <c r="A1945" s="2" t="s">
        <v>1805</v>
      </c>
      <c r="B1945" s="1" t="s">
        <v>1806</v>
      </c>
      <c r="C1945" s="2" t="s">
        <v>49</v>
      </c>
      <c r="D1945" s="1" t="s">
        <v>50</v>
      </c>
      <c r="E1945" s="2" t="s">
        <v>1807</v>
      </c>
    </row>
    <row r="1946">
      <c r="A1946" s="2" t="s">
        <v>1805</v>
      </c>
      <c r="B1946" s="1" t="s">
        <v>1806</v>
      </c>
      <c r="C1946" s="2" t="s">
        <v>90</v>
      </c>
      <c r="D1946" s="1" t="s">
        <v>91</v>
      </c>
      <c r="E1946" s="2" t="s">
        <v>1807</v>
      </c>
    </row>
    <row r="1947">
      <c r="A1947" s="2" t="s">
        <v>1805</v>
      </c>
      <c r="B1947" s="1" t="s">
        <v>1806</v>
      </c>
      <c r="C1947" s="2" t="s">
        <v>421</v>
      </c>
      <c r="D1947" s="1" t="s">
        <v>422</v>
      </c>
      <c r="E1947" s="2" t="s">
        <v>1807</v>
      </c>
    </row>
    <row r="1948">
      <c r="A1948" s="2" t="s">
        <v>1805</v>
      </c>
      <c r="B1948" s="1" t="s">
        <v>1806</v>
      </c>
      <c r="C1948" s="2" t="s">
        <v>133</v>
      </c>
      <c r="D1948" s="1" t="s">
        <v>134</v>
      </c>
      <c r="E1948" s="2" t="s">
        <v>1807</v>
      </c>
    </row>
    <row r="1949">
      <c r="A1949" s="2" t="s">
        <v>1805</v>
      </c>
      <c r="B1949" s="1" t="s">
        <v>1806</v>
      </c>
      <c r="C1949" s="2" t="s">
        <v>225</v>
      </c>
      <c r="D1949" s="1" t="s">
        <v>226</v>
      </c>
      <c r="E1949" s="2" t="s">
        <v>1807</v>
      </c>
    </row>
    <row r="1950">
      <c r="A1950" s="2" t="s">
        <v>1805</v>
      </c>
      <c r="B1950" s="1" t="s">
        <v>1806</v>
      </c>
      <c r="C1950" s="2" t="s">
        <v>43</v>
      </c>
      <c r="D1950" s="1" t="s">
        <v>44</v>
      </c>
      <c r="E1950" s="2" t="s">
        <v>1807</v>
      </c>
    </row>
    <row r="1951">
      <c r="A1951" s="2" t="s">
        <v>1808</v>
      </c>
      <c r="B1951" s="1" t="s">
        <v>1809</v>
      </c>
      <c r="C1951" s="2" t="s">
        <v>12</v>
      </c>
      <c r="D1951" s="1" t="s">
        <v>13</v>
      </c>
      <c r="E1951" s="2" t="s">
        <v>1810</v>
      </c>
    </row>
    <row r="1952">
      <c r="A1952" s="2" t="s">
        <v>1811</v>
      </c>
      <c r="B1952" s="1" t="s">
        <v>1812</v>
      </c>
      <c r="C1952" s="2" t="s">
        <v>12</v>
      </c>
      <c r="D1952" s="1" t="s">
        <v>13</v>
      </c>
      <c r="E1952" s="2" t="s">
        <v>1813</v>
      </c>
    </row>
    <row r="1953">
      <c r="A1953" s="2" t="s">
        <v>1808</v>
      </c>
      <c r="B1953" s="1" t="s">
        <v>1809</v>
      </c>
      <c r="C1953" s="2" t="s">
        <v>114</v>
      </c>
      <c r="D1953" s="1" t="s">
        <v>115</v>
      </c>
      <c r="E1953" s="2" t="s">
        <v>1810</v>
      </c>
    </row>
    <row r="1954">
      <c r="A1954" s="2" t="s">
        <v>1814</v>
      </c>
      <c r="B1954" s="1" t="s">
        <v>1815</v>
      </c>
      <c r="C1954" s="2" t="s">
        <v>53</v>
      </c>
      <c r="D1954" s="1" t="s">
        <v>54</v>
      </c>
      <c r="E1954" s="2" t="s">
        <v>1816</v>
      </c>
    </row>
    <row r="1955">
      <c r="A1955" s="2" t="s">
        <v>1811</v>
      </c>
      <c r="B1955" s="1" t="s">
        <v>1812</v>
      </c>
      <c r="C1955" s="2" t="s">
        <v>114</v>
      </c>
      <c r="D1955" s="1" t="s">
        <v>115</v>
      </c>
      <c r="E1955" s="2" t="s">
        <v>1813</v>
      </c>
    </row>
    <row r="1956">
      <c r="A1956" s="2" t="s">
        <v>1811</v>
      </c>
      <c r="B1956" s="1" t="s">
        <v>1812</v>
      </c>
      <c r="C1956" s="2" t="s">
        <v>332</v>
      </c>
      <c r="D1956" s="1" t="s">
        <v>333</v>
      </c>
      <c r="E1956" s="2" t="s">
        <v>1813</v>
      </c>
    </row>
    <row r="1957">
      <c r="A1957" s="2" t="s">
        <v>1811</v>
      </c>
      <c r="B1957" s="1" t="s">
        <v>1812</v>
      </c>
      <c r="C1957" s="2" t="s">
        <v>337</v>
      </c>
      <c r="D1957" s="1" t="s">
        <v>338</v>
      </c>
      <c r="E1957" s="2" t="s">
        <v>1813</v>
      </c>
    </row>
    <row r="1958">
      <c r="A1958" s="2" t="s">
        <v>1814</v>
      </c>
      <c r="B1958" s="1" t="s">
        <v>1815</v>
      </c>
      <c r="C1958" s="2" t="s">
        <v>49</v>
      </c>
      <c r="D1958" s="1" t="s">
        <v>50</v>
      </c>
      <c r="E1958" s="2" t="s">
        <v>1816</v>
      </c>
    </row>
    <row r="1959">
      <c r="A1959" s="2" t="s">
        <v>1814</v>
      </c>
      <c r="B1959" s="1" t="s">
        <v>1815</v>
      </c>
      <c r="C1959" s="2" t="s">
        <v>221</v>
      </c>
      <c r="D1959" s="1" t="s">
        <v>222</v>
      </c>
      <c r="E1959" s="2" t="s">
        <v>1816</v>
      </c>
    </row>
    <row r="1960">
      <c r="A1960" s="2" t="s">
        <v>1814</v>
      </c>
      <c r="B1960" s="1" t="s">
        <v>1815</v>
      </c>
      <c r="C1960" s="2" t="s">
        <v>69</v>
      </c>
      <c r="D1960" s="1" t="s">
        <v>70</v>
      </c>
      <c r="E1960" s="2" t="s">
        <v>1816</v>
      </c>
    </row>
    <row r="1961">
      <c r="A1961" s="2" t="s">
        <v>1814</v>
      </c>
      <c r="B1961" s="1" t="s">
        <v>1815</v>
      </c>
      <c r="C1961" s="2" t="s">
        <v>216</v>
      </c>
      <c r="D1961" s="1" t="s">
        <v>217</v>
      </c>
      <c r="E1961" s="2" t="s">
        <v>1816</v>
      </c>
    </row>
    <row r="1962">
      <c r="A1962" s="2" t="s">
        <v>1814</v>
      </c>
      <c r="B1962" s="1" t="s">
        <v>1815</v>
      </c>
      <c r="C1962" s="2" t="s">
        <v>43</v>
      </c>
      <c r="D1962" s="1" t="s">
        <v>44</v>
      </c>
      <c r="E1962" s="2" t="s">
        <v>1816</v>
      </c>
    </row>
    <row r="1963">
      <c r="A1963" s="2" t="s">
        <v>1814</v>
      </c>
      <c r="B1963" s="1" t="s">
        <v>1815</v>
      </c>
      <c r="C1963" s="2" t="s">
        <v>75</v>
      </c>
      <c r="D1963" s="1" t="s">
        <v>76</v>
      </c>
      <c r="E1963" s="2" t="s">
        <v>1816</v>
      </c>
    </row>
    <row r="1964">
      <c r="A1964" s="2" t="s">
        <v>1817</v>
      </c>
      <c r="B1964" s="1" t="s">
        <v>1818</v>
      </c>
      <c r="C1964" s="2" t="s">
        <v>162</v>
      </c>
      <c r="D1964" s="1" t="s">
        <v>163</v>
      </c>
    </row>
    <row r="1965">
      <c r="A1965" s="2" t="s">
        <v>1817</v>
      </c>
      <c r="B1965" s="1" t="s">
        <v>1818</v>
      </c>
      <c r="C1965" s="2" t="s">
        <v>103</v>
      </c>
      <c r="D1965" s="1" t="s">
        <v>104</v>
      </c>
    </row>
    <row r="1966">
      <c r="A1966" s="2" t="s">
        <v>1817</v>
      </c>
      <c r="B1966" s="1" t="s">
        <v>1818</v>
      </c>
      <c r="C1966" s="2" t="s">
        <v>135</v>
      </c>
      <c r="D1966" s="1" t="s">
        <v>136</v>
      </c>
    </row>
    <row r="1967">
      <c r="A1967" s="2" t="s">
        <v>1817</v>
      </c>
      <c r="B1967" s="1" t="s">
        <v>1818</v>
      </c>
      <c r="C1967" s="2" t="s">
        <v>431</v>
      </c>
      <c r="D1967" s="1" t="s">
        <v>432</v>
      </c>
    </row>
    <row r="1968">
      <c r="A1968" s="2" t="s">
        <v>1817</v>
      </c>
      <c r="B1968" s="1" t="s">
        <v>1818</v>
      </c>
      <c r="C1968" s="2" t="s">
        <v>252</v>
      </c>
      <c r="D1968" s="1" t="s">
        <v>253</v>
      </c>
    </row>
    <row r="1969">
      <c r="A1969" s="2" t="s">
        <v>1817</v>
      </c>
      <c r="B1969" s="1" t="s">
        <v>1818</v>
      </c>
      <c r="C1969" s="2" t="s">
        <v>22</v>
      </c>
      <c r="D1969" s="1" t="s">
        <v>23</v>
      </c>
    </row>
    <row r="1970">
      <c r="A1970" s="2" t="s">
        <v>1817</v>
      </c>
      <c r="B1970" s="1" t="s">
        <v>1818</v>
      </c>
      <c r="C1970" s="2" t="s">
        <v>25</v>
      </c>
      <c r="D1970" s="1" t="s">
        <v>26</v>
      </c>
    </row>
    <row r="1971">
      <c r="A1971" s="2" t="s">
        <v>1819</v>
      </c>
      <c r="B1971" s="1" t="s">
        <v>1820</v>
      </c>
      <c r="C1971" s="2" t="s">
        <v>1602</v>
      </c>
      <c r="D1971" s="1" t="s">
        <v>1603</v>
      </c>
    </row>
    <row r="1972">
      <c r="A1972" s="2" t="s">
        <v>1819</v>
      </c>
      <c r="B1972" s="1" t="s">
        <v>1820</v>
      </c>
      <c r="C1972" s="2" t="s">
        <v>962</v>
      </c>
      <c r="D1972" s="1" t="s">
        <v>963</v>
      </c>
    </row>
    <row r="1973">
      <c r="A1973" s="2" t="s">
        <v>1819</v>
      </c>
      <c r="B1973" s="1" t="s">
        <v>1820</v>
      </c>
      <c r="C1973" s="2" t="s">
        <v>395</v>
      </c>
      <c r="D1973" s="1" t="s">
        <v>396</v>
      </c>
    </row>
    <row r="1974">
      <c r="A1974" s="2" t="s">
        <v>1821</v>
      </c>
      <c r="B1974" s="1" t="s">
        <v>1822</v>
      </c>
    </row>
    <row r="1975">
      <c r="A1975" s="2" t="s">
        <v>1823</v>
      </c>
      <c r="B1975" s="1" t="s">
        <v>1824</v>
      </c>
    </row>
    <row r="1976">
      <c r="A1976" s="2" t="s">
        <v>1825</v>
      </c>
      <c r="B1976" s="1" t="s">
        <v>1826</v>
      </c>
      <c r="C1976" s="2" t="s">
        <v>306</v>
      </c>
      <c r="D1976" s="1" t="s">
        <v>307</v>
      </c>
    </row>
    <row r="1977">
      <c r="A1977" s="2" t="s">
        <v>1827</v>
      </c>
      <c r="B1977" s="1" t="s">
        <v>1828</v>
      </c>
      <c r="C1977" s="2" t="s">
        <v>604</v>
      </c>
      <c r="D1977" s="1" t="s">
        <v>605</v>
      </c>
      <c r="E1977" s="2" t="s">
        <v>1829</v>
      </c>
    </row>
    <row r="1978">
      <c r="A1978" s="2" t="s">
        <v>1830</v>
      </c>
      <c r="B1978" s="1" t="s">
        <v>1831</v>
      </c>
      <c r="C1978" s="2" t="s">
        <v>41</v>
      </c>
      <c r="D1978" s="1" t="s">
        <v>42</v>
      </c>
    </row>
    <row r="1979">
      <c r="A1979" s="2" t="s">
        <v>1830</v>
      </c>
      <c r="B1979" s="1" t="s">
        <v>1831</v>
      </c>
      <c r="C1979" s="2" t="s">
        <v>84</v>
      </c>
      <c r="D1979" s="1" t="s">
        <v>85</v>
      </c>
    </row>
    <row r="1980">
      <c r="A1980" s="2" t="s">
        <v>1830</v>
      </c>
      <c r="B1980" s="1" t="s">
        <v>1831</v>
      </c>
      <c r="C1980" s="2" t="s">
        <v>43</v>
      </c>
      <c r="D1980" s="1" t="s">
        <v>44</v>
      </c>
    </row>
    <row r="1981">
      <c r="A1981" s="2" t="s">
        <v>1830</v>
      </c>
      <c r="B1981" s="1" t="s">
        <v>1831</v>
      </c>
      <c r="C1981" s="2" t="s">
        <v>49</v>
      </c>
      <c r="D1981" s="1" t="s">
        <v>50</v>
      </c>
    </row>
    <row r="1982">
      <c r="A1982" s="2" t="s">
        <v>1830</v>
      </c>
      <c r="B1982" s="1" t="s">
        <v>1831</v>
      </c>
      <c r="C1982" s="2" t="s">
        <v>69</v>
      </c>
      <c r="D1982" s="1" t="s">
        <v>70</v>
      </c>
    </row>
    <row r="1983">
      <c r="A1983" s="2" t="s">
        <v>1827</v>
      </c>
      <c r="B1983" s="1" t="s">
        <v>1828</v>
      </c>
      <c r="C1983" s="2" t="s">
        <v>1832</v>
      </c>
      <c r="D1983" s="1" t="s">
        <v>1833</v>
      </c>
      <c r="E1983" s="2" t="s">
        <v>1829</v>
      </c>
    </row>
    <row r="1984">
      <c r="A1984" s="2" t="s">
        <v>1825</v>
      </c>
      <c r="B1984" s="1" t="s">
        <v>1826</v>
      </c>
      <c r="C1984" s="2" t="s">
        <v>49</v>
      </c>
      <c r="D1984" s="1" t="s">
        <v>50</v>
      </c>
    </row>
    <row r="1985">
      <c r="A1985" s="2" t="s">
        <v>1827</v>
      </c>
      <c r="B1985" s="1" t="s">
        <v>1828</v>
      </c>
      <c r="C1985" s="2" t="s">
        <v>1120</v>
      </c>
      <c r="D1985" s="1" t="s">
        <v>1121</v>
      </c>
      <c r="E1985" s="2" t="s">
        <v>1829</v>
      </c>
    </row>
    <row r="1986">
      <c r="A1986" s="2" t="s">
        <v>1827</v>
      </c>
      <c r="B1986" s="1" t="s">
        <v>1828</v>
      </c>
      <c r="C1986" s="2" t="s">
        <v>1834</v>
      </c>
      <c r="D1986" s="1" t="s">
        <v>1835</v>
      </c>
      <c r="E1986" s="2" t="s">
        <v>1829</v>
      </c>
    </row>
    <row r="1987">
      <c r="A1987" s="2" t="s">
        <v>1825</v>
      </c>
      <c r="B1987" s="1" t="s">
        <v>1826</v>
      </c>
      <c r="C1987" s="2" t="s">
        <v>604</v>
      </c>
      <c r="D1987" s="1" t="s">
        <v>605</v>
      </c>
    </row>
  </sheetData>
  <hyperlinks>
    <hyperlink r:id="rId1" ref="A2"/>
    <hyperlink r:id="rId2" ref="C2"/>
    <hyperlink r:id="rId3" ref="E2"/>
    <hyperlink r:id="rId4" ref="A3"/>
    <hyperlink r:id="rId5" ref="C3"/>
    <hyperlink r:id="rId6" ref="E3"/>
    <hyperlink r:id="rId7" ref="A4"/>
    <hyperlink r:id="rId8" ref="C4"/>
    <hyperlink r:id="rId9" ref="E4"/>
    <hyperlink r:id="rId10" ref="A5"/>
    <hyperlink r:id="rId11" ref="C5"/>
    <hyperlink r:id="rId12" ref="E5"/>
    <hyperlink r:id="rId13" ref="A6"/>
    <hyperlink r:id="rId14" ref="C6"/>
    <hyperlink r:id="rId15" ref="E6"/>
    <hyperlink r:id="rId16" ref="A7"/>
    <hyperlink r:id="rId17" ref="C7"/>
    <hyperlink r:id="rId18" ref="E7"/>
    <hyperlink r:id="rId19" ref="A8"/>
    <hyperlink r:id="rId20" ref="C8"/>
    <hyperlink r:id="rId21" ref="E8"/>
    <hyperlink r:id="rId22" ref="A9"/>
    <hyperlink r:id="rId23" ref="C9"/>
    <hyperlink r:id="rId24" ref="A10"/>
    <hyperlink r:id="rId25" ref="C10"/>
    <hyperlink r:id="rId26" ref="A11"/>
    <hyperlink r:id="rId27" ref="C11"/>
    <hyperlink r:id="rId28" ref="E11"/>
    <hyperlink r:id="rId29" ref="A12"/>
    <hyperlink r:id="rId30" ref="C12"/>
    <hyperlink r:id="rId31" ref="E12"/>
    <hyperlink r:id="rId32" ref="A13"/>
    <hyperlink r:id="rId33" ref="C13"/>
    <hyperlink r:id="rId34" ref="A14"/>
    <hyperlink r:id="rId35" ref="C14"/>
    <hyperlink r:id="rId36" ref="A15"/>
    <hyperlink r:id="rId37" ref="C15"/>
    <hyperlink r:id="rId38" ref="A16"/>
    <hyperlink r:id="rId39" ref="C16"/>
    <hyperlink r:id="rId40" ref="A17"/>
    <hyperlink r:id="rId41" ref="C17"/>
    <hyperlink r:id="rId42" ref="A18"/>
    <hyperlink r:id="rId43" ref="C18"/>
    <hyperlink r:id="rId44" ref="E18"/>
    <hyperlink r:id="rId45" ref="A19"/>
    <hyperlink r:id="rId46" ref="C19"/>
    <hyperlink r:id="rId47" ref="A20"/>
    <hyperlink r:id="rId48" ref="C20"/>
    <hyperlink r:id="rId49" ref="E20"/>
    <hyperlink r:id="rId50" ref="A21"/>
    <hyperlink r:id="rId51" ref="C21"/>
    <hyperlink r:id="rId52" ref="E21"/>
    <hyperlink r:id="rId53" ref="A22"/>
    <hyperlink r:id="rId54" ref="C22"/>
    <hyperlink r:id="rId55" ref="E22"/>
    <hyperlink r:id="rId56" ref="A23"/>
    <hyperlink r:id="rId57" ref="C23"/>
    <hyperlink r:id="rId58" ref="E23"/>
    <hyperlink r:id="rId59" ref="A24"/>
    <hyperlink r:id="rId60" ref="C24"/>
    <hyperlink r:id="rId61" ref="A25"/>
    <hyperlink r:id="rId62" ref="C25"/>
    <hyperlink r:id="rId63" ref="A26"/>
    <hyperlink r:id="rId64" ref="C26"/>
    <hyperlink r:id="rId65" ref="A27"/>
    <hyperlink r:id="rId66" ref="C27"/>
    <hyperlink r:id="rId67" ref="E27"/>
    <hyperlink r:id="rId68" ref="A28"/>
    <hyperlink r:id="rId69" ref="C28"/>
    <hyperlink r:id="rId70" ref="A29"/>
    <hyperlink r:id="rId71" ref="C29"/>
    <hyperlink r:id="rId72" ref="A30"/>
    <hyperlink r:id="rId73" ref="C30"/>
    <hyperlink r:id="rId74" ref="E30"/>
    <hyperlink r:id="rId75" ref="A31"/>
    <hyperlink r:id="rId76" ref="C31"/>
    <hyperlink r:id="rId77" ref="E31"/>
    <hyperlink r:id="rId78" ref="A32"/>
    <hyperlink r:id="rId79" ref="C32"/>
    <hyperlink r:id="rId80" ref="E32"/>
    <hyperlink r:id="rId81" ref="A33"/>
    <hyperlink r:id="rId82" ref="C33"/>
    <hyperlink r:id="rId83" ref="E33"/>
    <hyperlink r:id="rId84" ref="A34"/>
    <hyperlink r:id="rId85" ref="C34"/>
    <hyperlink r:id="rId86" ref="A35"/>
    <hyperlink r:id="rId87" ref="C35"/>
    <hyperlink r:id="rId88" ref="E35"/>
    <hyperlink r:id="rId89" ref="A36"/>
    <hyperlink r:id="rId90" ref="C36"/>
    <hyperlink r:id="rId91" ref="A37"/>
    <hyperlink r:id="rId92" ref="C37"/>
    <hyperlink r:id="rId93" ref="E37"/>
    <hyperlink r:id="rId94" ref="A38"/>
    <hyperlink r:id="rId95" ref="C38"/>
    <hyperlink r:id="rId96" ref="E38"/>
    <hyperlink r:id="rId97" ref="A39"/>
    <hyperlink r:id="rId98" ref="C39"/>
    <hyperlink r:id="rId99" ref="E39"/>
    <hyperlink r:id="rId100" ref="A40"/>
    <hyperlink r:id="rId101" ref="C40"/>
    <hyperlink r:id="rId102" ref="A41"/>
    <hyperlink r:id="rId103" ref="C41"/>
    <hyperlink r:id="rId104" ref="E41"/>
    <hyperlink r:id="rId105" ref="A42"/>
    <hyperlink r:id="rId106" ref="C42"/>
    <hyperlink r:id="rId107" ref="E42"/>
    <hyperlink r:id="rId108" ref="A43"/>
    <hyperlink r:id="rId109" ref="C43"/>
    <hyperlink r:id="rId110" ref="A44"/>
    <hyperlink r:id="rId111" ref="C44"/>
    <hyperlink r:id="rId112" ref="E44"/>
    <hyperlink r:id="rId113" ref="A45"/>
    <hyperlink r:id="rId114" ref="C45"/>
    <hyperlink r:id="rId115" ref="E45"/>
    <hyperlink r:id="rId116" ref="A46"/>
    <hyperlink r:id="rId117" ref="C46"/>
    <hyperlink r:id="rId118" ref="E46"/>
    <hyperlink r:id="rId119" ref="A47"/>
    <hyperlink r:id="rId120" ref="C47"/>
    <hyperlink r:id="rId121" ref="E47"/>
    <hyperlink r:id="rId122" ref="A48"/>
    <hyperlink r:id="rId123" ref="C48"/>
    <hyperlink r:id="rId124" ref="E48"/>
    <hyperlink r:id="rId125" ref="A49"/>
    <hyperlink r:id="rId126" ref="C49"/>
    <hyperlink r:id="rId127" ref="A50"/>
    <hyperlink r:id="rId128" ref="C50"/>
    <hyperlink r:id="rId129" ref="E50"/>
    <hyperlink r:id="rId130" ref="A51"/>
    <hyperlink r:id="rId131" ref="C51"/>
    <hyperlink r:id="rId132" ref="E51"/>
    <hyperlink r:id="rId133" ref="A52"/>
    <hyperlink r:id="rId134" ref="C52"/>
    <hyperlink r:id="rId135" ref="E52"/>
    <hyperlink r:id="rId136" ref="A53"/>
    <hyperlink r:id="rId137" ref="C53"/>
    <hyperlink r:id="rId138" ref="E53"/>
    <hyperlink r:id="rId139" ref="A54"/>
    <hyperlink r:id="rId140" ref="C54"/>
    <hyperlink r:id="rId141" ref="E54"/>
    <hyperlink r:id="rId142" ref="A55"/>
    <hyperlink r:id="rId143" ref="C55"/>
    <hyperlink r:id="rId144" ref="E55"/>
    <hyperlink r:id="rId145" ref="A56"/>
    <hyperlink r:id="rId146" ref="C56"/>
    <hyperlink r:id="rId147" ref="E56"/>
    <hyperlink r:id="rId148" ref="A57"/>
    <hyperlink r:id="rId149" ref="C57"/>
    <hyperlink r:id="rId150" ref="E57"/>
    <hyperlink r:id="rId151" ref="A58"/>
    <hyperlink r:id="rId152" ref="C58"/>
    <hyperlink r:id="rId153" ref="E58"/>
    <hyperlink r:id="rId154" ref="A59"/>
    <hyperlink r:id="rId155" ref="C59"/>
    <hyperlink r:id="rId156" ref="E59"/>
    <hyperlink r:id="rId157" ref="A60"/>
    <hyperlink r:id="rId158" ref="C60"/>
    <hyperlink r:id="rId159" ref="E60"/>
    <hyperlink r:id="rId160" ref="A61"/>
    <hyperlink r:id="rId161" ref="C61"/>
    <hyperlink r:id="rId162" ref="E61"/>
    <hyperlink r:id="rId163" ref="A62"/>
    <hyperlink r:id="rId164" ref="C62"/>
    <hyperlink r:id="rId165" ref="E62"/>
    <hyperlink r:id="rId166" ref="A63"/>
    <hyperlink r:id="rId167" ref="C63"/>
    <hyperlink r:id="rId168" ref="A64"/>
    <hyperlink r:id="rId169" ref="C64"/>
    <hyperlink r:id="rId170" ref="A65"/>
    <hyperlink r:id="rId171" ref="C65"/>
    <hyperlink r:id="rId172" ref="E65"/>
    <hyperlink r:id="rId173" ref="A66"/>
    <hyperlink r:id="rId174" ref="C66"/>
    <hyperlink r:id="rId175" ref="A67"/>
    <hyperlink r:id="rId176" ref="C67"/>
    <hyperlink r:id="rId177" ref="A68"/>
    <hyperlink r:id="rId178" ref="C68"/>
    <hyperlink r:id="rId179" ref="A69"/>
    <hyperlink r:id="rId180" ref="C69"/>
    <hyperlink r:id="rId181" ref="E69"/>
    <hyperlink r:id="rId182" ref="A70"/>
    <hyperlink r:id="rId183" ref="C70"/>
    <hyperlink r:id="rId184" ref="E70"/>
    <hyperlink r:id="rId185" ref="A71"/>
    <hyperlink r:id="rId186" ref="C71"/>
    <hyperlink r:id="rId187" ref="E71"/>
    <hyperlink r:id="rId188" ref="A72"/>
    <hyperlink r:id="rId189" ref="C72"/>
    <hyperlink r:id="rId190" ref="E72"/>
    <hyperlink r:id="rId191" ref="A73"/>
    <hyperlink r:id="rId192" ref="C73"/>
    <hyperlink r:id="rId193" ref="E73"/>
    <hyperlink r:id="rId194" ref="A74"/>
    <hyperlink r:id="rId195" ref="C74"/>
    <hyperlink r:id="rId196" ref="E74"/>
    <hyperlink r:id="rId197" ref="A75"/>
    <hyperlink r:id="rId198" ref="C75"/>
    <hyperlink r:id="rId199" ref="E75"/>
    <hyperlink r:id="rId200" ref="A76"/>
    <hyperlink r:id="rId201" ref="C76"/>
    <hyperlink r:id="rId202" ref="E76"/>
    <hyperlink r:id="rId203" ref="A77"/>
    <hyperlink r:id="rId204" ref="C77"/>
    <hyperlink r:id="rId205" ref="E77"/>
    <hyperlink r:id="rId206" ref="A78"/>
    <hyperlink r:id="rId207" ref="C78"/>
    <hyperlink r:id="rId208" ref="E78"/>
    <hyperlink r:id="rId209" ref="A79"/>
    <hyperlink r:id="rId210" ref="C79"/>
    <hyperlink r:id="rId211" ref="E79"/>
    <hyperlink r:id="rId212" ref="A80"/>
    <hyperlink r:id="rId213" ref="C80"/>
    <hyperlink r:id="rId214" ref="E80"/>
    <hyperlink r:id="rId215" ref="A81"/>
    <hyperlink r:id="rId216" ref="C81"/>
    <hyperlink r:id="rId217" ref="E81"/>
    <hyperlink r:id="rId218" ref="A82"/>
    <hyperlink r:id="rId219" ref="C82"/>
    <hyperlink r:id="rId220" ref="E82"/>
    <hyperlink r:id="rId221" ref="A83"/>
    <hyperlink r:id="rId222" ref="C83"/>
    <hyperlink r:id="rId223" ref="E83"/>
    <hyperlink r:id="rId224" ref="A84"/>
    <hyperlink r:id="rId225" ref="C84"/>
    <hyperlink r:id="rId226" ref="E84"/>
    <hyperlink r:id="rId227" ref="A85"/>
    <hyperlink r:id="rId228" ref="C85"/>
    <hyperlink r:id="rId229" ref="E85"/>
    <hyperlink r:id="rId230" ref="A86"/>
    <hyperlink r:id="rId231" ref="C86"/>
    <hyperlink r:id="rId232" ref="E86"/>
    <hyperlink r:id="rId233" ref="A87"/>
    <hyperlink r:id="rId234" ref="C87"/>
    <hyperlink r:id="rId235" ref="A88"/>
    <hyperlink r:id="rId236" ref="C88"/>
    <hyperlink r:id="rId237" ref="A89"/>
    <hyperlink r:id="rId238" ref="C89"/>
    <hyperlink r:id="rId239" ref="E89"/>
    <hyperlink r:id="rId240" ref="A90"/>
    <hyperlink r:id="rId241" ref="C90"/>
    <hyperlink r:id="rId242" ref="A91"/>
    <hyperlink r:id="rId243" ref="C91"/>
    <hyperlink r:id="rId244" ref="E91"/>
    <hyperlink r:id="rId245" ref="A92"/>
    <hyperlink r:id="rId246" ref="C92"/>
    <hyperlink r:id="rId247" ref="E92"/>
    <hyperlink r:id="rId248" ref="A93"/>
    <hyperlink r:id="rId249" ref="C93"/>
    <hyperlink r:id="rId250" ref="A94"/>
    <hyperlink r:id="rId251" ref="C94"/>
    <hyperlink r:id="rId252" ref="E94"/>
    <hyperlink r:id="rId253" ref="A95"/>
    <hyperlink r:id="rId254" ref="C95"/>
    <hyperlink r:id="rId255" ref="E95"/>
    <hyperlink r:id="rId256" ref="A96"/>
    <hyperlink r:id="rId257" ref="C96"/>
    <hyperlink r:id="rId258" ref="E96"/>
    <hyperlink r:id="rId259" ref="A97"/>
    <hyperlink r:id="rId260" ref="C97"/>
    <hyperlink r:id="rId261" ref="A98"/>
    <hyperlink r:id="rId262" ref="C98"/>
    <hyperlink r:id="rId263" ref="E98"/>
    <hyperlink r:id="rId264" ref="A99"/>
    <hyperlink r:id="rId265" ref="C99"/>
    <hyperlink r:id="rId266" ref="E99"/>
    <hyperlink r:id="rId267" ref="A100"/>
    <hyperlink r:id="rId268" ref="C100"/>
    <hyperlink r:id="rId269" ref="E100"/>
    <hyperlink r:id="rId270" ref="A101"/>
    <hyperlink r:id="rId271" ref="C101"/>
    <hyperlink r:id="rId272" ref="E101"/>
    <hyperlink r:id="rId273" ref="A102"/>
    <hyperlink r:id="rId274" ref="C102"/>
    <hyperlink r:id="rId275" ref="E102"/>
    <hyperlink r:id="rId276" ref="A103"/>
    <hyperlink r:id="rId277" ref="C103"/>
    <hyperlink r:id="rId278" ref="E103"/>
    <hyperlink r:id="rId279" ref="A104"/>
    <hyperlink r:id="rId280" ref="C104"/>
    <hyperlink r:id="rId281" ref="E104"/>
    <hyperlink r:id="rId282" ref="A105"/>
    <hyperlink r:id="rId283" ref="C105"/>
    <hyperlink r:id="rId284" ref="E105"/>
    <hyperlink r:id="rId285" ref="A106"/>
    <hyperlink r:id="rId286" ref="C106"/>
    <hyperlink r:id="rId287" ref="E106"/>
    <hyperlink r:id="rId288" ref="A107"/>
    <hyperlink r:id="rId289" ref="C107"/>
    <hyperlink r:id="rId290" ref="E107"/>
    <hyperlink r:id="rId291" ref="A108"/>
    <hyperlink r:id="rId292" ref="C108"/>
    <hyperlink r:id="rId293" ref="A109"/>
    <hyperlink r:id="rId294" ref="C109"/>
    <hyperlink r:id="rId295" ref="A110"/>
    <hyperlink r:id="rId296" ref="C110"/>
    <hyperlink r:id="rId297" ref="A111"/>
    <hyperlink r:id="rId298" ref="C111"/>
    <hyperlink r:id="rId299" ref="A112"/>
    <hyperlink r:id="rId300" ref="C112"/>
    <hyperlink r:id="rId301" ref="E112"/>
    <hyperlink r:id="rId302" ref="A113"/>
    <hyperlink r:id="rId303" ref="C113"/>
    <hyperlink r:id="rId304" ref="E113"/>
    <hyperlink r:id="rId305" ref="A114"/>
    <hyperlink r:id="rId306" ref="C114"/>
    <hyperlink r:id="rId307" ref="E114"/>
    <hyperlink r:id="rId308" ref="A115"/>
    <hyperlink r:id="rId309" ref="C115"/>
    <hyperlink r:id="rId310" ref="E115"/>
    <hyperlink r:id="rId311" ref="A116"/>
    <hyperlink r:id="rId312" ref="C116"/>
    <hyperlink r:id="rId313" ref="E116"/>
    <hyperlink r:id="rId314" ref="A117"/>
    <hyperlink r:id="rId315" ref="C117"/>
    <hyperlink r:id="rId316" ref="E117"/>
    <hyperlink r:id="rId317" ref="A118"/>
    <hyperlink r:id="rId318" ref="C118"/>
    <hyperlink r:id="rId319" ref="A119"/>
    <hyperlink r:id="rId320" ref="C119"/>
    <hyperlink r:id="rId321" ref="E119"/>
    <hyperlink r:id="rId322" ref="A120"/>
    <hyperlink r:id="rId323" ref="C120"/>
    <hyperlink r:id="rId324" ref="E120"/>
    <hyperlink r:id="rId325" ref="A121"/>
    <hyperlink r:id="rId326" ref="C121"/>
    <hyperlink r:id="rId327" ref="E121"/>
    <hyperlink r:id="rId328" ref="A122"/>
    <hyperlink r:id="rId329" ref="C122"/>
    <hyperlink r:id="rId330" ref="A123"/>
    <hyperlink r:id="rId331" ref="C123"/>
    <hyperlink r:id="rId332" ref="E123"/>
    <hyperlink r:id="rId333" ref="A124"/>
    <hyperlink r:id="rId334" ref="C124"/>
    <hyperlink r:id="rId335" ref="A125"/>
    <hyperlink r:id="rId336" ref="C125"/>
    <hyperlink r:id="rId337" ref="A126"/>
    <hyperlink r:id="rId338" ref="C126"/>
    <hyperlink r:id="rId339" ref="E126"/>
    <hyperlink r:id="rId340" ref="A127"/>
    <hyperlink r:id="rId341" ref="C127"/>
    <hyperlink r:id="rId342" ref="A128"/>
    <hyperlink r:id="rId343" ref="C128"/>
    <hyperlink r:id="rId344" ref="A129"/>
    <hyperlink r:id="rId345" ref="C129"/>
    <hyperlink r:id="rId346" ref="A130"/>
    <hyperlink r:id="rId347" ref="C130"/>
    <hyperlink r:id="rId348" ref="A131"/>
    <hyperlink r:id="rId349" ref="C131"/>
    <hyperlink r:id="rId350" ref="E131"/>
    <hyperlink r:id="rId351" ref="A132"/>
    <hyperlink r:id="rId352" ref="C132"/>
    <hyperlink r:id="rId353" ref="E132"/>
    <hyperlink r:id="rId354" ref="A133"/>
    <hyperlink r:id="rId355" ref="C133"/>
    <hyperlink r:id="rId356" ref="E133"/>
    <hyperlink r:id="rId357" ref="A134"/>
    <hyperlink r:id="rId358" ref="C134"/>
    <hyperlink r:id="rId359" ref="A135"/>
    <hyperlink r:id="rId360" ref="C135"/>
    <hyperlink r:id="rId361" ref="E135"/>
    <hyperlink r:id="rId362" ref="A136"/>
    <hyperlink r:id="rId363" ref="C136"/>
    <hyperlink r:id="rId364" ref="E136"/>
    <hyperlink r:id="rId365" ref="A137"/>
    <hyperlink r:id="rId366" ref="C137"/>
    <hyperlink r:id="rId367" ref="E137"/>
    <hyperlink r:id="rId368" ref="A138"/>
    <hyperlink r:id="rId369" ref="C138"/>
    <hyperlink r:id="rId370" ref="E138"/>
    <hyperlink r:id="rId371" ref="A139"/>
    <hyperlink r:id="rId372" ref="C139"/>
    <hyperlink r:id="rId373" ref="E139"/>
    <hyperlink r:id="rId374" ref="A140"/>
    <hyperlink r:id="rId375" ref="C140"/>
    <hyperlink r:id="rId376" ref="A141"/>
    <hyperlink r:id="rId377" ref="C141"/>
    <hyperlink r:id="rId378" ref="A142"/>
    <hyperlink r:id="rId379" ref="C142"/>
    <hyperlink r:id="rId380" ref="A143"/>
    <hyperlink r:id="rId381" ref="C143"/>
    <hyperlink r:id="rId382" ref="A144"/>
    <hyperlink r:id="rId383" ref="C144"/>
    <hyperlink r:id="rId384" ref="A145"/>
    <hyperlink r:id="rId385" ref="C145"/>
    <hyperlink r:id="rId386" ref="A146"/>
    <hyperlink r:id="rId387" ref="C146"/>
    <hyperlink r:id="rId388" ref="E146"/>
    <hyperlink r:id="rId389" ref="A147"/>
    <hyperlink r:id="rId390" ref="C147"/>
    <hyperlink r:id="rId391" ref="E147"/>
    <hyperlink r:id="rId392" ref="A148"/>
    <hyperlink r:id="rId393" ref="C148"/>
    <hyperlink r:id="rId394" ref="E148"/>
    <hyperlink r:id="rId395" ref="A149"/>
    <hyperlink r:id="rId396" ref="C149"/>
    <hyperlink r:id="rId397" ref="E149"/>
    <hyperlink r:id="rId398" ref="A150"/>
    <hyperlink r:id="rId399" ref="C150"/>
    <hyperlink r:id="rId400" ref="A151"/>
    <hyperlink r:id="rId401" ref="C151"/>
    <hyperlink r:id="rId402" ref="E151"/>
    <hyperlink r:id="rId403" ref="A152"/>
    <hyperlink r:id="rId404" ref="C152"/>
    <hyperlink r:id="rId405" ref="E152"/>
    <hyperlink r:id="rId406" ref="A153"/>
    <hyperlink r:id="rId407" ref="C153"/>
    <hyperlink r:id="rId408" ref="E153"/>
    <hyperlink r:id="rId409" ref="A154"/>
    <hyperlink r:id="rId410" ref="C154"/>
    <hyperlink r:id="rId411" ref="E154"/>
    <hyperlink r:id="rId412" ref="A155"/>
    <hyperlink r:id="rId413" ref="C155"/>
    <hyperlink r:id="rId414" ref="E155"/>
    <hyperlink r:id="rId415" ref="A156"/>
    <hyperlink r:id="rId416" ref="C156"/>
    <hyperlink r:id="rId417" ref="E156"/>
    <hyperlink r:id="rId418" ref="A157"/>
    <hyperlink r:id="rId419" ref="C157"/>
    <hyperlink r:id="rId420" ref="E157"/>
    <hyperlink r:id="rId421" ref="A158"/>
    <hyperlink r:id="rId422" ref="C158"/>
    <hyperlink r:id="rId423" ref="E158"/>
    <hyperlink r:id="rId424" ref="A159"/>
    <hyperlink r:id="rId425" ref="C159"/>
    <hyperlink r:id="rId426" ref="E159"/>
    <hyperlink r:id="rId427" ref="A160"/>
    <hyperlink r:id="rId428" ref="C160"/>
    <hyperlink r:id="rId429" ref="E160"/>
    <hyperlink r:id="rId430" ref="A161"/>
    <hyperlink r:id="rId431" ref="C161"/>
    <hyperlink r:id="rId432" ref="A162"/>
    <hyperlink r:id="rId433" ref="C162"/>
    <hyperlink r:id="rId434" ref="E162"/>
    <hyperlink r:id="rId435" ref="A163"/>
    <hyperlink r:id="rId436" ref="C163"/>
    <hyperlink r:id="rId437" ref="E163"/>
    <hyperlink r:id="rId438" ref="A164"/>
    <hyperlink r:id="rId439" ref="C164"/>
    <hyperlink r:id="rId440" ref="E164"/>
    <hyperlink r:id="rId441" ref="A165"/>
    <hyperlink r:id="rId442" ref="C165"/>
    <hyperlink r:id="rId443" ref="E165"/>
    <hyperlink r:id="rId444" ref="A166"/>
    <hyperlink r:id="rId445" ref="C166"/>
    <hyperlink r:id="rId446" ref="A167"/>
    <hyperlink r:id="rId447" ref="C167"/>
    <hyperlink r:id="rId448" ref="E167"/>
    <hyperlink r:id="rId449" ref="A168"/>
    <hyperlink r:id="rId450" ref="C168"/>
    <hyperlink r:id="rId451" ref="E168"/>
    <hyperlink r:id="rId452" ref="A169"/>
    <hyperlink r:id="rId453" ref="C169"/>
    <hyperlink r:id="rId454" ref="E169"/>
    <hyperlink r:id="rId455" ref="A170"/>
    <hyperlink r:id="rId456" ref="C170"/>
    <hyperlink r:id="rId457" ref="E170"/>
    <hyperlink r:id="rId458" ref="A171"/>
    <hyperlink r:id="rId459" ref="C171"/>
    <hyperlink r:id="rId460" ref="E171"/>
    <hyperlink r:id="rId461" ref="A172"/>
    <hyperlink r:id="rId462" ref="C172"/>
    <hyperlink r:id="rId463" ref="A173"/>
    <hyperlink r:id="rId464" ref="C173"/>
    <hyperlink r:id="rId465" ref="A174"/>
    <hyperlink r:id="rId466" ref="C174"/>
    <hyperlink r:id="rId467" ref="E174"/>
    <hyperlink r:id="rId468" ref="A175"/>
    <hyperlink r:id="rId469" ref="C175"/>
    <hyperlink r:id="rId470" ref="E175"/>
    <hyperlink r:id="rId471" ref="A176"/>
    <hyperlink r:id="rId472" ref="C176"/>
    <hyperlink r:id="rId473" ref="A177"/>
    <hyperlink r:id="rId474" ref="C177"/>
    <hyperlink r:id="rId475" ref="A178"/>
    <hyperlink r:id="rId476" ref="C178"/>
    <hyperlink r:id="rId477" ref="A179"/>
    <hyperlink r:id="rId478" ref="C179"/>
    <hyperlink r:id="rId479" ref="E179"/>
    <hyperlink r:id="rId480" ref="A180"/>
    <hyperlink r:id="rId481" ref="C180"/>
    <hyperlink r:id="rId482" ref="A181"/>
    <hyperlink r:id="rId483" ref="C181"/>
    <hyperlink r:id="rId484" ref="E181"/>
    <hyperlink r:id="rId485" ref="A182"/>
    <hyperlink r:id="rId486" ref="C182"/>
    <hyperlink r:id="rId487" ref="E182"/>
    <hyperlink r:id="rId488" ref="A183"/>
    <hyperlink r:id="rId489" ref="C183"/>
    <hyperlink r:id="rId490" ref="E183"/>
    <hyperlink r:id="rId491" ref="A184"/>
    <hyperlink r:id="rId492" ref="C184"/>
    <hyperlink r:id="rId493" ref="E184"/>
    <hyperlink r:id="rId494" ref="A185"/>
    <hyperlink r:id="rId495" ref="C185"/>
    <hyperlink r:id="rId496" ref="E185"/>
    <hyperlink r:id="rId497" ref="A186"/>
    <hyperlink r:id="rId498" ref="C186"/>
    <hyperlink r:id="rId499" ref="A187"/>
    <hyperlink r:id="rId500" ref="C187"/>
    <hyperlink r:id="rId501" ref="E187"/>
    <hyperlink r:id="rId502" ref="A188"/>
    <hyperlink r:id="rId503" ref="C188"/>
    <hyperlink r:id="rId504" ref="A189"/>
    <hyperlink r:id="rId505" ref="C189"/>
    <hyperlink r:id="rId506" ref="A190"/>
    <hyperlink r:id="rId507" ref="C190"/>
    <hyperlink r:id="rId508" ref="A191"/>
    <hyperlink r:id="rId509" ref="C191"/>
    <hyperlink r:id="rId510" ref="E191"/>
    <hyperlink r:id="rId511" ref="A192"/>
    <hyperlink r:id="rId512" ref="C192"/>
    <hyperlink r:id="rId513" ref="A193"/>
    <hyperlink r:id="rId514" ref="C193"/>
    <hyperlink r:id="rId515" ref="E193"/>
    <hyperlink r:id="rId516" ref="A194"/>
    <hyperlink r:id="rId517" ref="C194"/>
    <hyperlink r:id="rId518" ref="E194"/>
    <hyperlink r:id="rId519" ref="A195"/>
    <hyperlink r:id="rId520" ref="C195"/>
    <hyperlink r:id="rId521" ref="E195"/>
    <hyperlink r:id="rId522" ref="A196"/>
    <hyperlink r:id="rId523" ref="C196"/>
    <hyperlink r:id="rId524" ref="E196"/>
    <hyperlink r:id="rId525" ref="A197"/>
    <hyperlink r:id="rId526" ref="C197"/>
    <hyperlink r:id="rId527" ref="E197"/>
    <hyperlink r:id="rId528" ref="A198"/>
    <hyperlink r:id="rId529" ref="C198"/>
    <hyperlink r:id="rId530" ref="A199"/>
    <hyperlink r:id="rId531" ref="C199"/>
    <hyperlink r:id="rId532" ref="A200"/>
    <hyperlink r:id="rId533" ref="C200"/>
    <hyperlink r:id="rId534" ref="A201"/>
    <hyperlink r:id="rId535" ref="C201"/>
    <hyperlink r:id="rId536" ref="E201"/>
    <hyperlink r:id="rId537" ref="A202"/>
    <hyperlink r:id="rId538" ref="C202"/>
    <hyperlink r:id="rId539" ref="A203"/>
    <hyperlink r:id="rId540" ref="C203"/>
    <hyperlink r:id="rId541" ref="A204"/>
    <hyperlink r:id="rId542" ref="C204"/>
    <hyperlink r:id="rId543" ref="A205"/>
    <hyperlink r:id="rId544" ref="C205"/>
    <hyperlink r:id="rId545" ref="A206"/>
    <hyperlink r:id="rId546" ref="C206"/>
    <hyperlink r:id="rId547" ref="A207"/>
    <hyperlink r:id="rId548" ref="C207"/>
    <hyperlink r:id="rId549" ref="A208"/>
    <hyperlink r:id="rId550" ref="C208"/>
    <hyperlink r:id="rId551" ref="A209"/>
    <hyperlink r:id="rId552" ref="C209"/>
    <hyperlink r:id="rId553" ref="A210"/>
    <hyperlink r:id="rId554" ref="C210"/>
    <hyperlink r:id="rId555" ref="A211"/>
    <hyperlink r:id="rId556" ref="C211"/>
    <hyperlink r:id="rId557" ref="A212"/>
    <hyperlink r:id="rId558" ref="C212"/>
    <hyperlink r:id="rId559" ref="A213"/>
    <hyperlink r:id="rId560" ref="C213"/>
    <hyperlink r:id="rId561" ref="A214"/>
    <hyperlink r:id="rId562" ref="C214"/>
    <hyperlink r:id="rId563" ref="A215"/>
    <hyperlink r:id="rId564" ref="C215"/>
    <hyperlink r:id="rId565" ref="A216"/>
    <hyperlink r:id="rId566" ref="C216"/>
    <hyperlink r:id="rId567" ref="A217"/>
    <hyperlink r:id="rId568" ref="C217"/>
    <hyperlink r:id="rId569" ref="A218"/>
    <hyperlink r:id="rId570" ref="C218"/>
    <hyperlink r:id="rId571" ref="A219"/>
    <hyperlink r:id="rId572" ref="C219"/>
    <hyperlink r:id="rId573" ref="A220"/>
    <hyperlink r:id="rId574" ref="C220"/>
    <hyperlink r:id="rId575" ref="A221"/>
    <hyperlink r:id="rId576" ref="C221"/>
    <hyperlink r:id="rId577" ref="A222"/>
    <hyperlink r:id="rId578" ref="C222"/>
    <hyperlink r:id="rId579" ref="A223"/>
    <hyperlink r:id="rId580" ref="C223"/>
    <hyperlink r:id="rId581" ref="A224"/>
    <hyperlink r:id="rId582" ref="C224"/>
    <hyperlink r:id="rId583" ref="A225"/>
    <hyperlink r:id="rId584" ref="C225"/>
    <hyperlink r:id="rId585" ref="A226"/>
    <hyperlink r:id="rId586" ref="C226"/>
    <hyperlink r:id="rId587" ref="A227"/>
    <hyperlink r:id="rId588" ref="C227"/>
    <hyperlink r:id="rId589" ref="A228"/>
    <hyperlink r:id="rId590" ref="C228"/>
    <hyperlink r:id="rId591" ref="A229"/>
    <hyperlink r:id="rId592" ref="C229"/>
    <hyperlink r:id="rId593" ref="A230"/>
    <hyperlink r:id="rId594" ref="C230"/>
    <hyperlink r:id="rId595" ref="A231"/>
    <hyperlink r:id="rId596" ref="C231"/>
    <hyperlink r:id="rId597" ref="A232"/>
    <hyperlink r:id="rId598" ref="C232"/>
    <hyperlink r:id="rId599" ref="A233"/>
    <hyperlink r:id="rId600" ref="C233"/>
    <hyperlink r:id="rId601" ref="A234"/>
    <hyperlink r:id="rId602" ref="C234"/>
    <hyperlink r:id="rId603" ref="A235"/>
    <hyperlink r:id="rId604" ref="C235"/>
    <hyperlink r:id="rId605" ref="A236"/>
    <hyperlink r:id="rId606" ref="C236"/>
    <hyperlink r:id="rId607" ref="A237"/>
    <hyperlink r:id="rId608" ref="C237"/>
    <hyperlink r:id="rId609" ref="E237"/>
    <hyperlink r:id="rId610" ref="A238"/>
    <hyperlink r:id="rId611" ref="C238"/>
    <hyperlink r:id="rId612" ref="A239"/>
    <hyperlink r:id="rId613" ref="C239"/>
    <hyperlink r:id="rId614" ref="A240"/>
    <hyperlink r:id="rId615" ref="C240"/>
    <hyperlink r:id="rId616" ref="A241"/>
    <hyperlink r:id="rId617" ref="C241"/>
    <hyperlink r:id="rId618" ref="A242"/>
    <hyperlink r:id="rId619" ref="C242"/>
    <hyperlink r:id="rId620" ref="E242"/>
    <hyperlink r:id="rId621" ref="A243"/>
    <hyperlink r:id="rId622" ref="C243"/>
    <hyperlink r:id="rId623" ref="A244"/>
    <hyperlink r:id="rId624" ref="C244"/>
    <hyperlink r:id="rId625" ref="A245"/>
    <hyperlink r:id="rId626" ref="C245"/>
    <hyperlink r:id="rId627" ref="A246"/>
    <hyperlink r:id="rId628" ref="C246"/>
    <hyperlink r:id="rId629" ref="A247"/>
    <hyperlink r:id="rId630" ref="C247"/>
    <hyperlink r:id="rId631" ref="A248"/>
    <hyperlink r:id="rId632" ref="C248"/>
    <hyperlink r:id="rId633" ref="E248"/>
    <hyperlink r:id="rId634" ref="A249"/>
    <hyperlink r:id="rId635" ref="C249"/>
    <hyperlink r:id="rId636" ref="A250"/>
    <hyperlink r:id="rId637" ref="C250"/>
    <hyperlink r:id="rId638" ref="E250"/>
    <hyperlink r:id="rId639" ref="A251"/>
    <hyperlink r:id="rId640" ref="C251"/>
    <hyperlink r:id="rId641" ref="A252"/>
    <hyperlink r:id="rId642" ref="C252"/>
    <hyperlink r:id="rId643" ref="A253"/>
    <hyperlink r:id="rId644" ref="C253"/>
    <hyperlink r:id="rId645" ref="A254"/>
    <hyperlink r:id="rId646" ref="C254"/>
    <hyperlink r:id="rId647" ref="A255"/>
    <hyperlink r:id="rId648" ref="C255"/>
    <hyperlink r:id="rId649" ref="A256"/>
    <hyperlink r:id="rId650" ref="C256"/>
    <hyperlink r:id="rId651" ref="A257"/>
    <hyperlink r:id="rId652" ref="C257"/>
    <hyperlink r:id="rId653" ref="A258"/>
    <hyperlink r:id="rId654" ref="C258"/>
    <hyperlink r:id="rId655" ref="A259"/>
    <hyperlink r:id="rId656" ref="C259"/>
    <hyperlink r:id="rId657" ref="A260"/>
    <hyperlink r:id="rId658" ref="C260"/>
    <hyperlink r:id="rId659" ref="E260"/>
    <hyperlink r:id="rId660" ref="A261"/>
    <hyperlink r:id="rId661" ref="C261"/>
    <hyperlink r:id="rId662" ref="A262"/>
    <hyperlink r:id="rId663" ref="C262"/>
    <hyperlink r:id="rId664" ref="E262"/>
    <hyperlink r:id="rId665" ref="A263"/>
    <hyperlink r:id="rId666" ref="C263"/>
    <hyperlink r:id="rId667" ref="A264"/>
    <hyperlink r:id="rId668" ref="C264"/>
    <hyperlink r:id="rId669" ref="A265"/>
    <hyperlink r:id="rId670" ref="C265"/>
    <hyperlink r:id="rId671" ref="E265"/>
    <hyperlink r:id="rId672" ref="A266"/>
    <hyperlink r:id="rId673" ref="C266"/>
    <hyperlink r:id="rId674" ref="A267"/>
    <hyperlink r:id="rId675" ref="C267"/>
    <hyperlink r:id="rId676" ref="A268"/>
    <hyperlink r:id="rId677" ref="C268"/>
    <hyperlink r:id="rId678" ref="A269"/>
    <hyperlink r:id="rId679" ref="C269"/>
    <hyperlink r:id="rId680" ref="A270"/>
    <hyperlink r:id="rId681" ref="C270"/>
    <hyperlink r:id="rId682" ref="A271"/>
    <hyperlink r:id="rId683" ref="C271"/>
    <hyperlink r:id="rId684" ref="A272"/>
    <hyperlink r:id="rId685" ref="C272"/>
    <hyperlink r:id="rId686" ref="A273"/>
    <hyperlink r:id="rId687" ref="C273"/>
    <hyperlink r:id="rId688" ref="A274"/>
    <hyperlink r:id="rId689" ref="C274"/>
    <hyperlink r:id="rId690" ref="A275"/>
    <hyperlink r:id="rId691" ref="C275"/>
    <hyperlink r:id="rId692" ref="A276"/>
    <hyperlink r:id="rId693" ref="C276"/>
    <hyperlink r:id="rId694" ref="A277"/>
    <hyperlink r:id="rId695" ref="C277"/>
    <hyperlink r:id="rId696" ref="A278"/>
    <hyperlink r:id="rId697" ref="C278"/>
    <hyperlink r:id="rId698" ref="A279"/>
    <hyperlink r:id="rId699" ref="C279"/>
    <hyperlink r:id="rId700" ref="A280"/>
    <hyperlink r:id="rId701" ref="C280"/>
    <hyperlink r:id="rId702" ref="A281"/>
    <hyperlink r:id="rId703" ref="C281"/>
    <hyperlink r:id="rId704" ref="A282"/>
    <hyperlink r:id="rId705" ref="C282"/>
    <hyperlink r:id="rId706" ref="A283"/>
    <hyperlink r:id="rId707" ref="C283"/>
    <hyperlink r:id="rId708" ref="A284"/>
    <hyperlink r:id="rId709" ref="C284"/>
    <hyperlink r:id="rId710" ref="A285"/>
    <hyperlink r:id="rId711" ref="C285"/>
    <hyperlink r:id="rId712" ref="A286"/>
    <hyperlink r:id="rId713" ref="C286"/>
    <hyperlink r:id="rId714" ref="A287"/>
    <hyperlink r:id="rId715" ref="C287"/>
    <hyperlink r:id="rId716" ref="A288"/>
    <hyperlink r:id="rId717" ref="C288"/>
    <hyperlink r:id="rId718" ref="A289"/>
    <hyperlink r:id="rId719" ref="C289"/>
    <hyperlink r:id="rId720" ref="A290"/>
    <hyperlink r:id="rId721" ref="C290"/>
    <hyperlink r:id="rId722" ref="A291"/>
    <hyperlink r:id="rId723" ref="C291"/>
    <hyperlink r:id="rId724" ref="A292"/>
    <hyperlink r:id="rId725" ref="C292"/>
    <hyperlink r:id="rId726" ref="A293"/>
    <hyperlink r:id="rId727" ref="C293"/>
    <hyperlink r:id="rId728" ref="A294"/>
    <hyperlink r:id="rId729" ref="C294"/>
    <hyperlink r:id="rId730" ref="A295"/>
    <hyperlink r:id="rId731" ref="C295"/>
    <hyperlink r:id="rId732" ref="A296"/>
    <hyperlink r:id="rId733" ref="C296"/>
    <hyperlink r:id="rId734" ref="E296"/>
    <hyperlink r:id="rId735" ref="A297"/>
    <hyperlink r:id="rId736" ref="C297"/>
    <hyperlink r:id="rId737" ref="A298"/>
    <hyperlink r:id="rId738" ref="C298"/>
    <hyperlink r:id="rId739" ref="A299"/>
    <hyperlink r:id="rId740" ref="C299"/>
    <hyperlink r:id="rId741" ref="E299"/>
    <hyperlink r:id="rId742" ref="A300"/>
    <hyperlink r:id="rId743" ref="C300"/>
    <hyperlink r:id="rId744" ref="A301"/>
    <hyperlink r:id="rId745" ref="C301"/>
    <hyperlink r:id="rId746" ref="E301"/>
    <hyperlink r:id="rId747" ref="A302"/>
    <hyperlink r:id="rId748" ref="C302"/>
    <hyperlink r:id="rId749" ref="E302"/>
    <hyperlink r:id="rId750" ref="A303"/>
    <hyperlink r:id="rId751" ref="C303"/>
    <hyperlink r:id="rId752" ref="E303"/>
    <hyperlink r:id="rId753" ref="A304"/>
    <hyperlink r:id="rId754" ref="C304"/>
    <hyperlink r:id="rId755" ref="E304"/>
    <hyperlink r:id="rId756" ref="A305"/>
    <hyperlink r:id="rId757" ref="C305"/>
    <hyperlink r:id="rId758" ref="E305"/>
    <hyperlink r:id="rId759" ref="A306"/>
    <hyperlink r:id="rId760" ref="C306"/>
    <hyperlink r:id="rId761" ref="E306"/>
    <hyperlink r:id="rId762" ref="A307"/>
    <hyperlink r:id="rId763" ref="C307"/>
    <hyperlink r:id="rId764" ref="E307"/>
    <hyperlink r:id="rId765" ref="A308"/>
    <hyperlink r:id="rId766" ref="C308"/>
    <hyperlink r:id="rId767" ref="A309"/>
    <hyperlink r:id="rId768" ref="C309"/>
    <hyperlink r:id="rId769" ref="E309"/>
    <hyperlink r:id="rId770" ref="A310"/>
    <hyperlink r:id="rId771" ref="C310"/>
    <hyperlink r:id="rId772" ref="A311"/>
    <hyperlink r:id="rId773" ref="C311"/>
    <hyperlink r:id="rId774" ref="E311"/>
    <hyperlink r:id="rId775" ref="A312"/>
    <hyperlink r:id="rId776" ref="C312"/>
    <hyperlink r:id="rId777" ref="A313"/>
    <hyperlink r:id="rId778" ref="C313"/>
    <hyperlink r:id="rId779" ref="A314"/>
    <hyperlink r:id="rId780" ref="C314"/>
    <hyperlink r:id="rId781" ref="A315"/>
    <hyperlink r:id="rId782" ref="C315"/>
    <hyperlink r:id="rId783" ref="A316"/>
    <hyperlink r:id="rId784" ref="C316"/>
    <hyperlink r:id="rId785" ref="A317"/>
    <hyperlink r:id="rId786" ref="C317"/>
    <hyperlink r:id="rId787" ref="A318"/>
    <hyperlink r:id="rId788" ref="C318"/>
    <hyperlink r:id="rId789" ref="A319"/>
    <hyperlink r:id="rId790" ref="C319"/>
    <hyperlink r:id="rId791" ref="E319"/>
    <hyperlink r:id="rId792" ref="A320"/>
    <hyperlink r:id="rId793" ref="C320"/>
    <hyperlink r:id="rId794" ref="E320"/>
    <hyperlink r:id="rId795" ref="A321"/>
    <hyperlink r:id="rId796" ref="C321"/>
    <hyperlink r:id="rId797" ref="E321"/>
    <hyperlink r:id="rId798" ref="A322"/>
    <hyperlink r:id="rId799" ref="C322"/>
    <hyperlink r:id="rId800" ref="E322"/>
    <hyperlink r:id="rId801" ref="A323"/>
    <hyperlink r:id="rId802" ref="C323"/>
    <hyperlink r:id="rId803" ref="E323"/>
    <hyperlink r:id="rId804" ref="A324"/>
    <hyperlink r:id="rId805" ref="C324"/>
    <hyperlink r:id="rId806" ref="A325"/>
    <hyperlink r:id="rId807" ref="C325"/>
    <hyperlink r:id="rId808" ref="E325"/>
    <hyperlink r:id="rId809" ref="A326"/>
    <hyperlink r:id="rId810" ref="C326"/>
    <hyperlink r:id="rId811" ref="A327"/>
    <hyperlink r:id="rId812" ref="C327"/>
    <hyperlink r:id="rId813" ref="A328"/>
    <hyperlink r:id="rId814" ref="C328"/>
    <hyperlink r:id="rId815" ref="E328"/>
    <hyperlink r:id="rId816" ref="A329"/>
    <hyperlink r:id="rId817" ref="C329"/>
    <hyperlink r:id="rId818" ref="E329"/>
    <hyperlink r:id="rId819" ref="A330"/>
    <hyperlink r:id="rId820" ref="C330"/>
    <hyperlink r:id="rId821" ref="E330"/>
    <hyperlink r:id="rId822" ref="A331"/>
    <hyperlink r:id="rId823" ref="C331"/>
    <hyperlink r:id="rId824" ref="E331"/>
    <hyperlink r:id="rId825" ref="A332"/>
    <hyperlink r:id="rId826" ref="C332"/>
    <hyperlink r:id="rId827" ref="E332"/>
    <hyperlink r:id="rId828" ref="A333"/>
    <hyperlink r:id="rId829" ref="C333"/>
    <hyperlink r:id="rId830" ref="E333"/>
    <hyperlink r:id="rId831" ref="A334"/>
    <hyperlink r:id="rId832" ref="C334"/>
    <hyperlink r:id="rId833" ref="E334"/>
    <hyperlink r:id="rId834" ref="A335"/>
    <hyperlink r:id="rId835" ref="C335"/>
    <hyperlink r:id="rId836" ref="A336"/>
    <hyperlink r:id="rId837" ref="C336"/>
    <hyperlink r:id="rId838" ref="A337"/>
    <hyperlink r:id="rId839" ref="C337"/>
    <hyperlink r:id="rId840" ref="A338"/>
    <hyperlink r:id="rId841" ref="C338"/>
    <hyperlink r:id="rId842" ref="E338"/>
    <hyperlink r:id="rId843" ref="A339"/>
    <hyperlink r:id="rId844" ref="C339"/>
    <hyperlink r:id="rId845" ref="E339"/>
    <hyperlink r:id="rId846" ref="A340"/>
    <hyperlink r:id="rId847" ref="C340"/>
    <hyperlink r:id="rId848" ref="E340"/>
    <hyperlink r:id="rId849" ref="A341"/>
    <hyperlink r:id="rId850" ref="C341"/>
    <hyperlink r:id="rId851" ref="E341"/>
    <hyperlink r:id="rId852" ref="A342"/>
    <hyperlink r:id="rId853" ref="C342"/>
    <hyperlink r:id="rId854" ref="E342"/>
    <hyperlink r:id="rId855" ref="A343"/>
    <hyperlink r:id="rId856" ref="C343"/>
    <hyperlink r:id="rId857" ref="E343"/>
    <hyperlink r:id="rId858" ref="A344"/>
    <hyperlink r:id="rId859" ref="C344"/>
    <hyperlink r:id="rId860" ref="E344"/>
    <hyperlink r:id="rId861" ref="A345"/>
    <hyperlink r:id="rId862" ref="C345"/>
    <hyperlink r:id="rId863" ref="E345"/>
    <hyperlink r:id="rId864" ref="A346"/>
    <hyperlink r:id="rId865" ref="C346"/>
    <hyperlink r:id="rId866" ref="E346"/>
    <hyperlink r:id="rId867" ref="A347"/>
    <hyperlink r:id="rId868" ref="C347"/>
    <hyperlink r:id="rId869" ref="A348"/>
    <hyperlink r:id="rId870" ref="C348"/>
    <hyperlink r:id="rId871" ref="A349"/>
    <hyperlink r:id="rId872" ref="C349"/>
    <hyperlink r:id="rId873" ref="A350"/>
    <hyperlink r:id="rId874" ref="C350"/>
    <hyperlink r:id="rId875" ref="E350"/>
    <hyperlink r:id="rId876" ref="A351"/>
    <hyperlink r:id="rId877" ref="C351"/>
    <hyperlink r:id="rId878" ref="E351"/>
    <hyperlink r:id="rId879" ref="A352"/>
    <hyperlink r:id="rId880" ref="C352"/>
    <hyperlink r:id="rId881" ref="A353"/>
    <hyperlink r:id="rId882" ref="C353"/>
    <hyperlink r:id="rId883" ref="E353"/>
    <hyperlink r:id="rId884" ref="A354"/>
    <hyperlink r:id="rId885" ref="C354"/>
    <hyperlink r:id="rId886" ref="A355"/>
    <hyperlink r:id="rId887" ref="C355"/>
    <hyperlink r:id="rId888" ref="A356"/>
    <hyperlink r:id="rId889" ref="C356"/>
    <hyperlink r:id="rId890" ref="E356"/>
    <hyperlink r:id="rId891" ref="A357"/>
    <hyperlink r:id="rId892" ref="C357"/>
    <hyperlink r:id="rId893" ref="E357"/>
    <hyperlink r:id="rId894" ref="A358"/>
    <hyperlink r:id="rId895" ref="C358"/>
    <hyperlink r:id="rId896" ref="E358"/>
    <hyperlink r:id="rId897" ref="A359"/>
    <hyperlink r:id="rId898" ref="C359"/>
    <hyperlink r:id="rId899" ref="E359"/>
    <hyperlink r:id="rId900" ref="A360"/>
    <hyperlink r:id="rId901" ref="C360"/>
    <hyperlink r:id="rId902" ref="E360"/>
    <hyperlink r:id="rId903" ref="A361"/>
    <hyperlink r:id="rId904" ref="C361"/>
    <hyperlink r:id="rId905" ref="A362"/>
    <hyperlink r:id="rId906" ref="C362"/>
    <hyperlink r:id="rId907" ref="E362"/>
    <hyperlink r:id="rId908" ref="A363"/>
    <hyperlink r:id="rId909" ref="C363"/>
    <hyperlink r:id="rId910" ref="E363"/>
    <hyperlink r:id="rId911" ref="A364"/>
    <hyperlink r:id="rId912" ref="C364"/>
    <hyperlink r:id="rId913" ref="E364"/>
    <hyperlink r:id="rId914" ref="A365"/>
    <hyperlink r:id="rId915" ref="C365"/>
    <hyperlink r:id="rId916" ref="E365"/>
    <hyperlink r:id="rId917" ref="A366"/>
    <hyperlink r:id="rId918" ref="C366"/>
    <hyperlink r:id="rId919" ref="E366"/>
    <hyperlink r:id="rId920" ref="A367"/>
    <hyperlink r:id="rId921" ref="C367"/>
    <hyperlink r:id="rId922" ref="E367"/>
    <hyperlink r:id="rId923" ref="A368"/>
    <hyperlink r:id="rId924" ref="C368"/>
    <hyperlink r:id="rId925" ref="E368"/>
    <hyperlink r:id="rId926" ref="A369"/>
    <hyperlink r:id="rId927" ref="C369"/>
    <hyperlink r:id="rId928" ref="A370"/>
    <hyperlink r:id="rId929" ref="C370"/>
    <hyperlink r:id="rId930" ref="A371"/>
    <hyperlink r:id="rId931" ref="C371"/>
    <hyperlink r:id="rId932" ref="A372"/>
    <hyperlink r:id="rId933" ref="C372"/>
    <hyperlink r:id="rId934" ref="E372"/>
    <hyperlink r:id="rId935" ref="A373"/>
    <hyperlink r:id="rId936" ref="C373"/>
    <hyperlink r:id="rId937" ref="E373"/>
    <hyperlink r:id="rId938" ref="A374"/>
    <hyperlink r:id="rId939" ref="C374"/>
    <hyperlink r:id="rId940" ref="A375"/>
    <hyperlink r:id="rId941" ref="C375"/>
    <hyperlink r:id="rId942" ref="E375"/>
    <hyperlink r:id="rId943" ref="A376"/>
    <hyperlink r:id="rId944" ref="C376"/>
    <hyperlink r:id="rId945" ref="A377"/>
    <hyperlink r:id="rId946" ref="C377"/>
    <hyperlink r:id="rId947" ref="E377"/>
    <hyperlink r:id="rId948" ref="A378"/>
    <hyperlink r:id="rId949" ref="C378"/>
    <hyperlink r:id="rId950" ref="A379"/>
    <hyperlink r:id="rId951" ref="C379"/>
    <hyperlink r:id="rId952" ref="A380"/>
    <hyperlink r:id="rId953" ref="C380"/>
    <hyperlink r:id="rId954" ref="E380"/>
    <hyperlink r:id="rId955" ref="A381"/>
    <hyperlink r:id="rId956" ref="C381"/>
    <hyperlink r:id="rId957" ref="A382"/>
    <hyperlink r:id="rId958" ref="C382"/>
    <hyperlink r:id="rId959" ref="E382"/>
    <hyperlink r:id="rId960" ref="A383"/>
    <hyperlink r:id="rId961" ref="C383"/>
    <hyperlink r:id="rId962" ref="E383"/>
    <hyperlink r:id="rId963" ref="A384"/>
    <hyperlink r:id="rId964" ref="C384"/>
    <hyperlink r:id="rId965" ref="A385"/>
    <hyperlink r:id="rId966" ref="C385"/>
    <hyperlink r:id="rId967" ref="E385"/>
    <hyperlink r:id="rId968" ref="A386"/>
    <hyperlink r:id="rId969" ref="C386"/>
    <hyperlink r:id="rId970" ref="E386"/>
    <hyperlink r:id="rId971" ref="A387"/>
    <hyperlink r:id="rId972" ref="C387"/>
    <hyperlink r:id="rId973" ref="E387"/>
    <hyperlink r:id="rId974" ref="A388"/>
    <hyperlink r:id="rId975" ref="C388"/>
    <hyperlink r:id="rId976" ref="E388"/>
    <hyperlink r:id="rId977" ref="A389"/>
    <hyperlink r:id="rId978" ref="C389"/>
    <hyperlink r:id="rId979" ref="E389"/>
    <hyperlink r:id="rId980" ref="A390"/>
    <hyperlink r:id="rId981" ref="C390"/>
    <hyperlink r:id="rId982" ref="A391"/>
    <hyperlink r:id="rId983" ref="C391"/>
    <hyperlink r:id="rId984" ref="E391"/>
    <hyperlink r:id="rId985" ref="A392"/>
    <hyperlink r:id="rId986" ref="C392"/>
    <hyperlink r:id="rId987" ref="A393"/>
    <hyperlink r:id="rId988" ref="C393"/>
    <hyperlink r:id="rId989" ref="A394"/>
    <hyperlink r:id="rId990" ref="C394"/>
    <hyperlink r:id="rId991" ref="A395"/>
    <hyperlink r:id="rId992" ref="C395"/>
    <hyperlink r:id="rId993" ref="A396"/>
    <hyperlink r:id="rId994" ref="C396"/>
    <hyperlink r:id="rId995" ref="A397"/>
    <hyperlink r:id="rId996" ref="C397"/>
    <hyperlink r:id="rId997" ref="E397"/>
    <hyperlink r:id="rId998" ref="A398"/>
    <hyperlink r:id="rId999" ref="C398"/>
    <hyperlink r:id="rId1000" ref="A399"/>
    <hyperlink r:id="rId1001" ref="C399"/>
    <hyperlink r:id="rId1002" ref="A400"/>
    <hyperlink r:id="rId1003" ref="C400"/>
    <hyperlink r:id="rId1004" ref="A401"/>
    <hyperlink r:id="rId1005" ref="C401"/>
    <hyperlink r:id="rId1006" ref="A402"/>
    <hyperlink r:id="rId1007" ref="C402"/>
    <hyperlink r:id="rId1008" ref="A403"/>
    <hyperlink r:id="rId1009" ref="C403"/>
    <hyperlink r:id="rId1010" ref="A404"/>
    <hyperlink r:id="rId1011" ref="C404"/>
    <hyperlink r:id="rId1012" ref="A405"/>
    <hyperlink r:id="rId1013" ref="C405"/>
    <hyperlink r:id="rId1014" ref="A406"/>
    <hyperlink r:id="rId1015" ref="C406"/>
    <hyperlink r:id="rId1016" ref="A407"/>
    <hyperlink r:id="rId1017" ref="C407"/>
    <hyperlink r:id="rId1018" ref="A408"/>
    <hyperlink r:id="rId1019" ref="C408"/>
    <hyperlink r:id="rId1020" ref="A409"/>
    <hyperlink r:id="rId1021" ref="C409"/>
    <hyperlink r:id="rId1022" ref="A410"/>
    <hyperlink r:id="rId1023" ref="C410"/>
    <hyperlink r:id="rId1024" ref="A411"/>
    <hyperlink r:id="rId1025" ref="C411"/>
    <hyperlink r:id="rId1026" ref="A412"/>
    <hyperlink r:id="rId1027" ref="C412"/>
    <hyperlink r:id="rId1028" ref="A413"/>
    <hyperlink r:id="rId1029" ref="C413"/>
    <hyperlink r:id="rId1030" ref="A414"/>
    <hyperlink r:id="rId1031" ref="C414"/>
    <hyperlink r:id="rId1032" ref="A415"/>
    <hyperlink r:id="rId1033" ref="C415"/>
    <hyperlink r:id="rId1034" ref="A416"/>
    <hyperlink r:id="rId1035" ref="C416"/>
    <hyperlink r:id="rId1036" ref="A417"/>
    <hyperlink r:id="rId1037" ref="C417"/>
    <hyperlink r:id="rId1038" ref="A418"/>
    <hyperlink r:id="rId1039" ref="C418"/>
    <hyperlink r:id="rId1040" ref="A419"/>
    <hyperlink r:id="rId1041" ref="C419"/>
    <hyperlink r:id="rId1042" ref="A420"/>
    <hyperlink r:id="rId1043" ref="C420"/>
    <hyperlink r:id="rId1044" ref="A421"/>
    <hyperlink r:id="rId1045" ref="C421"/>
    <hyperlink r:id="rId1046" ref="A422"/>
    <hyperlink r:id="rId1047" ref="C422"/>
    <hyperlink r:id="rId1048" ref="A423"/>
    <hyperlink r:id="rId1049" ref="C423"/>
    <hyperlink r:id="rId1050" ref="A424"/>
    <hyperlink r:id="rId1051" ref="C424"/>
    <hyperlink r:id="rId1052" ref="A425"/>
    <hyperlink r:id="rId1053" ref="C425"/>
    <hyperlink r:id="rId1054" ref="A426"/>
    <hyperlink r:id="rId1055" ref="C426"/>
    <hyperlink r:id="rId1056" ref="A427"/>
    <hyperlink r:id="rId1057" ref="C427"/>
    <hyperlink r:id="rId1058" ref="A428"/>
    <hyperlink r:id="rId1059" ref="C428"/>
    <hyperlink r:id="rId1060" ref="A429"/>
    <hyperlink r:id="rId1061" ref="C429"/>
    <hyperlink r:id="rId1062" ref="A430"/>
    <hyperlink r:id="rId1063" ref="C430"/>
    <hyperlink r:id="rId1064" ref="A431"/>
    <hyperlink r:id="rId1065" ref="C431"/>
    <hyperlink r:id="rId1066" ref="A432"/>
    <hyperlink r:id="rId1067" ref="C432"/>
    <hyperlink r:id="rId1068" ref="A433"/>
    <hyperlink r:id="rId1069" ref="C433"/>
    <hyperlink r:id="rId1070" ref="A434"/>
    <hyperlink r:id="rId1071" ref="C434"/>
    <hyperlink r:id="rId1072" ref="A435"/>
    <hyperlink r:id="rId1073" ref="C435"/>
    <hyperlink r:id="rId1074" ref="A436"/>
    <hyperlink r:id="rId1075" ref="C436"/>
    <hyperlink r:id="rId1076" ref="A437"/>
    <hyperlink r:id="rId1077" ref="C437"/>
    <hyperlink r:id="rId1078" ref="A438"/>
    <hyperlink r:id="rId1079" ref="C438"/>
    <hyperlink r:id="rId1080" ref="A439"/>
    <hyperlink r:id="rId1081" ref="C439"/>
    <hyperlink r:id="rId1082" ref="E439"/>
    <hyperlink r:id="rId1083" ref="A440"/>
    <hyperlink r:id="rId1084" ref="C440"/>
    <hyperlink r:id="rId1085" ref="A441"/>
    <hyperlink r:id="rId1086" ref="C441"/>
    <hyperlink r:id="rId1087" ref="A442"/>
    <hyperlink r:id="rId1088" ref="C442"/>
    <hyperlink r:id="rId1089" ref="A443"/>
    <hyperlink r:id="rId1090" ref="C443"/>
    <hyperlink r:id="rId1091" ref="A444"/>
    <hyperlink r:id="rId1092" ref="C444"/>
    <hyperlink r:id="rId1093" ref="A445"/>
    <hyperlink r:id="rId1094" ref="C445"/>
    <hyperlink r:id="rId1095" ref="A446"/>
    <hyperlink r:id="rId1096" ref="C446"/>
    <hyperlink r:id="rId1097" ref="A447"/>
    <hyperlink r:id="rId1098" ref="C447"/>
    <hyperlink r:id="rId1099" ref="A448"/>
    <hyperlink r:id="rId1100" ref="C448"/>
    <hyperlink r:id="rId1101" ref="A449"/>
    <hyperlink r:id="rId1102" ref="C449"/>
    <hyperlink r:id="rId1103" ref="A450"/>
    <hyperlink r:id="rId1104" ref="C450"/>
    <hyperlink r:id="rId1105" ref="A451"/>
    <hyperlink r:id="rId1106" ref="C451"/>
    <hyperlink r:id="rId1107" ref="A452"/>
    <hyperlink r:id="rId1108" ref="C452"/>
    <hyperlink r:id="rId1109" ref="A453"/>
    <hyperlink r:id="rId1110" ref="C453"/>
    <hyperlink r:id="rId1111" ref="A454"/>
    <hyperlink r:id="rId1112" ref="C454"/>
    <hyperlink r:id="rId1113" ref="A455"/>
    <hyperlink r:id="rId1114" ref="A456"/>
    <hyperlink r:id="rId1115" ref="C456"/>
    <hyperlink r:id="rId1116" ref="E456"/>
    <hyperlink r:id="rId1117" ref="A457"/>
    <hyperlink r:id="rId1118" ref="C457"/>
    <hyperlink r:id="rId1119" ref="A458"/>
    <hyperlink r:id="rId1120" ref="C458"/>
    <hyperlink r:id="rId1121" ref="A459"/>
    <hyperlink r:id="rId1122" ref="C459"/>
    <hyperlink r:id="rId1123" ref="A460"/>
    <hyperlink r:id="rId1124" ref="C460"/>
    <hyperlink r:id="rId1125" ref="A461"/>
    <hyperlink r:id="rId1126" ref="C461"/>
    <hyperlink r:id="rId1127" ref="A462"/>
    <hyperlink r:id="rId1128" ref="C462"/>
    <hyperlink r:id="rId1129" ref="A463"/>
    <hyperlink r:id="rId1130" ref="C463"/>
    <hyperlink r:id="rId1131" ref="A464"/>
    <hyperlink r:id="rId1132" ref="C464"/>
    <hyperlink r:id="rId1133" ref="A465"/>
    <hyperlink r:id="rId1134" ref="C465"/>
    <hyperlink r:id="rId1135" ref="A466"/>
    <hyperlink r:id="rId1136" ref="C466"/>
    <hyperlink r:id="rId1137" ref="A467"/>
    <hyperlink r:id="rId1138" ref="C467"/>
    <hyperlink r:id="rId1139" ref="A468"/>
    <hyperlink r:id="rId1140" ref="C468"/>
    <hyperlink r:id="rId1141" ref="A469"/>
    <hyperlink r:id="rId1142" ref="C469"/>
    <hyperlink r:id="rId1143" ref="A470"/>
    <hyperlink r:id="rId1144" ref="C470"/>
    <hyperlink r:id="rId1145" ref="A471"/>
    <hyperlink r:id="rId1146" ref="C471"/>
    <hyperlink r:id="rId1147" ref="A472"/>
    <hyperlink r:id="rId1148" ref="C472"/>
    <hyperlink r:id="rId1149" ref="A473"/>
    <hyperlink r:id="rId1150" ref="C473"/>
    <hyperlink r:id="rId1151" ref="A474"/>
    <hyperlink r:id="rId1152" ref="C474"/>
    <hyperlink r:id="rId1153" ref="A475"/>
    <hyperlink r:id="rId1154" ref="C475"/>
    <hyperlink r:id="rId1155" ref="A476"/>
    <hyperlink r:id="rId1156" ref="C476"/>
    <hyperlink r:id="rId1157" ref="A477"/>
    <hyperlink r:id="rId1158" ref="C477"/>
    <hyperlink r:id="rId1159" ref="A478"/>
    <hyperlink r:id="rId1160" ref="C478"/>
    <hyperlink r:id="rId1161" ref="A479"/>
    <hyperlink r:id="rId1162" ref="C479"/>
    <hyperlink r:id="rId1163" ref="A480"/>
    <hyperlink r:id="rId1164" ref="C480"/>
    <hyperlink r:id="rId1165" ref="A481"/>
    <hyperlink r:id="rId1166" ref="C481"/>
    <hyperlink r:id="rId1167" ref="A482"/>
    <hyperlink r:id="rId1168" ref="C482"/>
    <hyperlink r:id="rId1169" ref="A483"/>
    <hyperlink r:id="rId1170" ref="C483"/>
    <hyperlink r:id="rId1171" ref="A484"/>
    <hyperlink r:id="rId1172" ref="C484"/>
    <hyperlink r:id="rId1173" ref="A485"/>
    <hyperlink r:id="rId1174" ref="C485"/>
    <hyperlink r:id="rId1175" ref="A486"/>
    <hyperlink r:id="rId1176" ref="C486"/>
    <hyperlink r:id="rId1177" ref="A487"/>
    <hyperlink r:id="rId1178" ref="C487"/>
    <hyperlink r:id="rId1179" ref="A488"/>
    <hyperlink r:id="rId1180" ref="C488"/>
    <hyperlink r:id="rId1181" ref="A489"/>
    <hyperlink r:id="rId1182" ref="C489"/>
    <hyperlink r:id="rId1183" ref="A490"/>
    <hyperlink r:id="rId1184" ref="C490"/>
    <hyperlink r:id="rId1185" ref="E490"/>
    <hyperlink r:id="rId1186" ref="A491"/>
    <hyperlink r:id="rId1187" ref="C491"/>
    <hyperlink r:id="rId1188" ref="A492"/>
    <hyperlink r:id="rId1189" ref="C492"/>
    <hyperlink r:id="rId1190" ref="E492"/>
    <hyperlink r:id="rId1191" ref="A493"/>
    <hyperlink r:id="rId1192" ref="C493"/>
    <hyperlink r:id="rId1193" ref="A494"/>
    <hyperlink r:id="rId1194" ref="C494"/>
    <hyperlink r:id="rId1195" ref="A495"/>
    <hyperlink r:id="rId1196" ref="C495"/>
    <hyperlink r:id="rId1197" ref="A496"/>
    <hyperlink r:id="rId1198" ref="C496"/>
    <hyperlink r:id="rId1199" ref="A497"/>
    <hyperlink r:id="rId1200" ref="C497"/>
    <hyperlink r:id="rId1201" ref="A498"/>
    <hyperlink r:id="rId1202" ref="C498"/>
    <hyperlink r:id="rId1203" ref="E498"/>
    <hyperlink r:id="rId1204" ref="A499"/>
    <hyperlink r:id="rId1205" ref="C499"/>
    <hyperlink r:id="rId1206" ref="A500"/>
    <hyperlink r:id="rId1207" ref="C500"/>
    <hyperlink r:id="rId1208" ref="A501"/>
    <hyperlink r:id="rId1209" ref="C501"/>
    <hyperlink r:id="rId1210" ref="A502"/>
    <hyperlink r:id="rId1211" ref="C502"/>
    <hyperlink r:id="rId1212" ref="A503"/>
    <hyperlink r:id="rId1213" ref="C503"/>
    <hyperlink r:id="rId1214" ref="A504"/>
    <hyperlink r:id="rId1215" ref="C504"/>
    <hyperlink r:id="rId1216" ref="E504"/>
    <hyperlink r:id="rId1217" ref="A505"/>
    <hyperlink r:id="rId1218" ref="C505"/>
    <hyperlink r:id="rId1219" ref="A506"/>
    <hyperlink r:id="rId1220" ref="C506"/>
    <hyperlink r:id="rId1221" ref="E506"/>
    <hyperlink r:id="rId1222" ref="A507"/>
    <hyperlink r:id="rId1223" ref="C507"/>
    <hyperlink r:id="rId1224" ref="A508"/>
    <hyperlink r:id="rId1225" ref="C508"/>
    <hyperlink r:id="rId1226" ref="E508"/>
    <hyperlink r:id="rId1227" ref="A509"/>
    <hyperlink r:id="rId1228" ref="C509"/>
    <hyperlink r:id="rId1229" ref="A510"/>
    <hyperlink r:id="rId1230" ref="C510"/>
    <hyperlink r:id="rId1231" ref="A511"/>
    <hyperlink r:id="rId1232" ref="C511"/>
    <hyperlink r:id="rId1233" ref="A512"/>
    <hyperlink r:id="rId1234" ref="C512"/>
    <hyperlink r:id="rId1235" ref="A513"/>
    <hyperlink r:id="rId1236" ref="C513"/>
    <hyperlink r:id="rId1237" ref="E513"/>
    <hyperlink r:id="rId1238" ref="A514"/>
    <hyperlink r:id="rId1239" ref="C514"/>
    <hyperlink r:id="rId1240" ref="A515"/>
    <hyperlink r:id="rId1241" ref="C515"/>
    <hyperlink r:id="rId1242" ref="A516"/>
    <hyperlink r:id="rId1243" ref="C516"/>
    <hyperlink r:id="rId1244" ref="A517"/>
    <hyperlink r:id="rId1245" ref="C517"/>
    <hyperlink r:id="rId1246" ref="A518"/>
    <hyperlink r:id="rId1247" ref="C518"/>
    <hyperlink r:id="rId1248" ref="A519"/>
    <hyperlink r:id="rId1249" ref="C519"/>
    <hyperlink r:id="rId1250" ref="A520"/>
    <hyperlink r:id="rId1251" ref="C520"/>
    <hyperlink r:id="rId1252" ref="A521"/>
    <hyperlink r:id="rId1253" ref="C521"/>
    <hyperlink r:id="rId1254" ref="A522"/>
    <hyperlink r:id="rId1255" ref="C522"/>
    <hyperlink r:id="rId1256" ref="A523"/>
    <hyperlink r:id="rId1257" ref="C523"/>
    <hyperlink r:id="rId1258" ref="A524"/>
    <hyperlink r:id="rId1259" ref="C524"/>
    <hyperlink r:id="rId1260" ref="A525"/>
    <hyperlink r:id="rId1261" ref="C525"/>
    <hyperlink r:id="rId1262" ref="A526"/>
    <hyperlink r:id="rId1263" ref="C526"/>
    <hyperlink r:id="rId1264" ref="A527"/>
    <hyperlink r:id="rId1265" ref="C527"/>
    <hyperlink r:id="rId1266" ref="A528"/>
    <hyperlink r:id="rId1267" ref="C528"/>
    <hyperlink r:id="rId1268" ref="A529"/>
    <hyperlink r:id="rId1269" ref="C529"/>
    <hyperlink r:id="rId1270" ref="A530"/>
    <hyperlink r:id="rId1271" ref="C530"/>
    <hyperlink r:id="rId1272" ref="A531"/>
    <hyperlink r:id="rId1273" ref="C531"/>
    <hyperlink r:id="rId1274" ref="A532"/>
    <hyperlink r:id="rId1275" ref="C532"/>
    <hyperlink r:id="rId1276" ref="A533"/>
    <hyperlink r:id="rId1277" ref="C533"/>
    <hyperlink r:id="rId1278" ref="A534"/>
    <hyperlink r:id="rId1279" ref="C534"/>
    <hyperlink r:id="rId1280" ref="E534"/>
    <hyperlink r:id="rId1281" ref="A535"/>
    <hyperlink r:id="rId1282" ref="C535"/>
    <hyperlink r:id="rId1283" ref="A536"/>
    <hyperlink r:id="rId1284" ref="C536"/>
    <hyperlink r:id="rId1285" ref="A537"/>
    <hyperlink r:id="rId1286" ref="C537"/>
    <hyperlink r:id="rId1287" ref="A538"/>
    <hyperlink r:id="rId1288" ref="C538"/>
    <hyperlink r:id="rId1289" ref="A539"/>
    <hyperlink r:id="rId1290" ref="C539"/>
    <hyperlink r:id="rId1291" ref="A540"/>
    <hyperlink r:id="rId1292" ref="C540"/>
    <hyperlink r:id="rId1293" ref="A541"/>
    <hyperlink r:id="rId1294" ref="C541"/>
    <hyperlink r:id="rId1295" ref="A542"/>
    <hyperlink r:id="rId1296" ref="C542"/>
    <hyperlink r:id="rId1297" ref="A543"/>
    <hyperlink r:id="rId1298" ref="C543"/>
    <hyperlink r:id="rId1299" ref="A544"/>
    <hyperlink r:id="rId1300" ref="C544"/>
    <hyperlink r:id="rId1301" ref="A545"/>
    <hyperlink r:id="rId1302" ref="C545"/>
    <hyperlink r:id="rId1303" ref="A546"/>
    <hyperlink r:id="rId1304" ref="C546"/>
    <hyperlink r:id="rId1305" ref="A547"/>
    <hyperlink r:id="rId1306" ref="C547"/>
    <hyperlink r:id="rId1307" ref="A548"/>
    <hyperlink r:id="rId1308" ref="C548"/>
    <hyperlink r:id="rId1309" ref="A549"/>
    <hyperlink r:id="rId1310" ref="C549"/>
    <hyperlink r:id="rId1311" ref="A550"/>
    <hyperlink r:id="rId1312" ref="C550"/>
    <hyperlink r:id="rId1313" ref="A551"/>
    <hyperlink r:id="rId1314" ref="C551"/>
    <hyperlink r:id="rId1315" ref="A552"/>
    <hyperlink r:id="rId1316" ref="C552"/>
    <hyperlink r:id="rId1317" ref="A553"/>
    <hyperlink r:id="rId1318" ref="C553"/>
    <hyperlink r:id="rId1319" ref="A554"/>
    <hyperlink r:id="rId1320" ref="C554"/>
    <hyperlink r:id="rId1321" ref="E554"/>
    <hyperlink r:id="rId1322" ref="A555"/>
    <hyperlink r:id="rId1323" ref="C555"/>
    <hyperlink r:id="rId1324" ref="A556"/>
    <hyperlink r:id="rId1325" ref="C556"/>
    <hyperlink r:id="rId1326" ref="A557"/>
    <hyperlink r:id="rId1327" ref="C557"/>
    <hyperlink r:id="rId1328" ref="A558"/>
    <hyperlink r:id="rId1329" ref="C558"/>
    <hyperlink r:id="rId1330" ref="E558"/>
    <hyperlink r:id="rId1331" ref="A559"/>
    <hyperlink r:id="rId1332" ref="C559"/>
    <hyperlink r:id="rId1333" ref="A560"/>
    <hyperlink r:id="rId1334" ref="C560"/>
    <hyperlink r:id="rId1335" ref="A561"/>
    <hyperlink r:id="rId1336" ref="C561"/>
    <hyperlink r:id="rId1337" ref="A562"/>
    <hyperlink r:id="rId1338" ref="C562"/>
    <hyperlink r:id="rId1339" ref="A563"/>
    <hyperlink r:id="rId1340" ref="C563"/>
    <hyperlink r:id="rId1341" ref="A564"/>
    <hyperlink r:id="rId1342" ref="C564"/>
    <hyperlink r:id="rId1343" ref="A565"/>
    <hyperlink r:id="rId1344" ref="C565"/>
    <hyperlink r:id="rId1345" ref="E565"/>
    <hyperlink r:id="rId1346" ref="A566"/>
    <hyperlink r:id="rId1347" ref="C566"/>
    <hyperlink r:id="rId1348" ref="E566"/>
    <hyperlink r:id="rId1349" ref="A567"/>
    <hyperlink r:id="rId1350" ref="C567"/>
    <hyperlink r:id="rId1351" ref="A568"/>
    <hyperlink r:id="rId1352" ref="C568"/>
    <hyperlink r:id="rId1353" ref="A569"/>
    <hyperlink r:id="rId1354" ref="C569"/>
    <hyperlink r:id="rId1355" ref="A570"/>
    <hyperlink r:id="rId1356" ref="C570"/>
    <hyperlink r:id="rId1357" ref="A571"/>
    <hyperlink r:id="rId1358" ref="C571"/>
    <hyperlink r:id="rId1359" ref="A572"/>
    <hyperlink r:id="rId1360" ref="C572"/>
    <hyperlink r:id="rId1361" ref="A573"/>
    <hyperlink r:id="rId1362" ref="C573"/>
    <hyperlink r:id="rId1363" ref="A574"/>
    <hyperlink r:id="rId1364" ref="C574"/>
    <hyperlink r:id="rId1365" ref="E574"/>
    <hyperlink r:id="rId1366" ref="A575"/>
    <hyperlink r:id="rId1367" ref="C575"/>
    <hyperlink r:id="rId1368" ref="A576"/>
    <hyperlink r:id="rId1369" ref="C576"/>
    <hyperlink r:id="rId1370" ref="A577"/>
    <hyperlink r:id="rId1371" ref="C577"/>
    <hyperlink r:id="rId1372" ref="A578"/>
    <hyperlink r:id="rId1373" ref="C578"/>
    <hyperlink r:id="rId1374" ref="A579"/>
    <hyperlink r:id="rId1375" ref="C579"/>
    <hyperlink r:id="rId1376" ref="A580"/>
    <hyperlink r:id="rId1377" ref="C580"/>
    <hyperlink r:id="rId1378" ref="A581"/>
    <hyperlink r:id="rId1379" ref="C581"/>
    <hyperlink r:id="rId1380" ref="A582"/>
    <hyperlink r:id="rId1381" ref="C582"/>
    <hyperlink r:id="rId1382" ref="A583"/>
    <hyperlink r:id="rId1383" ref="C583"/>
    <hyperlink r:id="rId1384" ref="A584"/>
    <hyperlink r:id="rId1385" ref="C584"/>
    <hyperlink r:id="rId1386" ref="A585"/>
    <hyperlink r:id="rId1387" ref="C585"/>
    <hyperlink r:id="rId1388" ref="A586"/>
    <hyperlink r:id="rId1389" ref="C586"/>
    <hyperlink r:id="rId1390" ref="A587"/>
    <hyperlink r:id="rId1391" ref="C587"/>
    <hyperlink r:id="rId1392" ref="E587"/>
    <hyperlink r:id="rId1393" ref="A588"/>
    <hyperlink r:id="rId1394" ref="C588"/>
    <hyperlink r:id="rId1395" ref="E588"/>
    <hyperlink r:id="rId1396" ref="A589"/>
    <hyperlink r:id="rId1397" ref="C589"/>
    <hyperlink r:id="rId1398" ref="A590"/>
    <hyperlink r:id="rId1399" ref="C590"/>
    <hyperlink r:id="rId1400" ref="E590"/>
    <hyperlink r:id="rId1401" ref="A591"/>
    <hyperlink r:id="rId1402" ref="C591"/>
    <hyperlink r:id="rId1403" ref="A592"/>
    <hyperlink r:id="rId1404" ref="A593"/>
    <hyperlink r:id="rId1405" ref="C593"/>
    <hyperlink r:id="rId1406" ref="A594"/>
    <hyperlink r:id="rId1407" ref="C594"/>
    <hyperlink r:id="rId1408" ref="A595"/>
    <hyperlink r:id="rId1409" ref="C595"/>
    <hyperlink r:id="rId1410" ref="A596"/>
    <hyperlink r:id="rId1411" ref="C596"/>
    <hyperlink r:id="rId1412" ref="A597"/>
    <hyperlink r:id="rId1413" ref="C597"/>
    <hyperlink r:id="rId1414" ref="A598"/>
    <hyperlink r:id="rId1415" ref="C598"/>
    <hyperlink r:id="rId1416" ref="A599"/>
    <hyperlink r:id="rId1417" ref="C599"/>
    <hyperlink r:id="rId1418" ref="A600"/>
    <hyperlink r:id="rId1419" ref="C600"/>
    <hyperlink r:id="rId1420" ref="A601"/>
    <hyperlink r:id="rId1421" ref="C601"/>
    <hyperlink r:id="rId1422" ref="A602"/>
    <hyperlink r:id="rId1423" ref="C602"/>
    <hyperlink r:id="rId1424" ref="A603"/>
    <hyperlink r:id="rId1425" ref="C603"/>
    <hyperlink r:id="rId1426" ref="E603"/>
    <hyperlink r:id="rId1427" ref="A604"/>
    <hyperlink r:id="rId1428" ref="C604"/>
    <hyperlink r:id="rId1429" ref="A605"/>
    <hyperlink r:id="rId1430" ref="C605"/>
    <hyperlink r:id="rId1431" ref="A606"/>
    <hyperlink r:id="rId1432" ref="C606"/>
    <hyperlink r:id="rId1433" ref="A607"/>
    <hyperlink r:id="rId1434" ref="C607"/>
    <hyperlink r:id="rId1435" ref="A608"/>
    <hyperlink r:id="rId1436" ref="C608"/>
    <hyperlink r:id="rId1437" ref="A609"/>
    <hyperlink r:id="rId1438" ref="C609"/>
    <hyperlink r:id="rId1439" ref="A610"/>
    <hyperlink r:id="rId1440" ref="C610"/>
    <hyperlink r:id="rId1441" ref="A611"/>
    <hyperlink r:id="rId1442" ref="C611"/>
    <hyperlink r:id="rId1443" ref="A612"/>
    <hyperlink r:id="rId1444" ref="C612"/>
    <hyperlink r:id="rId1445" ref="A613"/>
    <hyperlink r:id="rId1446" ref="C613"/>
    <hyperlink r:id="rId1447" ref="A614"/>
    <hyperlink r:id="rId1448" ref="C614"/>
    <hyperlink r:id="rId1449" ref="A615"/>
    <hyperlink r:id="rId1450" ref="C615"/>
    <hyperlink r:id="rId1451" ref="A616"/>
    <hyperlink r:id="rId1452" ref="C616"/>
    <hyperlink r:id="rId1453" ref="A617"/>
    <hyperlink r:id="rId1454" ref="C617"/>
    <hyperlink r:id="rId1455" ref="A618"/>
    <hyperlink r:id="rId1456" ref="C618"/>
    <hyperlink r:id="rId1457" ref="A619"/>
    <hyperlink r:id="rId1458" ref="C619"/>
    <hyperlink r:id="rId1459" ref="A620"/>
    <hyperlink r:id="rId1460" ref="C620"/>
    <hyperlink r:id="rId1461" ref="A621"/>
    <hyperlink r:id="rId1462" ref="C621"/>
    <hyperlink r:id="rId1463" ref="A622"/>
    <hyperlink r:id="rId1464" ref="C622"/>
    <hyperlink r:id="rId1465" ref="A623"/>
    <hyperlink r:id="rId1466" ref="C623"/>
    <hyperlink r:id="rId1467" ref="A624"/>
    <hyperlink r:id="rId1468" ref="C624"/>
    <hyperlink r:id="rId1469" ref="A625"/>
    <hyperlink r:id="rId1470" ref="C625"/>
    <hyperlink r:id="rId1471" ref="A626"/>
    <hyperlink r:id="rId1472" ref="C626"/>
    <hyperlink r:id="rId1473" ref="A627"/>
    <hyperlink r:id="rId1474" ref="C627"/>
    <hyperlink r:id="rId1475" ref="A628"/>
    <hyperlink r:id="rId1476" ref="C628"/>
    <hyperlink r:id="rId1477" ref="A629"/>
    <hyperlink r:id="rId1478" ref="C629"/>
    <hyperlink r:id="rId1479" ref="A630"/>
    <hyperlink r:id="rId1480" ref="C630"/>
    <hyperlink r:id="rId1481" ref="E630"/>
    <hyperlink r:id="rId1482" ref="A631"/>
    <hyperlink r:id="rId1483" ref="C631"/>
    <hyperlink r:id="rId1484" ref="A632"/>
    <hyperlink r:id="rId1485" ref="C632"/>
    <hyperlink r:id="rId1486" ref="A633"/>
    <hyperlink r:id="rId1487" ref="C633"/>
    <hyperlink r:id="rId1488" ref="A634"/>
    <hyperlink r:id="rId1489" ref="C634"/>
    <hyperlink r:id="rId1490" ref="E634"/>
    <hyperlink r:id="rId1491" ref="A635"/>
    <hyperlink r:id="rId1492" ref="C635"/>
    <hyperlink r:id="rId1493" ref="A636"/>
    <hyperlink r:id="rId1494" ref="C636"/>
    <hyperlink r:id="rId1495" ref="A637"/>
    <hyperlink r:id="rId1496" ref="C637"/>
    <hyperlink r:id="rId1497" ref="A638"/>
    <hyperlink r:id="rId1498" ref="C638"/>
    <hyperlink r:id="rId1499" ref="A639"/>
    <hyperlink r:id="rId1500" ref="C639"/>
    <hyperlink r:id="rId1501" ref="A640"/>
    <hyperlink r:id="rId1502" ref="C640"/>
    <hyperlink r:id="rId1503" ref="A641"/>
    <hyperlink r:id="rId1504" ref="C641"/>
    <hyperlink r:id="rId1505" ref="A642"/>
    <hyperlink r:id="rId1506" ref="C642"/>
    <hyperlink r:id="rId1507" ref="A643"/>
    <hyperlink r:id="rId1508" ref="C643"/>
    <hyperlink r:id="rId1509" ref="A644"/>
    <hyperlink r:id="rId1510" ref="C644"/>
    <hyperlink r:id="rId1511" ref="A645"/>
    <hyperlink r:id="rId1512" ref="C645"/>
    <hyperlink r:id="rId1513" ref="A646"/>
    <hyperlink r:id="rId1514" ref="C646"/>
    <hyperlink r:id="rId1515" ref="A647"/>
    <hyperlink r:id="rId1516" ref="C647"/>
    <hyperlink r:id="rId1517" ref="A648"/>
    <hyperlink r:id="rId1518" ref="C648"/>
    <hyperlink r:id="rId1519" ref="A649"/>
    <hyperlink r:id="rId1520" ref="C649"/>
    <hyperlink r:id="rId1521" ref="A650"/>
    <hyperlink r:id="rId1522" ref="C650"/>
    <hyperlink r:id="rId1523" ref="A651"/>
    <hyperlink r:id="rId1524" ref="C651"/>
    <hyperlink r:id="rId1525" ref="E651"/>
    <hyperlink r:id="rId1526" ref="A652"/>
    <hyperlink r:id="rId1527" ref="C652"/>
    <hyperlink r:id="rId1528" ref="A653"/>
    <hyperlink r:id="rId1529" ref="C653"/>
    <hyperlink r:id="rId1530" ref="A654"/>
    <hyperlink r:id="rId1531" ref="C654"/>
    <hyperlink r:id="rId1532" ref="A655"/>
    <hyperlink r:id="rId1533" ref="C655"/>
    <hyperlink r:id="rId1534" ref="A656"/>
    <hyperlink r:id="rId1535" ref="C656"/>
    <hyperlink r:id="rId1536" ref="A657"/>
    <hyperlink r:id="rId1537" ref="C657"/>
    <hyperlink r:id="rId1538" ref="E657"/>
    <hyperlink r:id="rId1539" ref="A658"/>
    <hyperlink r:id="rId1540" ref="C658"/>
    <hyperlink r:id="rId1541" ref="A659"/>
    <hyperlink r:id="rId1542" ref="C659"/>
    <hyperlink r:id="rId1543" ref="A660"/>
    <hyperlink r:id="rId1544" ref="C660"/>
    <hyperlink r:id="rId1545" ref="A661"/>
    <hyperlink r:id="rId1546" ref="C661"/>
    <hyperlink r:id="rId1547" ref="A662"/>
    <hyperlink r:id="rId1548" ref="C662"/>
    <hyperlink r:id="rId1549" ref="A663"/>
    <hyperlink r:id="rId1550" ref="C663"/>
    <hyperlink r:id="rId1551" ref="A664"/>
    <hyperlink r:id="rId1552" ref="C664"/>
    <hyperlink r:id="rId1553" ref="A665"/>
    <hyperlink r:id="rId1554" ref="C665"/>
    <hyperlink r:id="rId1555" ref="A666"/>
    <hyperlink r:id="rId1556" ref="C666"/>
    <hyperlink r:id="rId1557" ref="A667"/>
    <hyperlink r:id="rId1558" ref="C667"/>
    <hyperlink r:id="rId1559" ref="A668"/>
    <hyperlink r:id="rId1560" ref="C668"/>
    <hyperlink r:id="rId1561" ref="A669"/>
    <hyperlink r:id="rId1562" ref="C669"/>
    <hyperlink r:id="rId1563" ref="A670"/>
    <hyperlink r:id="rId1564" ref="C670"/>
    <hyperlink r:id="rId1565" ref="A671"/>
    <hyperlink r:id="rId1566" ref="C671"/>
    <hyperlink r:id="rId1567" ref="A672"/>
    <hyperlink r:id="rId1568" ref="C672"/>
    <hyperlink r:id="rId1569" ref="A673"/>
    <hyperlink r:id="rId1570" ref="C673"/>
    <hyperlink r:id="rId1571" ref="A674"/>
    <hyperlink r:id="rId1572" ref="C674"/>
    <hyperlink r:id="rId1573" ref="A675"/>
    <hyperlink r:id="rId1574" ref="C675"/>
    <hyperlink r:id="rId1575" ref="A676"/>
    <hyperlink r:id="rId1576" ref="C676"/>
    <hyperlink r:id="rId1577" ref="A677"/>
    <hyperlink r:id="rId1578" ref="C677"/>
    <hyperlink r:id="rId1579" ref="A678"/>
    <hyperlink r:id="rId1580" ref="C678"/>
    <hyperlink r:id="rId1581" ref="A679"/>
    <hyperlink r:id="rId1582" ref="C679"/>
    <hyperlink r:id="rId1583" ref="A680"/>
    <hyperlink r:id="rId1584" ref="C680"/>
    <hyperlink r:id="rId1585" ref="A681"/>
    <hyperlink r:id="rId1586" ref="C681"/>
    <hyperlink r:id="rId1587" ref="A682"/>
    <hyperlink r:id="rId1588" ref="C682"/>
    <hyperlink r:id="rId1589" ref="A683"/>
    <hyperlink r:id="rId1590" ref="C683"/>
    <hyperlink r:id="rId1591" ref="A684"/>
    <hyperlink r:id="rId1592" ref="A685"/>
    <hyperlink r:id="rId1593" ref="A686"/>
    <hyperlink r:id="rId1594" ref="C686"/>
    <hyperlink r:id="rId1595" ref="A687"/>
    <hyperlink r:id="rId1596" ref="C687"/>
    <hyperlink r:id="rId1597" ref="A688"/>
    <hyperlink r:id="rId1598" ref="A689"/>
    <hyperlink r:id="rId1599" ref="C689"/>
    <hyperlink r:id="rId1600" ref="A690"/>
    <hyperlink r:id="rId1601" ref="C690"/>
    <hyperlink r:id="rId1602" ref="A691"/>
    <hyperlink r:id="rId1603" ref="C691"/>
    <hyperlink r:id="rId1604" ref="A692"/>
    <hyperlink r:id="rId1605" ref="C692"/>
    <hyperlink r:id="rId1606" ref="A693"/>
    <hyperlink r:id="rId1607" ref="C693"/>
    <hyperlink r:id="rId1608" ref="A694"/>
    <hyperlink r:id="rId1609" ref="C694"/>
    <hyperlink r:id="rId1610" ref="A695"/>
    <hyperlink r:id="rId1611" ref="C695"/>
    <hyperlink r:id="rId1612" ref="A696"/>
    <hyperlink r:id="rId1613" ref="C696"/>
    <hyperlink r:id="rId1614" ref="A697"/>
    <hyperlink r:id="rId1615" ref="C697"/>
    <hyperlink r:id="rId1616" ref="A698"/>
    <hyperlink r:id="rId1617" ref="C698"/>
    <hyperlink r:id="rId1618" ref="A699"/>
    <hyperlink r:id="rId1619" ref="C699"/>
    <hyperlink r:id="rId1620" ref="A700"/>
    <hyperlink r:id="rId1621" ref="C700"/>
    <hyperlink r:id="rId1622" ref="A701"/>
    <hyperlink r:id="rId1623" ref="C701"/>
    <hyperlink r:id="rId1624" ref="A702"/>
    <hyperlink r:id="rId1625" ref="C702"/>
    <hyperlink r:id="rId1626" ref="A703"/>
    <hyperlink r:id="rId1627" ref="C703"/>
    <hyperlink r:id="rId1628" ref="A704"/>
    <hyperlink r:id="rId1629" ref="C704"/>
    <hyperlink r:id="rId1630" ref="A705"/>
    <hyperlink r:id="rId1631" ref="C705"/>
    <hyperlink r:id="rId1632" ref="A706"/>
    <hyperlink r:id="rId1633" ref="C706"/>
    <hyperlink r:id="rId1634" ref="A707"/>
    <hyperlink r:id="rId1635" ref="C707"/>
    <hyperlink r:id="rId1636" ref="A708"/>
    <hyperlink r:id="rId1637" ref="C708"/>
    <hyperlink r:id="rId1638" ref="A709"/>
    <hyperlink r:id="rId1639" ref="C709"/>
    <hyperlink r:id="rId1640" ref="A710"/>
    <hyperlink r:id="rId1641" ref="C710"/>
    <hyperlink r:id="rId1642" ref="A711"/>
    <hyperlink r:id="rId1643" ref="C711"/>
    <hyperlink r:id="rId1644" ref="A712"/>
    <hyperlink r:id="rId1645" ref="C712"/>
    <hyperlink r:id="rId1646" ref="A713"/>
    <hyperlink r:id="rId1647" ref="C713"/>
    <hyperlink r:id="rId1648" ref="A714"/>
    <hyperlink r:id="rId1649" ref="C714"/>
    <hyperlink r:id="rId1650" ref="A715"/>
    <hyperlink r:id="rId1651" ref="C715"/>
    <hyperlink r:id="rId1652" ref="A716"/>
    <hyperlink r:id="rId1653" ref="C716"/>
    <hyperlink r:id="rId1654" ref="A717"/>
    <hyperlink r:id="rId1655" ref="C717"/>
    <hyperlink r:id="rId1656" ref="A718"/>
    <hyperlink r:id="rId1657" ref="C718"/>
    <hyperlink r:id="rId1658" ref="A719"/>
    <hyperlink r:id="rId1659" ref="C719"/>
    <hyperlink r:id="rId1660" ref="A720"/>
    <hyperlink r:id="rId1661" ref="C720"/>
    <hyperlink r:id="rId1662" ref="A721"/>
    <hyperlink r:id="rId1663" ref="C721"/>
    <hyperlink r:id="rId1664" ref="A722"/>
    <hyperlink r:id="rId1665" ref="C722"/>
    <hyperlink r:id="rId1666" ref="A723"/>
    <hyperlink r:id="rId1667" ref="C723"/>
    <hyperlink r:id="rId1668" ref="A724"/>
    <hyperlink r:id="rId1669" ref="C724"/>
    <hyperlink r:id="rId1670" ref="A725"/>
    <hyperlink r:id="rId1671" ref="C725"/>
    <hyperlink r:id="rId1672" ref="A726"/>
    <hyperlink r:id="rId1673" ref="C726"/>
    <hyperlink r:id="rId1674" ref="A727"/>
    <hyperlink r:id="rId1675" ref="C727"/>
    <hyperlink r:id="rId1676" ref="E727"/>
    <hyperlink r:id="rId1677" ref="A728"/>
    <hyperlink r:id="rId1678" ref="C728"/>
    <hyperlink r:id="rId1679" ref="E728"/>
    <hyperlink r:id="rId1680" ref="A729"/>
    <hyperlink r:id="rId1681" ref="C729"/>
    <hyperlink r:id="rId1682" ref="A730"/>
    <hyperlink r:id="rId1683" ref="C730"/>
    <hyperlink r:id="rId1684" ref="A731"/>
    <hyperlink r:id="rId1685" ref="C731"/>
    <hyperlink r:id="rId1686" ref="A732"/>
    <hyperlink r:id="rId1687" ref="C732"/>
    <hyperlink r:id="rId1688" ref="A733"/>
    <hyperlink r:id="rId1689" ref="C733"/>
    <hyperlink r:id="rId1690" ref="A734"/>
    <hyperlink r:id="rId1691" ref="C734"/>
    <hyperlink r:id="rId1692" ref="A735"/>
    <hyperlink r:id="rId1693" ref="C735"/>
    <hyperlink r:id="rId1694" ref="A736"/>
    <hyperlink r:id="rId1695" ref="C736"/>
    <hyperlink r:id="rId1696" ref="A737"/>
    <hyperlink r:id="rId1697" ref="C737"/>
    <hyperlink r:id="rId1698" ref="A738"/>
    <hyperlink r:id="rId1699" ref="C738"/>
    <hyperlink r:id="rId1700" ref="A739"/>
    <hyperlink r:id="rId1701" ref="C739"/>
    <hyperlink r:id="rId1702" ref="A740"/>
    <hyperlink r:id="rId1703" ref="C740"/>
    <hyperlink r:id="rId1704" ref="A741"/>
    <hyperlink r:id="rId1705" ref="C741"/>
    <hyperlink r:id="rId1706" ref="E741"/>
    <hyperlink r:id="rId1707" ref="A742"/>
    <hyperlink r:id="rId1708" ref="C742"/>
    <hyperlink r:id="rId1709" ref="A743"/>
    <hyperlink r:id="rId1710" ref="C743"/>
    <hyperlink r:id="rId1711" ref="A744"/>
    <hyperlink r:id="rId1712" ref="C744"/>
    <hyperlink r:id="rId1713" ref="A745"/>
    <hyperlink r:id="rId1714" ref="C745"/>
    <hyperlink r:id="rId1715" ref="E745"/>
    <hyperlink r:id="rId1716" ref="A746"/>
    <hyperlink r:id="rId1717" ref="C746"/>
    <hyperlink r:id="rId1718" ref="A747"/>
    <hyperlink r:id="rId1719" ref="C747"/>
    <hyperlink r:id="rId1720" ref="A748"/>
    <hyperlink r:id="rId1721" ref="C748"/>
    <hyperlink r:id="rId1722" ref="A749"/>
    <hyperlink r:id="rId1723" ref="C749"/>
    <hyperlink r:id="rId1724" ref="E749"/>
    <hyperlink r:id="rId1725" ref="A750"/>
    <hyperlink r:id="rId1726" ref="C750"/>
    <hyperlink r:id="rId1727" ref="A751"/>
    <hyperlink r:id="rId1728" ref="C751"/>
    <hyperlink r:id="rId1729" ref="A752"/>
    <hyperlink r:id="rId1730" ref="C752"/>
    <hyperlink r:id="rId1731" ref="A753"/>
    <hyperlink r:id="rId1732" ref="C753"/>
    <hyperlink r:id="rId1733" ref="A754"/>
    <hyperlink r:id="rId1734" ref="C754"/>
    <hyperlink r:id="rId1735" ref="A755"/>
    <hyperlink r:id="rId1736" ref="C755"/>
    <hyperlink r:id="rId1737" ref="A756"/>
    <hyperlink r:id="rId1738" ref="C756"/>
    <hyperlink r:id="rId1739" ref="A757"/>
    <hyperlink r:id="rId1740" ref="C757"/>
    <hyperlink r:id="rId1741" ref="A758"/>
    <hyperlink r:id="rId1742" ref="C758"/>
    <hyperlink r:id="rId1743" ref="A759"/>
    <hyperlink r:id="rId1744" ref="C759"/>
    <hyperlink r:id="rId1745" ref="A760"/>
    <hyperlink r:id="rId1746" ref="C760"/>
    <hyperlink r:id="rId1747" ref="A761"/>
    <hyperlink r:id="rId1748" ref="C761"/>
    <hyperlink r:id="rId1749" ref="A762"/>
    <hyperlink r:id="rId1750" ref="C762"/>
    <hyperlink r:id="rId1751" ref="A763"/>
    <hyperlink r:id="rId1752" ref="C763"/>
    <hyperlink r:id="rId1753" ref="A764"/>
    <hyperlink r:id="rId1754" ref="C764"/>
    <hyperlink r:id="rId1755" ref="A765"/>
    <hyperlink r:id="rId1756" ref="C765"/>
    <hyperlink r:id="rId1757" ref="E765"/>
    <hyperlink r:id="rId1758" ref="A766"/>
    <hyperlink r:id="rId1759" ref="C766"/>
    <hyperlink r:id="rId1760" ref="A767"/>
    <hyperlink r:id="rId1761" ref="C767"/>
    <hyperlink r:id="rId1762" ref="A768"/>
    <hyperlink r:id="rId1763" ref="C768"/>
    <hyperlink r:id="rId1764" ref="A769"/>
    <hyperlink r:id="rId1765" ref="C769"/>
    <hyperlink r:id="rId1766" ref="A770"/>
    <hyperlink r:id="rId1767" ref="C770"/>
    <hyperlink r:id="rId1768" ref="A771"/>
    <hyperlink r:id="rId1769" ref="C771"/>
    <hyperlink r:id="rId1770" ref="A772"/>
    <hyperlink r:id="rId1771" ref="C772"/>
    <hyperlink r:id="rId1772" ref="A773"/>
    <hyperlink r:id="rId1773" ref="C773"/>
    <hyperlink r:id="rId1774" ref="A774"/>
    <hyperlink r:id="rId1775" ref="C774"/>
    <hyperlink r:id="rId1776" ref="A775"/>
    <hyperlink r:id="rId1777" ref="C775"/>
    <hyperlink r:id="rId1778" ref="A776"/>
    <hyperlink r:id="rId1779" ref="C776"/>
    <hyperlink r:id="rId1780" ref="A777"/>
    <hyperlink r:id="rId1781" ref="C777"/>
    <hyperlink r:id="rId1782" ref="A778"/>
    <hyperlink r:id="rId1783" ref="A779"/>
    <hyperlink r:id="rId1784" ref="A780"/>
    <hyperlink r:id="rId1785" ref="C780"/>
    <hyperlink r:id="rId1786" ref="A781"/>
    <hyperlink r:id="rId1787" ref="C781"/>
    <hyperlink r:id="rId1788" ref="A782"/>
    <hyperlink r:id="rId1789" ref="A783"/>
    <hyperlink r:id="rId1790" ref="C783"/>
    <hyperlink r:id="rId1791" ref="A784"/>
    <hyperlink r:id="rId1792" ref="C784"/>
    <hyperlink r:id="rId1793" ref="E784"/>
    <hyperlink r:id="rId1794" ref="A785"/>
    <hyperlink r:id="rId1795" ref="A786"/>
    <hyperlink r:id="rId1796" ref="A787"/>
    <hyperlink r:id="rId1797" ref="C787"/>
    <hyperlink r:id="rId1798" ref="A788"/>
    <hyperlink r:id="rId1799" ref="C788"/>
    <hyperlink r:id="rId1800" ref="A789"/>
    <hyperlink r:id="rId1801" ref="C789"/>
    <hyperlink r:id="rId1802" ref="E789"/>
    <hyperlink r:id="rId1803" ref="A790"/>
    <hyperlink r:id="rId1804" ref="A791"/>
    <hyperlink r:id="rId1805" ref="A792"/>
    <hyperlink r:id="rId1806" ref="C792"/>
    <hyperlink r:id="rId1807" ref="A793"/>
    <hyperlink r:id="rId1808" ref="A794"/>
    <hyperlink r:id="rId1809" ref="C794"/>
    <hyperlink r:id="rId1810" ref="A795"/>
    <hyperlink r:id="rId1811" ref="C795"/>
    <hyperlink r:id="rId1812" ref="A796"/>
    <hyperlink r:id="rId1813" ref="C796"/>
    <hyperlink r:id="rId1814" ref="A797"/>
    <hyperlink r:id="rId1815" ref="C797"/>
    <hyperlink r:id="rId1816" ref="A798"/>
    <hyperlink r:id="rId1817" ref="C798"/>
    <hyperlink r:id="rId1818" ref="A799"/>
    <hyperlink r:id="rId1819" ref="C799"/>
    <hyperlink r:id="rId1820" ref="A800"/>
    <hyperlink r:id="rId1821" ref="C800"/>
    <hyperlink r:id="rId1822" ref="A801"/>
    <hyperlink r:id="rId1823" ref="C801"/>
    <hyperlink r:id="rId1824" ref="A802"/>
    <hyperlink r:id="rId1825" ref="C802"/>
    <hyperlink r:id="rId1826" ref="A803"/>
    <hyperlink r:id="rId1827" ref="C803"/>
    <hyperlink r:id="rId1828" ref="A804"/>
    <hyperlink r:id="rId1829" ref="C804"/>
    <hyperlink r:id="rId1830" ref="A805"/>
    <hyperlink r:id="rId1831" ref="C805"/>
    <hyperlink r:id="rId1832" ref="A806"/>
    <hyperlink r:id="rId1833" ref="C806"/>
    <hyperlink r:id="rId1834" ref="A807"/>
    <hyperlink r:id="rId1835" ref="C807"/>
    <hyperlink r:id="rId1836" ref="A808"/>
    <hyperlink r:id="rId1837" ref="C808"/>
    <hyperlink r:id="rId1838" ref="A809"/>
    <hyperlink r:id="rId1839" ref="C809"/>
    <hyperlink r:id="rId1840" ref="A810"/>
    <hyperlink r:id="rId1841" ref="C810"/>
    <hyperlink r:id="rId1842" ref="A811"/>
    <hyperlink r:id="rId1843" ref="C811"/>
    <hyperlink r:id="rId1844" ref="A812"/>
    <hyperlink r:id="rId1845" ref="C812"/>
    <hyperlink r:id="rId1846" ref="A813"/>
    <hyperlink r:id="rId1847" ref="C813"/>
    <hyperlink r:id="rId1848" ref="A814"/>
    <hyperlink r:id="rId1849" ref="C814"/>
    <hyperlink r:id="rId1850" ref="A815"/>
    <hyperlink r:id="rId1851" ref="C815"/>
    <hyperlink r:id="rId1852" ref="A816"/>
    <hyperlink r:id="rId1853" ref="C816"/>
    <hyperlink r:id="rId1854" ref="A817"/>
    <hyperlink r:id="rId1855" ref="C817"/>
    <hyperlink r:id="rId1856" ref="A818"/>
    <hyperlink r:id="rId1857" ref="C818"/>
    <hyperlink r:id="rId1858" ref="A819"/>
    <hyperlink r:id="rId1859" ref="C819"/>
    <hyperlink r:id="rId1860" ref="E819"/>
    <hyperlink r:id="rId1861" ref="A820"/>
    <hyperlink r:id="rId1862" ref="C820"/>
    <hyperlink r:id="rId1863" ref="A821"/>
    <hyperlink r:id="rId1864" ref="C821"/>
    <hyperlink r:id="rId1865" ref="A822"/>
    <hyperlink r:id="rId1866" ref="C822"/>
    <hyperlink r:id="rId1867" ref="A823"/>
    <hyperlink r:id="rId1868" ref="C823"/>
    <hyperlink r:id="rId1869" ref="A824"/>
    <hyperlink r:id="rId1870" ref="C824"/>
    <hyperlink r:id="rId1871" ref="A825"/>
    <hyperlink r:id="rId1872" ref="C825"/>
    <hyperlink r:id="rId1873" ref="A826"/>
    <hyperlink r:id="rId1874" ref="C826"/>
    <hyperlink r:id="rId1875" ref="A827"/>
    <hyperlink r:id="rId1876" ref="C827"/>
    <hyperlink r:id="rId1877" ref="E827"/>
    <hyperlink r:id="rId1878" ref="A828"/>
    <hyperlink r:id="rId1879" ref="C828"/>
    <hyperlink r:id="rId1880" ref="A829"/>
    <hyperlink r:id="rId1881" ref="C829"/>
    <hyperlink r:id="rId1882" ref="A830"/>
    <hyperlink r:id="rId1883" ref="E830"/>
    <hyperlink r:id="rId1884" ref="A831"/>
    <hyperlink r:id="rId1885" ref="C831"/>
    <hyperlink r:id="rId1886" ref="A832"/>
    <hyperlink r:id="rId1887" ref="C832"/>
    <hyperlink r:id="rId1888" ref="A833"/>
    <hyperlink r:id="rId1889" ref="C833"/>
    <hyperlink r:id="rId1890" ref="A834"/>
    <hyperlink r:id="rId1891" ref="C834"/>
    <hyperlink r:id="rId1892" ref="E834"/>
    <hyperlink r:id="rId1893" ref="A835"/>
    <hyperlink r:id="rId1894" ref="C835"/>
    <hyperlink r:id="rId1895" ref="A836"/>
    <hyperlink r:id="rId1896" ref="C836"/>
    <hyperlink r:id="rId1897" ref="A837"/>
    <hyperlink r:id="rId1898" ref="C837"/>
    <hyperlink r:id="rId1899" ref="A838"/>
    <hyperlink r:id="rId1900" ref="C838"/>
    <hyperlink r:id="rId1901" ref="A839"/>
    <hyperlink r:id="rId1902" ref="C839"/>
    <hyperlink r:id="rId1903" ref="A840"/>
    <hyperlink r:id="rId1904" ref="C840"/>
    <hyperlink r:id="rId1905" ref="A841"/>
    <hyperlink r:id="rId1906" ref="C841"/>
    <hyperlink r:id="rId1907" ref="A842"/>
    <hyperlink r:id="rId1908" ref="C842"/>
    <hyperlink r:id="rId1909" ref="A843"/>
    <hyperlink r:id="rId1910" ref="C843"/>
    <hyperlink r:id="rId1911" ref="A844"/>
    <hyperlink r:id="rId1912" ref="C844"/>
    <hyperlink r:id="rId1913" ref="A845"/>
    <hyperlink r:id="rId1914" ref="C845"/>
    <hyperlink r:id="rId1915" ref="A846"/>
    <hyperlink r:id="rId1916" ref="C846"/>
    <hyperlink r:id="rId1917" ref="A847"/>
    <hyperlink r:id="rId1918" ref="C847"/>
    <hyperlink r:id="rId1919" ref="A848"/>
    <hyperlink r:id="rId1920" ref="C848"/>
    <hyperlink r:id="rId1921" ref="A849"/>
    <hyperlink r:id="rId1922" ref="C849"/>
    <hyperlink r:id="rId1923" ref="A850"/>
    <hyperlink r:id="rId1924" ref="C850"/>
    <hyperlink r:id="rId1925" ref="A851"/>
    <hyperlink r:id="rId1926" ref="C851"/>
    <hyperlink r:id="rId1927" ref="A852"/>
    <hyperlink r:id="rId1928" ref="C852"/>
    <hyperlink r:id="rId1929" ref="A853"/>
    <hyperlink r:id="rId1930" ref="C853"/>
    <hyperlink r:id="rId1931" ref="A854"/>
    <hyperlink r:id="rId1932" ref="C854"/>
    <hyperlink r:id="rId1933" ref="A855"/>
    <hyperlink r:id="rId1934" ref="C855"/>
    <hyperlink r:id="rId1935" ref="A856"/>
    <hyperlink r:id="rId1936" ref="C856"/>
    <hyperlink r:id="rId1937" ref="A857"/>
    <hyperlink r:id="rId1938" ref="C857"/>
    <hyperlink r:id="rId1939" ref="A858"/>
    <hyperlink r:id="rId1940" ref="C858"/>
    <hyperlink r:id="rId1941" ref="A859"/>
    <hyperlink r:id="rId1942" ref="C859"/>
    <hyperlink r:id="rId1943" ref="A860"/>
    <hyperlink r:id="rId1944" ref="C860"/>
    <hyperlink r:id="rId1945" ref="A861"/>
    <hyperlink r:id="rId1946" ref="C861"/>
    <hyperlink r:id="rId1947" ref="A862"/>
    <hyperlink r:id="rId1948" ref="C862"/>
    <hyperlink r:id="rId1949" ref="A863"/>
    <hyperlink r:id="rId1950" ref="C863"/>
    <hyperlink r:id="rId1951" ref="A864"/>
    <hyperlink r:id="rId1952" ref="C864"/>
    <hyperlink r:id="rId1953" ref="A865"/>
    <hyperlink r:id="rId1954" ref="C865"/>
    <hyperlink r:id="rId1955" ref="A866"/>
    <hyperlink r:id="rId1956" ref="C866"/>
    <hyperlink r:id="rId1957" ref="A867"/>
    <hyperlink r:id="rId1958" ref="C867"/>
    <hyperlink r:id="rId1959" ref="A868"/>
    <hyperlink r:id="rId1960" ref="C868"/>
    <hyperlink r:id="rId1961" ref="A869"/>
    <hyperlink r:id="rId1962" ref="C869"/>
    <hyperlink r:id="rId1963" ref="A870"/>
    <hyperlink r:id="rId1964" ref="C870"/>
    <hyperlink r:id="rId1965" ref="A871"/>
    <hyperlink r:id="rId1966" ref="C871"/>
    <hyperlink r:id="rId1967" ref="A872"/>
    <hyperlink r:id="rId1968" ref="C872"/>
    <hyperlink r:id="rId1969" ref="A873"/>
    <hyperlink r:id="rId1970" ref="C873"/>
    <hyperlink r:id="rId1971" ref="A874"/>
    <hyperlink r:id="rId1972" ref="C874"/>
    <hyperlink r:id="rId1973" ref="A875"/>
    <hyperlink r:id="rId1974" ref="C875"/>
    <hyperlink r:id="rId1975" ref="A876"/>
    <hyperlink r:id="rId1976" ref="C876"/>
    <hyperlink r:id="rId1977" ref="A877"/>
    <hyperlink r:id="rId1978" ref="C877"/>
    <hyperlink r:id="rId1979" ref="A878"/>
    <hyperlink r:id="rId1980" ref="A879"/>
    <hyperlink r:id="rId1981" ref="A880"/>
    <hyperlink r:id="rId1982" ref="A881"/>
    <hyperlink r:id="rId1983" ref="C881"/>
    <hyperlink r:id="rId1984" ref="A882"/>
    <hyperlink r:id="rId1985" ref="C882"/>
    <hyperlink r:id="rId1986" ref="A883"/>
    <hyperlink r:id="rId1987" ref="C883"/>
    <hyperlink r:id="rId1988" ref="A884"/>
    <hyperlink r:id="rId1989" ref="A885"/>
    <hyperlink r:id="rId1990" ref="C885"/>
    <hyperlink r:id="rId1991" ref="A886"/>
    <hyperlink r:id="rId1992" ref="A887"/>
    <hyperlink r:id="rId1993" ref="C887"/>
    <hyperlink r:id="rId1994" ref="A888"/>
    <hyperlink r:id="rId1995" ref="A889"/>
    <hyperlink r:id="rId1996" ref="C889"/>
    <hyperlink r:id="rId1997" ref="A890"/>
    <hyperlink r:id="rId1998" ref="C890"/>
    <hyperlink r:id="rId1999" ref="E890"/>
    <hyperlink r:id="rId2000" ref="A891"/>
    <hyperlink r:id="rId2001" ref="C891"/>
    <hyperlink r:id="rId2002" ref="A892"/>
    <hyperlink r:id="rId2003" ref="C892"/>
    <hyperlink r:id="rId2004" ref="A893"/>
    <hyperlink r:id="rId2005" ref="C893"/>
    <hyperlink r:id="rId2006" ref="E893"/>
    <hyperlink r:id="rId2007" ref="A894"/>
    <hyperlink r:id="rId2008" ref="C894"/>
    <hyperlink r:id="rId2009" ref="E894"/>
    <hyperlink r:id="rId2010" ref="A895"/>
    <hyperlink r:id="rId2011" ref="C895"/>
    <hyperlink r:id="rId2012" ref="E895"/>
    <hyperlink r:id="rId2013" ref="A896"/>
    <hyperlink r:id="rId2014" ref="C896"/>
    <hyperlink r:id="rId2015" ref="E896"/>
    <hyperlink r:id="rId2016" ref="A897"/>
    <hyperlink r:id="rId2017" ref="C897"/>
    <hyperlink r:id="rId2018" ref="A898"/>
    <hyperlink r:id="rId2019" ref="C898"/>
    <hyperlink r:id="rId2020" ref="E898"/>
    <hyperlink r:id="rId2021" ref="A899"/>
    <hyperlink r:id="rId2022" ref="C899"/>
    <hyperlink r:id="rId2023" ref="A900"/>
    <hyperlink r:id="rId2024" ref="C900"/>
    <hyperlink r:id="rId2025" ref="A901"/>
    <hyperlink r:id="rId2026" ref="C901"/>
    <hyperlink r:id="rId2027" ref="A902"/>
    <hyperlink r:id="rId2028" ref="C902"/>
    <hyperlink r:id="rId2029" ref="A903"/>
    <hyperlink r:id="rId2030" ref="C903"/>
    <hyperlink r:id="rId2031" ref="A904"/>
    <hyperlink r:id="rId2032" ref="C904"/>
    <hyperlink r:id="rId2033" ref="E904"/>
    <hyperlink r:id="rId2034" ref="A905"/>
    <hyperlink r:id="rId2035" ref="C905"/>
    <hyperlink r:id="rId2036" ref="E905"/>
    <hyperlink r:id="rId2037" ref="A906"/>
    <hyperlink r:id="rId2038" ref="C906"/>
    <hyperlink r:id="rId2039" ref="A907"/>
    <hyperlink r:id="rId2040" ref="C907"/>
    <hyperlink r:id="rId2041" ref="A908"/>
    <hyperlink r:id="rId2042" ref="C908"/>
    <hyperlink r:id="rId2043" ref="A909"/>
    <hyperlink r:id="rId2044" ref="C909"/>
    <hyperlink r:id="rId2045" ref="E909"/>
    <hyperlink r:id="rId2046" ref="A910"/>
    <hyperlink r:id="rId2047" ref="C910"/>
    <hyperlink r:id="rId2048" ref="E910"/>
    <hyperlink r:id="rId2049" ref="A911"/>
    <hyperlink r:id="rId2050" ref="C911"/>
    <hyperlink r:id="rId2051" ref="E911"/>
    <hyperlink r:id="rId2052" ref="A912"/>
    <hyperlink r:id="rId2053" ref="C912"/>
    <hyperlink r:id="rId2054" ref="A913"/>
    <hyperlink r:id="rId2055" ref="C913"/>
    <hyperlink r:id="rId2056" ref="A914"/>
    <hyperlink r:id="rId2057" ref="C914"/>
    <hyperlink r:id="rId2058" ref="A915"/>
    <hyperlink r:id="rId2059" ref="C915"/>
    <hyperlink r:id="rId2060" ref="E915"/>
    <hyperlink r:id="rId2061" ref="A916"/>
    <hyperlink r:id="rId2062" ref="C916"/>
    <hyperlink r:id="rId2063" ref="A917"/>
    <hyperlink r:id="rId2064" ref="C917"/>
    <hyperlink r:id="rId2065" ref="E917"/>
    <hyperlink r:id="rId2066" ref="A918"/>
    <hyperlink r:id="rId2067" ref="C918"/>
    <hyperlink r:id="rId2068" ref="A919"/>
    <hyperlink r:id="rId2069" ref="C919"/>
    <hyperlink r:id="rId2070" ref="A920"/>
    <hyperlink r:id="rId2071" ref="C920"/>
    <hyperlink r:id="rId2072" ref="A921"/>
    <hyperlink r:id="rId2073" ref="C921"/>
    <hyperlink r:id="rId2074" ref="E921"/>
    <hyperlink r:id="rId2075" ref="A922"/>
    <hyperlink r:id="rId2076" ref="C922"/>
    <hyperlink r:id="rId2077" ref="A923"/>
    <hyperlink r:id="rId2078" ref="C923"/>
    <hyperlink r:id="rId2079" ref="A924"/>
    <hyperlink r:id="rId2080" ref="C924"/>
    <hyperlink r:id="rId2081" ref="E924"/>
    <hyperlink r:id="rId2082" ref="A925"/>
    <hyperlink r:id="rId2083" ref="C925"/>
    <hyperlink r:id="rId2084" ref="E925"/>
    <hyperlink r:id="rId2085" ref="A926"/>
    <hyperlink r:id="rId2086" ref="C926"/>
    <hyperlink r:id="rId2087" ref="A927"/>
    <hyperlink r:id="rId2088" ref="C927"/>
    <hyperlink r:id="rId2089" ref="A928"/>
    <hyperlink r:id="rId2090" ref="C928"/>
    <hyperlink r:id="rId2091" ref="A929"/>
    <hyperlink r:id="rId2092" ref="C929"/>
    <hyperlink r:id="rId2093" ref="E929"/>
    <hyperlink r:id="rId2094" ref="A930"/>
    <hyperlink r:id="rId2095" ref="C930"/>
    <hyperlink r:id="rId2096" ref="A931"/>
    <hyperlink r:id="rId2097" ref="C931"/>
    <hyperlink r:id="rId2098" ref="A932"/>
    <hyperlink r:id="rId2099" ref="C932"/>
    <hyperlink r:id="rId2100" ref="A933"/>
    <hyperlink r:id="rId2101" ref="C933"/>
    <hyperlink r:id="rId2102" ref="E933"/>
    <hyperlink r:id="rId2103" ref="A934"/>
    <hyperlink r:id="rId2104" ref="C934"/>
    <hyperlink r:id="rId2105" ref="E934"/>
    <hyperlink r:id="rId2106" ref="A935"/>
    <hyperlink r:id="rId2107" ref="C935"/>
    <hyperlink r:id="rId2108" ref="A936"/>
    <hyperlink r:id="rId2109" ref="C936"/>
    <hyperlink r:id="rId2110" ref="A937"/>
    <hyperlink r:id="rId2111" ref="C937"/>
    <hyperlink r:id="rId2112" ref="A938"/>
    <hyperlink r:id="rId2113" ref="C938"/>
    <hyperlink r:id="rId2114" ref="E938"/>
    <hyperlink r:id="rId2115" ref="A939"/>
    <hyperlink r:id="rId2116" ref="C939"/>
    <hyperlink r:id="rId2117" ref="E939"/>
    <hyperlink r:id="rId2118" ref="A940"/>
    <hyperlink r:id="rId2119" ref="C940"/>
    <hyperlink r:id="rId2120" ref="A941"/>
    <hyperlink r:id="rId2121" ref="C941"/>
    <hyperlink r:id="rId2122" ref="A942"/>
    <hyperlink r:id="rId2123" ref="C942"/>
    <hyperlink r:id="rId2124" ref="A943"/>
    <hyperlink r:id="rId2125" ref="C943"/>
    <hyperlink r:id="rId2126" ref="E943"/>
    <hyperlink r:id="rId2127" ref="A944"/>
    <hyperlink r:id="rId2128" ref="C944"/>
    <hyperlink r:id="rId2129" ref="A945"/>
    <hyperlink r:id="rId2130" ref="C945"/>
    <hyperlink r:id="rId2131" ref="A946"/>
    <hyperlink r:id="rId2132" ref="C946"/>
    <hyperlink r:id="rId2133" ref="A947"/>
    <hyperlink r:id="rId2134" ref="C947"/>
    <hyperlink r:id="rId2135" ref="A948"/>
    <hyperlink r:id="rId2136" ref="C948"/>
    <hyperlink r:id="rId2137" ref="E948"/>
    <hyperlink r:id="rId2138" ref="A949"/>
    <hyperlink r:id="rId2139" ref="C949"/>
    <hyperlink r:id="rId2140" ref="E949"/>
    <hyperlink r:id="rId2141" ref="A950"/>
    <hyperlink r:id="rId2142" ref="C950"/>
    <hyperlink r:id="rId2143" ref="E950"/>
    <hyperlink r:id="rId2144" ref="A951"/>
    <hyperlink r:id="rId2145" ref="C951"/>
    <hyperlink r:id="rId2146" ref="A952"/>
    <hyperlink r:id="rId2147" ref="C952"/>
    <hyperlink r:id="rId2148" ref="E952"/>
    <hyperlink r:id="rId2149" ref="A953"/>
    <hyperlink r:id="rId2150" ref="C953"/>
    <hyperlink r:id="rId2151" ref="E953"/>
    <hyperlink r:id="rId2152" ref="A954"/>
    <hyperlink r:id="rId2153" ref="C954"/>
    <hyperlink r:id="rId2154" ref="A955"/>
    <hyperlink r:id="rId2155" ref="C955"/>
    <hyperlink r:id="rId2156" ref="E955"/>
    <hyperlink r:id="rId2157" ref="A956"/>
    <hyperlink r:id="rId2158" ref="C956"/>
    <hyperlink r:id="rId2159" ref="A957"/>
    <hyperlink r:id="rId2160" ref="C957"/>
    <hyperlink r:id="rId2161" ref="E957"/>
    <hyperlink r:id="rId2162" ref="A958"/>
    <hyperlink r:id="rId2163" ref="C958"/>
    <hyperlink r:id="rId2164" ref="A959"/>
    <hyperlink r:id="rId2165" ref="C959"/>
    <hyperlink r:id="rId2166" ref="E959"/>
    <hyperlink r:id="rId2167" ref="A960"/>
    <hyperlink r:id="rId2168" ref="C960"/>
    <hyperlink r:id="rId2169" ref="A961"/>
    <hyperlink r:id="rId2170" ref="C961"/>
    <hyperlink r:id="rId2171" ref="A962"/>
    <hyperlink r:id="rId2172" ref="C962"/>
    <hyperlink r:id="rId2173" ref="A963"/>
    <hyperlink r:id="rId2174" ref="C963"/>
    <hyperlink r:id="rId2175" ref="E963"/>
    <hyperlink r:id="rId2176" ref="A964"/>
    <hyperlink r:id="rId2177" ref="C964"/>
    <hyperlink r:id="rId2178" ref="A965"/>
    <hyperlink r:id="rId2179" ref="C965"/>
    <hyperlink r:id="rId2180" ref="A966"/>
    <hyperlink r:id="rId2181" ref="C966"/>
    <hyperlink r:id="rId2182" ref="A967"/>
    <hyperlink r:id="rId2183" ref="C967"/>
    <hyperlink r:id="rId2184" ref="A968"/>
    <hyperlink r:id="rId2185" ref="C968"/>
    <hyperlink r:id="rId2186" ref="A969"/>
    <hyperlink r:id="rId2187" ref="C969"/>
    <hyperlink r:id="rId2188" ref="A970"/>
    <hyperlink r:id="rId2189" ref="C970"/>
    <hyperlink r:id="rId2190" ref="A971"/>
    <hyperlink r:id="rId2191" ref="C971"/>
    <hyperlink r:id="rId2192" ref="E971"/>
    <hyperlink r:id="rId2193" ref="A972"/>
    <hyperlink r:id="rId2194" ref="C972"/>
    <hyperlink r:id="rId2195" ref="E972"/>
    <hyperlink r:id="rId2196" ref="A973"/>
    <hyperlink r:id="rId2197" ref="C973"/>
    <hyperlink r:id="rId2198" ref="A974"/>
    <hyperlink r:id="rId2199" ref="C974"/>
    <hyperlink r:id="rId2200" ref="A975"/>
    <hyperlink r:id="rId2201" ref="C975"/>
    <hyperlink r:id="rId2202" ref="A976"/>
    <hyperlink r:id="rId2203" ref="C976"/>
    <hyperlink r:id="rId2204" ref="A977"/>
    <hyperlink r:id="rId2205" ref="C977"/>
    <hyperlink r:id="rId2206" ref="A978"/>
    <hyperlink r:id="rId2207" ref="C978"/>
    <hyperlink r:id="rId2208" ref="A979"/>
    <hyperlink r:id="rId2209" ref="C979"/>
    <hyperlink r:id="rId2210" ref="A980"/>
    <hyperlink r:id="rId2211" ref="C980"/>
    <hyperlink r:id="rId2212" ref="A981"/>
    <hyperlink r:id="rId2213" ref="C981"/>
    <hyperlink r:id="rId2214" ref="E981"/>
    <hyperlink r:id="rId2215" ref="A982"/>
    <hyperlink r:id="rId2216" ref="C982"/>
    <hyperlink r:id="rId2217" ref="A983"/>
    <hyperlink r:id="rId2218" ref="C983"/>
    <hyperlink r:id="rId2219" ref="A984"/>
    <hyperlink r:id="rId2220" ref="C984"/>
    <hyperlink r:id="rId2221" ref="E984"/>
    <hyperlink r:id="rId2222" ref="A985"/>
    <hyperlink r:id="rId2223" ref="C985"/>
    <hyperlink r:id="rId2224" ref="A986"/>
    <hyperlink r:id="rId2225" ref="C986"/>
    <hyperlink r:id="rId2226" ref="A987"/>
    <hyperlink r:id="rId2227" ref="C987"/>
    <hyperlink r:id="rId2228" ref="A988"/>
    <hyperlink r:id="rId2229" ref="C988"/>
    <hyperlink r:id="rId2230" ref="A989"/>
    <hyperlink r:id="rId2231" ref="C989"/>
    <hyperlink r:id="rId2232" ref="E989"/>
    <hyperlink r:id="rId2233" ref="A990"/>
    <hyperlink r:id="rId2234" ref="C990"/>
    <hyperlink r:id="rId2235" ref="E990"/>
    <hyperlink r:id="rId2236" ref="A991"/>
    <hyperlink r:id="rId2237" ref="C991"/>
    <hyperlink r:id="rId2238" ref="E991"/>
    <hyperlink r:id="rId2239" ref="A992"/>
    <hyperlink r:id="rId2240" ref="C992"/>
    <hyperlink r:id="rId2241" ref="A993"/>
    <hyperlink r:id="rId2242" ref="C993"/>
    <hyperlink r:id="rId2243" ref="A994"/>
    <hyperlink r:id="rId2244" ref="C994"/>
    <hyperlink r:id="rId2245" ref="E994"/>
    <hyperlink r:id="rId2246" ref="A995"/>
    <hyperlink r:id="rId2247" ref="C995"/>
    <hyperlink r:id="rId2248" ref="E995"/>
    <hyperlink r:id="rId2249" ref="A996"/>
    <hyperlink r:id="rId2250" ref="C996"/>
    <hyperlink r:id="rId2251" ref="A997"/>
    <hyperlink r:id="rId2252" ref="C997"/>
    <hyperlink r:id="rId2253" ref="A998"/>
    <hyperlink r:id="rId2254" ref="C998"/>
    <hyperlink r:id="rId2255" ref="E998"/>
    <hyperlink r:id="rId2256" ref="A999"/>
    <hyperlink r:id="rId2257" ref="C999"/>
    <hyperlink r:id="rId2258" ref="A1000"/>
    <hyperlink r:id="rId2259" ref="C1000"/>
    <hyperlink r:id="rId2260" ref="A1001"/>
    <hyperlink r:id="rId2261" ref="C1001"/>
    <hyperlink r:id="rId2262" ref="A1002"/>
    <hyperlink r:id="rId2263" ref="C1002"/>
    <hyperlink r:id="rId2264" ref="A1003"/>
    <hyperlink r:id="rId2265" ref="C1003"/>
    <hyperlink r:id="rId2266" ref="E1003"/>
    <hyperlink r:id="rId2267" ref="A1004"/>
    <hyperlink r:id="rId2268" ref="C1004"/>
    <hyperlink r:id="rId2269" ref="E1004"/>
    <hyperlink r:id="rId2270" ref="A1005"/>
    <hyperlink r:id="rId2271" ref="C1005"/>
    <hyperlink r:id="rId2272" ref="E1005"/>
    <hyperlink r:id="rId2273" ref="A1006"/>
    <hyperlink r:id="rId2274" ref="C1006"/>
    <hyperlink r:id="rId2275" ref="A1007"/>
    <hyperlink r:id="rId2276" ref="C1007"/>
    <hyperlink r:id="rId2277" ref="E1007"/>
    <hyperlink r:id="rId2278" ref="A1008"/>
    <hyperlink r:id="rId2279" ref="C1008"/>
    <hyperlink r:id="rId2280" ref="E1008"/>
    <hyperlink r:id="rId2281" ref="A1009"/>
    <hyperlink r:id="rId2282" ref="C1009"/>
    <hyperlink r:id="rId2283" ref="E1009"/>
    <hyperlink r:id="rId2284" ref="A1010"/>
    <hyperlink r:id="rId2285" ref="C1010"/>
    <hyperlink r:id="rId2286" ref="E1010"/>
    <hyperlink r:id="rId2287" ref="A1011"/>
    <hyperlink r:id="rId2288" ref="C1011"/>
    <hyperlink r:id="rId2289" ref="A1012"/>
    <hyperlink r:id="rId2290" ref="C1012"/>
    <hyperlink r:id="rId2291" ref="E1012"/>
    <hyperlink r:id="rId2292" ref="A1013"/>
    <hyperlink r:id="rId2293" ref="C1013"/>
    <hyperlink r:id="rId2294" ref="A1014"/>
    <hyperlink r:id="rId2295" ref="C1014"/>
    <hyperlink r:id="rId2296" ref="E1014"/>
    <hyperlink r:id="rId2297" ref="A1015"/>
    <hyperlink r:id="rId2298" ref="C1015"/>
    <hyperlink r:id="rId2299" ref="A1016"/>
    <hyperlink r:id="rId2300" ref="C1016"/>
    <hyperlink r:id="rId2301" ref="A1017"/>
    <hyperlink r:id="rId2302" ref="C1017"/>
    <hyperlink r:id="rId2303" ref="A1018"/>
    <hyperlink r:id="rId2304" ref="C1018"/>
    <hyperlink r:id="rId2305" ref="E1018"/>
    <hyperlink r:id="rId2306" ref="A1019"/>
    <hyperlink r:id="rId2307" ref="C1019"/>
    <hyperlink r:id="rId2308" ref="A1020"/>
    <hyperlink r:id="rId2309" ref="C1020"/>
    <hyperlink r:id="rId2310" ref="A1021"/>
    <hyperlink r:id="rId2311" ref="C1021"/>
    <hyperlink r:id="rId2312" ref="E1021"/>
    <hyperlink r:id="rId2313" ref="A1022"/>
    <hyperlink r:id="rId2314" ref="C1022"/>
    <hyperlink r:id="rId2315" ref="A1023"/>
    <hyperlink r:id="rId2316" ref="C1023"/>
    <hyperlink r:id="rId2317" ref="E1023"/>
    <hyperlink r:id="rId2318" ref="A1024"/>
    <hyperlink r:id="rId2319" ref="C1024"/>
    <hyperlink r:id="rId2320" ref="E1024"/>
    <hyperlink r:id="rId2321" ref="A1025"/>
    <hyperlink r:id="rId2322" ref="C1025"/>
    <hyperlink r:id="rId2323" ref="E1025"/>
    <hyperlink r:id="rId2324" ref="A1026"/>
    <hyperlink r:id="rId2325" ref="C1026"/>
    <hyperlink r:id="rId2326" ref="A1027"/>
    <hyperlink r:id="rId2327" ref="C1027"/>
    <hyperlink r:id="rId2328" ref="E1027"/>
    <hyperlink r:id="rId2329" ref="A1028"/>
    <hyperlink r:id="rId2330" ref="C1028"/>
    <hyperlink r:id="rId2331" ref="E1028"/>
    <hyperlink r:id="rId2332" ref="A1029"/>
    <hyperlink r:id="rId2333" ref="C1029"/>
    <hyperlink r:id="rId2334" ref="E1029"/>
    <hyperlink r:id="rId2335" ref="A1030"/>
    <hyperlink r:id="rId2336" ref="C1030"/>
    <hyperlink r:id="rId2337" ref="A1031"/>
    <hyperlink r:id="rId2338" ref="C1031"/>
    <hyperlink r:id="rId2339" ref="A1032"/>
    <hyperlink r:id="rId2340" ref="C1032"/>
    <hyperlink r:id="rId2341" ref="A1033"/>
    <hyperlink r:id="rId2342" ref="C1033"/>
    <hyperlink r:id="rId2343" ref="A1034"/>
    <hyperlink r:id="rId2344" ref="C1034"/>
    <hyperlink r:id="rId2345" ref="A1035"/>
    <hyperlink r:id="rId2346" ref="C1035"/>
    <hyperlink r:id="rId2347" ref="E1035"/>
    <hyperlink r:id="rId2348" ref="A1036"/>
    <hyperlink r:id="rId2349" ref="C1036"/>
    <hyperlink r:id="rId2350" ref="A1037"/>
    <hyperlink r:id="rId2351" ref="C1037"/>
    <hyperlink r:id="rId2352" ref="A1038"/>
    <hyperlink r:id="rId2353" ref="C1038"/>
    <hyperlink r:id="rId2354" ref="A1039"/>
    <hyperlink r:id="rId2355" ref="C1039"/>
    <hyperlink r:id="rId2356" ref="A1040"/>
    <hyperlink r:id="rId2357" ref="C1040"/>
    <hyperlink r:id="rId2358" ref="E1040"/>
    <hyperlink r:id="rId2359" ref="A1041"/>
    <hyperlink r:id="rId2360" ref="C1041"/>
    <hyperlink r:id="rId2361" ref="E1041"/>
    <hyperlink r:id="rId2362" ref="A1042"/>
    <hyperlink r:id="rId2363" ref="C1042"/>
    <hyperlink r:id="rId2364" ref="A1043"/>
    <hyperlink r:id="rId2365" ref="C1043"/>
    <hyperlink r:id="rId2366" ref="A1044"/>
    <hyperlink r:id="rId2367" ref="C1044"/>
    <hyperlink r:id="rId2368" ref="A1045"/>
    <hyperlink r:id="rId2369" ref="C1045"/>
    <hyperlink r:id="rId2370" ref="E1045"/>
    <hyperlink r:id="rId2371" ref="A1046"/>
    <hyperlink r:id="rId2372" ref="C1046"/>
    <hyperlink r:id="rId2373" ref="A1047"/>
    <hyperlink r:id="rId2374" ref="C1047"/>
    <hyperlink r:id="rId2375" ref="E1047"/>
    <hyperlink r:id="rId2376" ref="A1048"/>
    <hyperlink r:id="rId2377" ref="C1048"/>
    <hyperlink r:id="rId2378" ref="A1049"/>
    <hyperlink r:id="rId2379" ref="C1049"/>
    <hyperlink r:id="rId2380" ref="A1050"/>
    <hyperlink r:id="rId2381" ref="C1050"/>
    <hyperlink r:id="rId2382" ref="E1050"/>
    <hyperlink r:id="rId2383" ref="A1051"/>
    <hyperlink r:id="rId2384" ref="C1051"/>
    <hyperlink r:id="rId2385" ref="E1051"/>
    <hyperlink r:id="rId2386" ref="A1052"/>
    <hyperlink r:id="rId2387" ref="C1052"/>
    <hyperlink r:id="rId2388" ref="A1053"/>
    <hyperlink r:id="rId2389" ref="C1053"/>
    <hyperlink r:id="rId2390" ref="A1054"/>
    <hyperlink r:id="rId2391" ref="C1054"/>
    <hyperlink r:id="rId2392" ref="E1054"/>
    <hyperlink r:id="rId2393" ref="A1055"/>
    <hyperlink r:id="rId2394" ref="C1055"/>
    <hyperlink r:id="rId2395" ref="A1056"/>
    <hyperlink r:id="rId2396" ref="C1056"/>
    <hyperlink r:id="rId2397" ref="A1057"/>
    <hyperlink r:id="rId2398" ref="C1057"/>
    <hyperlink r:id="rId2399" ref="E1057"/>
    <hyperlink r:id="rId2400" ref="A1058"/>
    <hyperlink r:id="rId2401" ref="C1058"/>
    <hyperlink r:id="rId2402" ref="E1058"/>
    <hyperlink r:id="rId2403" ref="A1059"/>
    <hyperlink r:id="rId2404" ref="C1059"/>
    <hyperlink r:id="rId2405" ref="A1060"/>
    <hyperlink r:id="rId2406" ref="C1060"/>
    <hyperlink r:id="rId2407" ref="A1061"/>
    <hyperlink r:id="rId2408" ref="C1061"/>
    <hyperlink r:id="rId2409" ref="E1061"/>
    <hyperlink r:id="rId2410" ref="A1062"/>
    <hyperlink r:id="rId2411" ref="C1062"/>
    <hyperlink r:id="rId2412" ref="E1062"/>
    <hyperlink r:id="rId2413" ref="A1063"/>
    <hyperlink r:id="rId2414" ref="C1063"/>
    <hyperlink r:id="rId2415" ref="E1063"/>
    <hyperlink r:id="rId2416" ref="A1064"/>
    <hyperlink r:id="rId2417" ref="C1064"/>
    <hyperlink r:id="rId2418" ref="E1064"/>
    <hyperlink r:id="rId2419" ref="A1065"/>
    <hyperlink r:id="rId2420" ref="C1065"/>
    <hyperlink r:id="rId2421" ref="A1066"/>
    <hyperlink r:id="rId2422" ref="C1066"/>
    <hyperlink r:id="rId2423" ref="A1067"/>
    <hyperlink r:id="rId2424" ref="C1067"/>
    <hyperlink r:id="rId2425" ref="A1068"/>
    <hyperlink r:id="rId2426" ref="C1068"/>
    <hyperlink r:id="rId2427" ref="A1069"/>
    <hyperlink r:id="rId2428" ref="C1069"/>
    <hyperlink r:id="rId2429" ref="A1070"/>
    <hyperlink r:id="rId2430" ref="C1070"/>
    <hyperlink r:id="rId2431" ref="E1070"/>
    <hyperlink r:id="rId2432" ref="A1071"/>
    <hyperlink r:id="rId2433" ref="C1071"/>
    <hyperlink r:id="rId2434" ref="A1072"/>
    <hyperlink r:id="rId2435" ref="C1072"/>
    <hyperlink r:id="rId2436" ref="E1072"/>
    <hyperlink r:id="rId2437" ref="A1073"/>
    <hyperlink r:id="rId2438" ref="C1073"/>
    <hyperlink r:id="rId2439" ref="E1073"/>
    <hyperlink r:id="rId2440" ref="A1074"/>
    <hyperlink r:id="rId2441" ref="C1074"/>
    <hyperlink r:id="rId2442" ref="E1074"/>
    <hyperlink r:id="rId2443" ref="A1075"/>
    <hyperlink r:id="rId2444" ref="C1075"/>
    <hyperlink r:id="rId2445" ref="E1075"/>
    <hyperlink r:id="rId2446" ref="A1076"/>
    <hyperlink r:id="rId2447" ref="C1076"/>
    <hyperlink r:id="rId2448" ref="E1076"/>
    <hyperlink r:id="rId2449" ref="A1077"/>
    <hyperlink r:id="rId2450" ref="C1077"/>
    <hyperlink r:id="rId2451" ref="E1077"/>
    <hyperlink r:id="rId2452" ref="A1078"/>
    <hyperlink r:id="rId2453" ref="C1078"/>
    <hyperlink r:id="rId2454" ref="E1078"/>
    <hyperlink r:id="rId2455" ref="A1079"/>
    <hyperlink r:id="rId2456" ref="C1079"/>
    <hyperlink r:id="rId2457" ref="E1079"/>
    <hyperlink r:id="rId2458" ref="A1080"/>
    <hyperlink r:id="rId2459" ref="C1080"/>
    <hyperlink r:id="rId2460" ref="E1080"/>
    <hyperlink r:id="rId2461" ref="A1081"/>
    <hyperlink r:id="rId2462" ref="C1081"/>
    <hyperlink r:id="rId2463" ref="E1081"/>
    <hyperlink r:id="rId2464" ref="A1082"/>
    <hyperlink r:id="rId2465" ref="C1082"/>
    <hyperlink r:id="rId2466" ref="A1083"/>
    <hyperlink r:id="rId2467" ref="C1083"/>
    <hyperlink r:id="rId2468" ref="E1083"/>
    <hyperlink r:id="rId2469" ref="A1084"/>
    <hyperlink r:id="rId2470" ref="C1084"/>
    <hyperlink r:id="rId2471" ref="E1084"/>
    <hyperlink r:id="rId2472" ref="A1085"/>
    <hyperlink r:id="rId2473" ref="C1085"/>
    <hyperlink r:id="rId2474" ref="E1085"/>
    <hyperlink r:id="rId2475" ref="A1086"/>
    <hyperlink r:id="rId2476" ref="C1086"/>
    <hyperlink r:id="rId2477" ref="E1086"/>
    <hyperlink r:id="rId2478" ref="A1087"/>
    <hyperlink r:id="rId2479" ref="C1087"/>
    <hyperlink r:id="rId2480" ref="A1088"/>
    <hyperlink r:id="rId2481" ref="C1088"/>
    <hyperlink r:id="rId2482" ref="E1088"/>
    <hyperlink r:id="rId2483" ref="A1089"/>
    <hyperlink r:id="rId2484" ref="C1089"/>
    <hyperlink r:id="rId2485" ref="E1089"/>
    <hyperlink r:id="rId2486" ref="A1090"/>
    <hyperlink r:id="rId2487" ref="C1090"/>
    <hyperlink r:id="rId2488" ref="A1091"/>
    <hyperlink r:id="rId2489" ref="C1091"/>
    <hyperlink r:id="rId2490" ref="A1092"/>
    <hyperlink r:id="rId2491" ref="C1092"/>
    <hyperlink r:id="rId2492" ref="A1093"/>
    <hyperlink r:id="rId2493" ref="C1093"/>
    <hyperlink r:id="rId2494" ref="A1094"/>
    <hyperlink r:id="rId2495" ref="C1094"/>
    <hyperlink r:id="rId2496" ref="A1095"/>
    <hyperlink r:id="rId2497" ref="C1095"/>
    <hyperlink r:id="rId2498" ref="A1096"/>
    <hyperlink r:id="rId2499" ref="C1096"/>
    <hyperlink r:id="rId2500" ref="A1097"/>
    <hyperlink r:id="rId2501" ref="C1097"/>
    <hyperlink r:id="rId2502" ref="A1098"/>
    <hyperlink r:id="rId2503" ref="C1098"/>
    <hyperlink r:id="rId2504" ref="A1099"/>
    <hyperlink r:id="rId2505" ref="C1099"/>
    <hyperlink r:id="rId2506" ref="A1100"/>
    <hyperlink r:id="rId2507" ref="C1100"/>
    <hyperlink r:id="rId2508" ref="A1101"/>
    <hyperlink r:id="rId2509" ref="C1101"/>
    <hyperlink r:id="rId2510" ref="A1102"/>
    <hyperlink r:id="rId2511" ref="C1102"/>
    <hyperlink r:id="rId2512" ref="A1103"/>
    <hyperlink r:id="rId2513" ref="C1103"/>
    <hyperlink r:id="rId2514" ref="A1104"/>
    <hyperlink r:id="rId2515" ref="C1104"/>
    <hyperlink r:id="rId2516" ref="A1105"/>
    <hyperlink r:id="rId2517" ref="C1105"/>
    <hyperlink r:id="rId2518" ref="A1106"/>
    <hyperlink r:id="rId2519" ref="C1106"/>
    <hyperlink r:id="rId2520" ref="A1107"/>
    <hyperlink r:id="rId2521" ref="C1107"/>
    <hyperlink r:id="rId2522" ref="A1108"/>
    <hyperlink r:id="rId2523" ref="C1108"/>
    <hyperlink r:id="rId2524" ref="A1109"/>
    <hyperlink r:id="rId2525" ref="C1109"/>
    <hyperlink r:id="rId2526" ref="A1110"/>
    <hyperlink r:id="rId2527" ref="C1110"/>
    <hyperlink r:id="rId2528" ref="A1111"/>
    <hyperlink r:id="rId2529" ref="C1111"/>
    <hyperlink r:id="rId2530" ref="E1111"/>
    <hyperlink r:id="rId2531" ref="A1112"/>
    <hyperlink r:id="rId2532" ref="C1112"/>
    <hyperlink r:id="rId2533" ref="A1113"/>
    <hyperlink r:id="rId2534" ref="C1113"/>
    <hyperlink r:id="rId2535" ref="A1114"/>
    <hyperlink r:id="rId2536" ref="C1114"/>
    <hyperlink r:id="rId2537" ref="A1115"/>
    <hyperlink r:id="rId2538" ref="C1115"/>
    <hyperlink r:id="rId2539" ref="A1116"/>
    <hyperlink r:id="rId2540" ref="C1116"/>
    <hyperlink r:id="rId2541" ref="A1117"/>
    <hyperlink r:id="rId2542" ref="C1117"/>
    <hyperlink r:id="rId2543" ref="A1118"/>
    <hyperlink r:id="rId2544" ref="C1118"/>
    <hyperlink r:id="rId2545" ref="A1119"/>
    <hyperlink r:id="rId2546" ref="C1119"/>
    <hyperlink r:id="rId2547" ref="A1120"/>
    <hyperlink r:id="rId2548" ref="C1120"/>
    <hyperlink r:id="rId2549" ref="A1121"/>
    <hyperlink r:id="rId2550" ref="C1121"/>
    <hyperlink r:id="rId2551" ref="A1122"/>
    <hyperlink r:id="rId2552" ref="C1122"/>
    <hyperlink r:id="rId2553" ref="A1123"/>
    <hyperlink r:id="rId2554" ref="C1123"/>
    <hyperlink r:id="rId2555" ref="A1124"/>
    <hyperlink r:id="rId2556" ref="C1124"/>
    <hyperlink r:id="rId2557" ref="A1125"/>
    <hyperlink r:id="rId2558" ref="C1125"/>
    <hyperlink r:id="rId2559" ref="A1126"/>
    <hyperlink r:id="rId2560" ref="C1126"/>
    <hyperlink r:id="rId2561" ref="A1127"/>
    <hyperlink r:id="rId2562" ref="C1127"/>
    <hyperlink r:id="rId2563" ref="A1128"/>
    <hyperlink r:id="rId2564" ref="E1128"/>
    <hyperlink r:id="rId2565" ref="A1129"/>
    <hyperlink r:id="rId2566" ref="C1129"/>
    <hyperlink r:id="rId2567" ref="A1130"/>
    <hyperlink r:id="rId2568" ref="C1130"/>
    <hyperlink r:id="rId2569" ref="A1131"/>
    <hyperlink r:id="rId2570" ref="C1131"/>
    <hyperlink r:id="rId2571" ref="A1132"/>
    <hyperlink r:id="rId2572" ref="C1132"/>
    <hyperlink r:id="rId2573" ref="A1133"/>
    <hyperlink r:id="rId2574" ref="C1133"/>
    <hyperlink r:id="rId2575" ref="A1134"/>
    <hyperlink r:id="rId2576" ref="C1134"/>
    <hyperlink r:id="rId2577" ref="A1135"/>
    <hyperlink r:id="rId2578" ref="C1135"/>
    <hyperlink r:id="rId2579" ref="A1136"/>
    <hyperlink r:id="rId2580" ref="C1136"/>
    <hyperlink r:id="rId2581" ref="A1137"/>
    <hyperlink r:id="rId2582" ref="C1137"/>
    <hyperlink r:id="rId2583" ref="A1138"/>
    <hyperlink r:id="rId2584" ref="C1138"/>
    <hyperlink r:id="rId2585" ref="A1139"/>
    <hyperlink r:id="rId2586" ref="C1139"/>
    <hyperlink r:id="rId2587" ref="A1140"/>
    <hyperlink r:id="rId2588" ref="C1140"/>
    <hyperlink r:id="rId2589" ref="A1141"/>
    <hyperlink r:id="rId2590" ref="C1141"/>
    <hyperlink r:id="rId2591" ref="A1142"/>
    <hyperlink r:id="rId2592" ref="C1142"/>
    <hyperlink r:id="rId2593" ref="A1143"/>
    <hyperlink r:id="rId2594" ref="C1143"/>
    <hyperlink r:id="rId2595" ref="A1144"/>
    <hyperlink r:id="rId2596" ref="C1144"/>
    <hyperlink r:id="rId2597" ref="A1145"/>
    <hyperlink r:id="rId2598" ref="C1145"/>
    <hyperlink r:id="rId2599" ref="A1146"/>
    <hyperlink r:id="rId2600" ref="C1146"/>
    <hyperlink r:id="rId2601" ref="A1147"/>
    <hyperlink r:id="rId2602" ref="C1147"/>
    <hyperlink r:id="rId2603" ref="A1148"/>
    <hyperlink r:id="rId2604" ref="C1148"/>
    <hyperlink r:id="rId2605" ref="A1149"/>
    <hyperlink r:id="rId2606" ref="C1149"/>
    <hyperlink r:id="rId2607" ref="A1150"/>
    <hyperlink r:id="rId2608" ref="C1150"/>
    <hyperlink r:id="rId2609" ref="A1151"/>
    <hyperlink r:id="rId2610" ref="C1151"/>
    <hyperlink r:id="rId2611" ref="A1152"/>
    <hyperlink r:id="rId2612" ref="C1152"/>
    <hyperlink r:id="rId2613" ref="A1153"/>
    <hyperlink r:id="rId2614" ref="C1153"/>
    <hyperlink r:id="rId2615" ref="E1153"/>
    <hyperlink r:id="rId2616" ref="A1154"/>
    <hyperlink r:id="rId2617" ref="C1154"/>
    <hyperlink r:id="rId2618" ref="E1154"/>
    <hyperlink r:id="rId2619" ref="A1155"/>
    <hyperlink r:id="rId2620" ref="C1155"/>
    <hyperlink r:id="rId2621" ref="A1156"/>
    <hyperlink r:id="rId2622" ref="C1156"/>
    <hyperlink r:id="rId2623" ref="A1157"/>
    <hyperlink r:id="rId2624" ref="C1157"/>
    <hyperlink r:id="rId2625" ref="A1158"/>
    <hyperlink r:id="rId2626" ref="C1158"/>
    <hyperlink r:id="rId2627" ref="A1159"/>
    <hyperlink r:id="rId2628" ref="C1159"/>
    <hyperlink r:id="rId2629" ref="A1160"/>
    <hyperlink r:id="rId2630" ref="C1160"/>
    <hyperlink r:id="rId2631" ref="A1161"/>
    <hyperlink r:id="rId2632" ref="C1161"/>
    <hyperlink r:id="rId2633" ref="A1162"/>
    <hyperlink r:id="rId2634" ref="C1162"/>
    <hyperlink r:id="rId2635" ref="A1163"/>
    <hyperlink r:id="rId2636" ref="C1163"/>
    <hyperlink r:id="rId2637" ref="A1164"/>
    <hyperlink r:id="rId2638" ref="C1164"/>
    <hyperlink r:id="rId2639" ref="A1165"/>
    <hyperlink r:id="rId2640" ref="C1165"/>
    <hyperlink r:id="rId2641" ref="A1166"/>
    <hyperlink r:id="rId2642" ref="C1166"/>
    <hyperlink r:id="rId2643" ref="A1167"/>
    <hyperlink r:id="rId2644" ref="C1167"/>
    <hyperlink r:id="rId2645" ref="A1168"/>
    <hyperlink r:id="rId2646" ref="C1168"/>
    <hyperlink r:id="rId2647" ref="A1169"/>
    <hyperlink r:id="rId2648" ref="C1169"/>
    <hyperlink r:id="rId2649" ref="A1170"/>
    <hyperlink r:id="rId2650" ref="C1170"/>
    <hyperlink r:id="rId2651" ref="A1171"/>
    <hyperlink r:id="rId2652" ref="C1171"/>
    <hyperlink r:id="rId2653" ref="A1172"/>
    <hyperlink r:id="rId2654" ref="C1172"/>
    <hyperlink r:id="rId2655" ref="A1173"/>
    <hyperlink r:id="rId2656" ref="C1173"/>
    <hyperlink r:id="rId2657" ref="A1174"/>
    <hyperlink r:id="rId2658" ref="C1174"/>
    <hyperlink r:id="rId2659" ref="A1175"/>
    <hyperlink r:id="rId2660" ref="C1175"/>
    <hyperlink r:id="rId2661" ref="A1176"/>
    <hyperlink r:id="rId2662" ref="C1176"/>
    <hyperlink r:id="rId2663" ref="A1177"/>
    <hyperlink r:id="rId2664" ref="C1177"/>
    <hyperlink r:id="rId2665" ref="A1178"/>
    <hyperlink r:id="rId2666" ref="C1178"/>
    <hyperlink r:id="rId2667" ref="A1179"/>
    <hyperlink r:id="rId2668" ref="C1179"/>
    <hyperlink r:id="rId2669" ref="E1179"/>
    <hyperlink r:id="rId2670" ref="A1180"/>
    <hyperlink r:id="rId2671" ref="C1180"/>
    <hyperlink r:id="rId2672" ref="A1181"/>
    <hyperlink r:id="rId2673" ref="C1181"/>
    <hyperlink r:id="rId2674" ref="A1182"/>
    <hyperlink r:id="rId2675" ref="C1182"/>
    <hyperlink r:id="rId2676" ref="A1183"/>
    <hyperlink r:id="rId2677" ref="C1183"/>
    <hyperlink r:id="rId2678" ref="A1184"/>
    <hyperlink r:id="rId2679" ref="A1185"/>
    <hyperlink r:id="rId2680" ref="C1185"/>
    <hyperlink r:id="rId2681" ref="A1186"/>
    <hyperlink r:id="rId2682" ref="C1186"/>
    <hyperlink r:id="rId2683" ref="A1187"/>
    <hyperlink r:id="rId2684" ref="C1187"/>
    <hyperlink r:id="rId2685" ref="A1188"/>
    <hyperlink r:id="rId2686" ref="C1188"/>
    <hyperlink r:id="rId2687" ref="E1188"/>
    <hyperlink r:id="rId2688" ref="A1189"/>
    <hyperlink r:id="rId2689" ref="C1189"/>
    <hyperlink r:id="rId2690" ref="E1189"/>
    <hyperlink r:id="rId2691" ref="A1190"/>
    <hyperlink r:id="rId2692" ref="C1190"/>
    <hyperlink r:id="rId2693" ref="A1191"/>
    <hyperlink r:id="rId2694" ref="C1191"/>
    <hyperlink r:id="rId2695" ref="A1192"/>
    <hyperlink r:id="rId2696" ref="C1192"/>
    <hyperlink r:id="rId2697" ref="A1193"/>
    <hyperlink r:id="rId2698" ref="C1193"/>
    <hyperlink r:id="rId2699" ref="A1194"/>
    <hyperlink r:id="rId2700" ref="C1194"/>
    <hyperlink r:id="rId2701" ref="A1195"/>
    <hyperlink r:id="rId2702" ref="C1195"/>
    <hyperlink r:id="rId2703" ref="A1196"/>
    <hyperlink r:id="rId2704" ref="C1196"/>
    <hyperlink r:id="rId2705" ref="A1197"/>
    <hyperlink r:id="rId2706" ref="C1197"/>
    <hyperlink r:id="rId2707" ref="A1198"/>
    <hyperlink r:id="rId2708" ref="C1198"/>
    <hyperlink r:id="rId2709" ref="A1199"/>
    <hyperlink r:id="rId2710" ref="C1199"/>
    <hyperlink r:id="rId2711" ref="A1200"/>
    <hyperlink r:id="rId2712" ref="C1200"/>
    <hyperlink r:id="rId2713" ref="A1201"/>
    <hyperlink r:id="rId2714" ref="C1201"/>
    <hyperlink r:id="rId2715" ref="A1202"/>
    <hyperlink r:id="rId2716" ref="C1202"/>
    <hyperlink r:id="rId2717" ref="A1203"/>
    <hyperlink r:id="rId2718" ref="C1203"/>
    <hyperlink r:id="rId2719" ref="A1204"/>
    <hyperlink r:id="rId2720" ref="C1204"/>
    <hyperlink r:id="rId2721" ref="A1205"/>
    <hyperlink r:id="rId2722" ref="C1205"/>
    <hyperlink r:id="rId2723" ref="A1206"/>
    <hyperlink r:id="rId2724" ref="C1206"/>
    <hyperlink r:id="rId2725" ref="A1207"/>
    <hyperlink r:id="rId2726" ref="C1207"/>
    <hyperlink r:id="rId2727" ref="A1208"/>
    <hyperlink r:id="rId2728" ref="C1208"/>
    <hyperlink r:id="rId2729" ref="A1209"/>
    <hyperlink r:id="rId2730" ref="C1209"/>
    <hyperlink r:id="rId2731" ref="A1210"/>
    <hyperlink r:id="rId2732" ref="C1210"/>
    <hyperlink r:id="rId2733" ref="A1211"/>
    <hyperlink r:id="rId2734" ref="C1211"/>
    <hyperlink r:id="rId2735" ref="A1212"/>
    <hyperlink r:id="rId2736" ref="C1212"/>
    <hyperlink r:id="rId2737" ref="A1213"/>
    <hyperlink r:id="rId2738" ref="C1213"/>
    <hyperlink r:id="rId2739" ref="A1214"/>
    <hyperlink r:id="rId2740" ref="C1214"/>
    <hyperlink r:id="rId2741" ref="A1215"/>
    <hyperlink r:id="rId2742" ref="C1215"/>
    <hyperlink r:id="rId2743" ref="A1216"/>
    <hyperlink r:id="rId2744" ref="C1216"/>
    <hyperlink r:id="rId2745" ref="A1217"/>
    <hyperlink r:id="rId2746" ref="C1217"/>
    <hyperlink r:id="rId2747" ref="A1218"/>
    <hyperlink r:id="rId2748" ref="C1218"/>
    <hyperlink r:id="rId2749" ref="A1219"/>
    <hyperlink r:id="rId2750" ref="C1219"/>
    <hyperlink r:id="rId2751" ref="A1220"/>
    <hyperlink r:id="rId2752" ref="C1220"/>
    <hyperlink r:id="rId2753" ref="A1221"/>
    <hyperlink r:id="rId2754" ref="C1221"/>
    <hyperlink r:id="rId2755" ref="A1222"/>
    <hyperlink r:id="rId2756" ref="C1222"/>
    <hyperlink r:id="rId2757" ref="A1223"/>
    <hyperlink r:id="rId2758" ref="C1223"/>
    <hyperlink r:id="rId2759" ref="A1224"/>
    <hyperlink r:id="rId2760" ref="C1224"/>
    <hyperlink r:id="rId2761" ref="A1225"/>
    <hyperlink r:id="rId2762" ref="C1225"/>
    <hyperlink r:id="rId2763" ref="A1226"/>
    <hyperlink r:id="rId2764" ref="C1226"/>
    <hyperlink r:id="rId2765" ref="A1227"/>
    <hyperlink r:id="rId2766" ref="C1227"/>
    <hyperlink r:id="rId2767" ref="A1228"/>
    <hyperlink r:id="rId2768" ref="C1228"/>
    <hyperlink r:id="rId2769" ref="A1229"/>
    <hyperlink r:id="rId2770" ref="C1229"/>
    <hyperlink r:id="rId2771" ref="A1230"/>
    <hyperlink r:id="rId2772" ref="C1230"/>
    <hyperlink r:id="rId2773" ref="A1231"/>
    <hyperlink r:id="rId2774" ref="C1231"/>
    <hyperlink r:id="rId2775" ref="A1232"/>
    <hyperlink r:id="rId2776" ref="C1232"/>
    <hyperlink r:id="rId2777" ref="A1233"/>
    <hyperlink r:id="rId2778" ref="C1233"/>
    <hyperlink r:id="rId2779" ref="A1234"/>
    <hyperlink r:id="rId2780" ref="C1234"/>
    <hyperlink r:id="rId2781" ref="A1235"/>
    <hyperlink r:id="rId2782" ref="C1235"/>
    <hyperlink r:id="rId2783" ref="A1236"/>
    <hyperlink r:id="rId2784" ref="C1236"/>
    <hyperlink r:id="rId2785" ref="A1237"/>
    <hyperlink r:id="rId2786" ref="C1237"/>
    <hyperlink r:id="rId2787" ref="A1238"/>
    <hyperlink r:id="rId2788" ref="C1238"/>
    <hyperlink r:id="rId2789" ref="A1239"/>
    <hyperlink r:id="rId2790" ref="C1239"/>
    <hyperlink r:id="rId2791" ref="A1240"/>
    <hyperlink r:id="rId2792" ref="C1240"/>
    <hyperlink r:id="rId2793" ref="A1241"/>
    <hyperlink r:id="rId2794" ref="C1241"/>
    <hyperlink r:id="rId2795" ref="A1242"/>
    <hyperlink r:id="rId2796" ref="C1242"/>
    <hyperlink r:id="rId2797" ref="A1243"/>
    <hyperlink r:id="rId2798" ref="C1243"/>
    <hyperlink r:id="rId2799" ref="A1244"/>
    <hyperlink r:id="rId2800" ref="C1244"/>
    <hyperlink r:id="rId2801" ref="A1245"/>
    <hyperlink r:id="rId2802" ref="C1245"/>
    <hyperlink r:id="rId2803" ref="A1246"/>
    <hyperlink r:id="rId2804" ref="C1246"/>
    <hyperlink r:id="rId2805" ref="A1247"/>
    <hyperlink r:id="rId2806" ref="C1247"/>
    <hyperlink r:id="rId2807" ref="A1248"/>
    <hyperlink r:id="rId2808" ref="C1248"/>
    <hyperlink r:id="rId2809" ref="A1249"/>
    <hyperlink r:id="rId2810" ref="C1249"/>
    <hyperlink r:id="rId2811" ref="A1250"/>
    <hyperlink r:id="rId2812" ref="C1250"/>
    <hyperlink r:id="rId2813" ref="A1251"/>
    <hyperlink r:id="rId2814" ref="C1251"/>
    <hyperlink r:id="rId2815" ref="A1252"/>
    <hyperlink r:id="rId2816" ref="C1252"/>
    <hyperlink r:id="rId2817" ref="A1253"/>
    <hyperlink r:id="rId2818" ref="C1253"/>
    <hyperlink r:id="rId2819" ref="A1254"/>
    <hyperlink r:id="rId2820" ref="C1254"/>
    <hyperlink r:id="rId2821" ref="A1255"/>
    <hyperlink r:id="rId2822" ref="C1255"/>
    <hyperlink r:id="rId2823" ref="A1256"/>
    <hyperlink r:id="rId2824" ref="C1256"/>
    <hyperlink r:id="rId2825" ref="A1257"/>
    <hyperlink r:id="rId2826" ref="C1257"/>
    <hyperlink r:id="rId2827" ref="A1258"/>
    <hyperlink r:id="rId2828" ref="C1258"/>
    <hyperlink r:id="rId2829" ref="A1259"/>
    <hyperlink r:id="rId2830" ref="C1259"/>
    <hyperlink r:id="rId2831" ref="A1260"/>
    <hyperlink r:id="rId2832" ref="C1260"/>
    <hyperlink r:id="rId2833" ref="A1261"/>
    <hyperlink r:id="rId2834" ref="C1261"/>
    <hyperlink r:id="rId2835" ref="A1262"/>
    <hyperlink r:id="rId2836" ref="C1262"/>
    <hyperlink r:id="rId2837" ref="A1263"/>
    <hyperlink r:id="rId2838" ref="C1263"/>
    <hyperlink r:id="rId2839" ref="A1264"/>
    <hyperlink r:id="rId2840" ref="C1264"/>
    <hyperlink r:id="rId2841" ref="A1265"/>
    <hyperlink r:id="rId2842" ref="C1265"/>
    <hyperlink r:id="rId2843" ref="A1266"/>
    <hyperlink r:id="rId2844" ref="C1266"/>
    <hyperlink r:id="rId2845" ref="A1267"/>
    <hyperlink r:id="rId2846" ref="C1267"/>
    <hyperlink r:id="rId2847" ref="A1268"/>
    <hyperlink r:id="rId2848" ref="C1268"/>
    <hyperlink r:id="rId2849" ref="A1269"/>
    <hyperlink r:id="rId2850" ref="C1269"/>
    <hyperlink r:id="rId2851" ref="A1270"/>
    <hyperlink r:id="rId2852" ref="C1270"/>
    <hyperlink r:id="rId2853" ref="A1271"/>
    <hyperlink r:id="rId2854" ref="C1271"/>
    <hyperlink r:id="rId2855" ref="A1272"/>
    <hyperlink r:id="rId2856" ref="C1272"/>
    <hyperlink r:id="rId2857" ref="A1273"/>
    <hyperlink r:id="rId2858" ref="C1273"/>
    <hyperlink r:id="rId2859" ref="A1274"/>
    <hyperlink r:id="rId2860" ref="C1274"/>
    <hyperlink r:id="rId2861" ref="A1275"/>
    <hyperlink r:id="rId2862" ref="C1275"/>
    <hyperlink r:id="rId2863" ref="A1276"/>
    <hyperlink r:id="rId2864" ref="C1276"/>
    <hyperlink r:id="rId2865" ref="A1277"/>
    <hyperlink r:id="rId2866" ref="C1277"/>
    <hyperlink r:id="rId2867" ref="A1278"/>
    <hyperlink r:id="rId2868" ref="C1278"/>
    <hyperlink r:id="rId2869" ref="A1279"/>
    <hyperlink r:id="rId2870" ref="C1279"/>
    <hyperlink r:id="rId2871" ref="A1280"/>
    <hyperlink r:id="rId2872" ref="C1280"/>
    <hyperlink r:id="rId2873" ref="A1281"/>
    <hyperlink r:id="rId2874" ref="C1281"/>
    <hyperlink r:id="rId2875" ref="A1282"/>
    <hyperlink r:id="rId2876" ref="C1282"/>
    <hyperlink r:id="rId2877" ref="A1283"/>
    <hyperlink r:id="rId2878" ref="C1283"/>
    <hyperlink r:id="rId2879" ref="A1284"/>
    <hyperlink r:id="rId2880" ref="C1284"/>
    <hyperlink r:id="rId2881" ref="A1285"/>
    <hyperlink r:id="rId2882" ref="C1285"/>
    <hyperlink r:id="rId2883" ref="A1286"/>
    <hyperlink r:id="rId2884" ref="A1287"/>
    <hyperlink r:id="rId2885" ref="A1288"/>
    <hyperlink r:id="rId2886" ref="A1289"/>
    <hyperlink r:id="rId2887" ref="A1290"/>
    <hyperlink r:id="rId2888" ref="A1291"/>
    <hyperlink r:id="rId2889" ref="A1292"/>
    <hyperlink r:id="rId2890" ref="C1292"/>
    <hyperlink r:id="rId2891" ref="A1293"/>
    <hyperlink r:id="rId2892" ref="C1293"/>
    <hyperlink r:id="rId2893" ref="A1294"/>
    <hyperlink r:id="rId2894" ref="C1294"/>
    <hyperlink r:id="rId2895" ref="A1295"/>
    <hyperlink r:id="rId2896" ref="C1295"/>
    <hyperlink r:id="rId2897" ref="A1296"/>
    <hyperlink r:id="rId2898" ref="C1296"/>
    <hyperlink r:id="rId2899" ref="A1297"/>
    <hyperlink r:id="rId2900" ref="C1297"/>
    <hyperlink r:id="rId2901" ref="A1298"/>
    <hyperlink r:id="rId2902" ref="C1298"/>
    <hyperlink r:id="rId2903" ref="A1299"/>
    <hyperlink r:id="rId2904" ref="C1299"/>
    <hyperlink r:id="rId2905" ref="A1300"/>
    <hyperlink r:id="rId2906" ref="C1300"/>
    <hyperlink r:id="rId2907" ref="A1301"/>
    <hyperlink r:id="rId2908" ref="C1301"/>
    <hyperlink r:id="rId2909" ref="A1302"/>
    <hyperlink r:id="rId2910" ref="C1302"/>
    <hyperlink r:id="rId2911" ref="A1303"/>
    <hyperlink r:id="rId2912" ref="C1303"/>
    <hyperlink r:id="rId2913" ref="A1304"/>
    <hyperlink r:id="rId2914" ref="C1304"/>
    <hyperlink r:id="rId2915" ref="A1305"/>
    <hyperlink r:id="rId2916" ref="C1305"/>
    <hyperlink r:id="rId2917" ref="A1306"/>
    <hyperlink r:id="rId2918" ref="C1306"/>
    <hyperlink r:id="rId2919" ref="A1307"/>
    <hyperlink r:id="rId2920" ref="C1307"/>
    <hyperlink r:id="rId2921" ref="A1308"/>
    <hyperlink r:id="rId2922" ref="C1308"/>
    <hyperlink r:id="rId2923" ref="A1309"/>
    <hyperlink r:id="rId2924" ref="E1309"/>
    <hyperlink r:id="rId2925" ref="A1310"/>
    <hyperlink r:id="rId2926" ref="C1310"/>
    <hyperlink r:id="rId2927" ref="A1311"/>
    <hyperlink r:id="rId2928" ref="C1311"/>
    <hyperlink r:id="rId2929" ref="A1312"/>
    <hyperlink r:id="rId2930" ref="C1312"/>
    <hyperlink r:id="rId2931" ref="A1313"/>
    <hyperlink r:id="rId2932" ref="C1313"/>
    <hyperlink r:id="rId2933" ref="A1314"/>
    <hyperlink r:id="rId2934" ref="C1314"/>
    <hyperlink r:id="rId2935" ref="A1315"/>
    <hyperlink r:id="rId2936" ref="C1315"/>
    <hyperlink r:id="rId2937" ref="A1316"/>
    <hyperlink r:id="rId2938" ref="C1316"/>
    <hyperlink r:id="rId2939" ref="A1317"/>
    <hyperlink r:id="rId2940" ref="C1317"/>
    <hyperlink r:id="rId2941" ref="A1318"/>
    <hyperlink r:id="rId2942" ref="C1318"/>
    <hyperlink r:id="rId2943" ref="A1319"/>
    <hyperlink r:id="rId2944" ref="C1319"/>
    <hyperlink r:id="rId2945" ref="A1320"/>
    <hyperlink r:id="rId2946" ref="C1320"/>
    <hyperlink r:id="rId2947" ref="A1321"/>
    <hyperlink r:id="rId2948" ref="C1321"/>
    <hyperlink r:id="rId2949" ref="A1322"/>
    <hyperlink r:id="rId2950" ref="C1322"/>
    <hyperlink r:id="rId2951" ref="A1323"/>
    <hyperlink r:id="rId2952" ref="C1323"/>
    <hyperlink r:id="rId2953" ref="A1324"/>
    <hyperlink r:id="rId2954" ref="C1324"/>
    <hyperlink r:id="rId2955" ref="A1325"/>
    <hyperlink r:id="rId2956" ref="C1325"/>
    <hyperlink r:id="rId2957" ref="A1326"/>
    <hyperlink r:id="rId2958" ref="C1326"/>
    <hyperlink r:id="rId2959" ref="A1327"/>
    <hyperlink r:id="rId2960" ref="C1327"/>
    <hyperlink r:id="rId2961" ref="A1328"/>
    <hyperlink r:id="rId2962" ref="C1328"/>
    <hyperlink r:id="rId2963" ref="A1329"/>
    <hyperlink r:id="rId2964" ref="C1329"/>
    <hyperlink r:id="rId2965" ref="A1330"/>
    <hyperlink r:id="rId2966" ref="C1330"/>
    <hyperlink r:id="rId2967" ref="A1331"/>
    <hyperlink r:id="rId2968" ref="C1331"/>
    <hyperlink r:id="rId2969" ref="A1332"/>
    <hyperlink r:id="rId2970" ref="C1332"/>
    <hyperlink r:id="rId2971" ref="A1333"/>
    <hyperlink r:id="rId2972" ref="C1333"/>
    <hyperlink r:id="rId2973" ref="A1334"/>
    <hyperlink r:id="rId2974" ref="C1334"/>
    <hyperlink r:id="rId2975" ref="A1335"/>
    <hyperlink r:id="rId2976" ref="C1335"/>
    <hyperlink r:id="rId2977" ref="A1336"/>
    <hyperlink r:id="rId2978" ref="C1336"/>
    <hyperlink r:id="rId2979" ref="A1337"/>
    <hyperlink r:id="rId2980" ref="C1337"/>
    <hyperlink r:id="rId2981" ref="A1338"/>
    <hyperlink r:id="rId2982" ref="C1338"/>
    <hyperlink r:id="rId2983" ref="A1339"/>
    <hyperlink r:id="rId2984" ref="C1339"/>
    <hyperlink r:id="rId2985" ref="A1340"/>
    <hyperlink r:id="rId2986" ref="C1340"/>
    <hyperlink r:id="rId2987" ref="A1341"/>
    <hyperlink r:id="rId2988" ref="C1341"/>
    <hyperlink r:id="rId2989" ref="A1342"/>
    <hyperlink r:id="rId2990" ref="C1342"/>
    <hyperlink r:id="rId2991" ref="A1343"/>
    <hyperlink r:id="rId2992" ref="C1343"/>
    <hyperlink r:id="rId2993" ref="A1344"/>
    <hyperlink r:id="rId2994" ref="C1344"/>
    <hyperlink r:id="rId2995" ref="A1345"/>
    <hyperlink r:id="rId2996" ref="C1345"/>
    <hyperlink r:id="rId2997" ref="A1346"/>
    <hyperlink r:id="rId2998" ref="C1346"/>
    <hyperlink r:id="rId2999" ref="A1347"/>
    <hyperlink r:id="rId3000" ref="C1347"/>
    <hyperlink r:id="rId3001" ref="A1348"/>
    <hyperlink r:id="rId3002" ref="C1348"/>
    <hyperlink r:id="rId3003" ref="A1349"/>
    <hyperlink r:id="rId3004" ref="C1349"/>
    <hyperlink r:id="rId3005" ref="A1350"/>
    <hyperlink r:id="rId3006" ref="C1350"/>
    <hyperlink r:id="rId3007" ref="A1351"/>
    <hyperlink r:id="rId3008" ref="C1351"/>
    <hyperlink r:id="rId3009" ref="A1352"/>
    <hyperlink r:id="rId3010" ref="C1352"/>
    <hyperlink r:id="rId3011" ref="A1353"/>
    <hyperlink r:id="rId3012" ref="C1353"/>
    <hyperlink r:id="rId3013" ref="A1354"/>
    <hyperlink r:id="rId3014" ref="C1354"/>
    <hyperlink r:id="rId3015" ref="A1355"/>
    <hyperlink r:id="rId3016" ref="C1355"/>
    <hyperlink r:id="rId3017" ref="A1356"/>
    <hyperlink r:id="rId3018" ref="C1356"/>
    <hyperlink r:id="rId3019" ref="A1357"/>
    <hyperlink r:id="rId3020" ref="A1358"/>
    <hyperlink r:id="rId3021" ref="A1359"/>
    <hyperlink r:id="rId3022" ref="A1360"/>
    <hyperlink r:id="rId3023" ref="C1360"/>
    <hyperlink r:id="rId3024" ref="A1361"/>
    <hyperlink r:id="rId3025" ref="A1362"/>
    <hyperlink r:id="rId3026" ref="A1363"/>
    <hyperlink r:id="rId3027" ref="C1363"/>
    <hyperlink r:id="rId3028" ref="A1364"/>
    <hyperlink r:id="rId3029" ref="C1364"/>
    <hyperlink r:id="rId3030" ref="A1365"/>
    <hyperlink r:id="rId3031" ref="C1365"/>
    <hyperlink r:id="rId3032" ref="A1366"/>
    <hyperlink r:id="rId3033" ref="A1367"/>
    <hyperlink r:id="rId3034" ref="C1367"/>
    <hyperlink r:id="rId3035" ref="A1368"/>
    <hyperlink r:id="rId3036" ref="C1368"/>
    <hyperlink r:id="rId3037" ref="A1369"/>
    <hyperlink r:id="rId3038" ref="C1369"/>
    <hyperlink r:id="rId3039" ref="A1370"/>
    <hyperlink r:id="rId3040" ref="C1370"/>
    <hyperlink r:id="rId3041" ref="A1371"/>
    <hyperlink r:id="rId3042" ref="A1372"/>
    <hyperlink r:id="rId3043" ref="C1372"/>
    <hyperlink r:id="rId3044" ref="A1373"/>
    <hyperlink r:id="rId3045" ref="C1373"/>
    <hyperlink r:id="rId3046" ref="A1374"/>
    <hyperlink r:id="rId3047" ref="C1374"/>
    <hyperlink r:id="rId3048" ref="A1375"/>
    <hyperlink r:id="rId3049" ref="C1375"/>
    <hyperlink r:id="rId3050" ref="A1376"/>
    <hyperlink r:id="rId3051" ref="C1376"/>
    <hyperlink r:id="rId3052" ref="A1377"/>
    <hyperlink r:id="rId3053" ref="C1377"/>
    <hyperlink r:id="rId3054" ref="A1378"/>
    <hyperlink r:id="rId3055" ref="C1378"/>
    <hyperlink r:id="rId3056" ref="A1379"/>
    <hyperlink r:id="rId3057" ref="C1379"/>
    <hyperlink r:id="rId3058" ref="A1380"/>
    <hyperlink r:id="rId3059" ref="C1380"/>
    <hyperlink r:id="rId3060" ref="A1381"/>
    <hyperlink r:id="rId3061" ref="C1381"/>
    <hyperlink r:id="rId3062" ref="A1382"/>
    <hyperlink r:id="rId3063" ref="C1382"/>
    <hyperlink r:id="rId3064" ref="A1383"/>
    <hyperlink r:id="rId3065" ref="C1383"/>
    <hyperlink r:id="rId3066" ref="E1383"/>
    <hyperlink r:id="rId3067" ref="A1384"/>
    <hyperlink r:id="rId3068" ref="C1384"/>
    <hyperlink r:id="rId3069" ref="A1385"/>
    <hyperlink r:id="rId3070" ref="C1385"/>
    <hyperlink r:id="rId3071" ref="A1386"/>
    <hyperlink r:id="rId3072" ref="C1386"/>
    <hyperlink r:id="rId3073" ref="A1387"/>
    <hyperlink r:id="rId3074" ref="C1387"/>
    <hyperlink r:id="rId3075" ref="A1388"/>
    <hyperlink r:id="rId3076" ref="C1388"/>
    <hyperlink r:id="rId3077" ref="A1389"/>
    <hyperlink r:id="rId3078" ref="C1389"/>
    <hyperlink r:id="rId3079" ref="A1390"/>
    <hyperlink r:id="rId3080" ref="C1390"/>
    <hyperlink r:id="rId3081" ref="A1391"/>
    <hyperlink r:id="rId3082" ref="C1391"/>
    <hyperlink r:id="rId3083" ref="A1392"/>
    <hyperlink r:id="rId3084" ref="C1392"/>
    <hyperlink r:id="rId3085" ref="A1393"/>
    <hyperlink r:id="rId3086" ref="C1393"/>
    <hyperlink r:id="rId3087" ref="A1394"/>
    <hyperlink r:id="rId3088" ref="C1394"/>
    <hyperlink r:id="rId3089" ref="E1394"/>
    <hyperlink r:id="rId3090" ref="A1395"/>
    <hyperlink r:id="rId3091" ref="C1395"/>
    <hyperlink r:id="rId3092" ref="A1396"/>
    <hyperlink r:id="rId3093" ref="C1396"/>
    <hyperlink r:id="rId3094" ref="A1397"/>
    <hyperlink r:id="rId3095" ref="C1397"/>
    <hyperlink r:id="rId3096" ref="A1398"/>
    <hyperlink r:id="rId3097" ref="C1398"/>
    <hyperlink r:id="rId3098" ref="A1399"/>
    <hyperlink r:id="rId3099" ref="C1399"/>
    <hyperlink r:id="rId3100" ref="A1400"/>
    <hyperlink r:id="rId3101" ref="C1400"/>
    <hyperlink r:id="rId3102" ref="A1401"/>
    <hyperlink r:id="rId3103" ref="C1401"/>
    <hyperlink r:id="rId3104" ref="A1402"/>
    <hyperlink r:id="rId3105" ref="C1402"/>
    <hyperlink r:id="rId3106" ref="A1403"/>
    <hyperlink r:id="rId3107" ref="C1403"/>
    <hyperlink r:id="rId3108" ref="A1404"/>
    <hyperlink r:id="rId3109" ref="C1404"/>
    <hyperlink r:id="rId3110" ref="A1405"/>
    <hyperlink r:id="rId3111" ref="C1405"/>
    <hyperlink r:id="rId3112" ref="A1406"/>
    <hyperlink r:id="rId3113" ref="C1406"/>
    <hyperlink r:id="rId3114" ref="A1407"/>
    <hyperlink r:id="rId3115" ref="C1407"/>
    <hyperlink r:id="rId3116" ref="A1408"/>
    <hyperlink r:id="rId3117" ref="C1408"/>
    <hyperlink r:id="rId3118" ref="A1409"/>
    <hyperlink r:id="rId3119" ref="C1409"/>
    <hyperlink r:id="rId3120" ref="A1410"/>
    <hyperlink r:id="rId3121" ref="C1410"/>
    <hyperlink r:id="rId3122" ref="A1411"/>
    <hyperlink r:id="rId3123" ref="C1411"/>
    <hyperlink r:id="rId3124" ref="A1412"/>
    <hyperlink r:id="rId3125" ref="C1412"/>
    <hyperlink r:id="rId3126" ref="A1413"/>
    <hyperlink r:id="rId3127" ref="C1413"/>
    <hyperlink r:id="rId3128" ref="A1414"/>
    <hyperlink r:id="rId3129" ref="C1414"/>
    <hyperlink r:id="rId3130" ref="A1415"/>
    <hyperlink r:id="rId3131" ref="C1415"/>
    <hyperlink r:id="rId3132" ref="A1416"/>
    <hyperlink r:id="rId3133" ref="C1416"/>
    <hyperlink r:id="rId3134" ref="A1417"/>
    <hyperlink r:id="rId3135" ref="C1417"/>
    <hyperlink r:id="rId3136" ref="A1418"/>
    <hyperlink r:id="rId3137" ref="C1418"/>
    <hyperlink r:id="rId3138" ref="A1419"/>
    <hyperlink r:id="rId3139" ref="C1419"/>
    <hyperlink r:id="rId3140" ref="A1420"/>
    <hyperlink r:id="rId3141" ref="C1420"/>
    <hyperlink r:id="rId3142" ref="A1421"/>
    <hyperlink r:id="rId3143" ref="C1421"/>
    <hyperlink r:id="rId3144" ref="A1422"/>
    <hyperlink r:id="rId3145" ref="C1422"/>
    <hyperlink r:id="rId3146" ref="A1423"/>
    <hyperlink r:id="rId3147" ref="C1423"/>
    <hyperlink r:id="rId3148" ref="A1424"/>
    <hyperlink r:id="rId3149" ref="C1424"/>
    <hyperlink r:id="rId3150" ref="E1424"/>
    <hyperlink r:id="rId3151" ref="A1425"/>
    <hyperlink r:id="rId3152" ref="C1425"/>
    <hyperlink r:id="rId3153" ref="A1426"/>
    <hyperlink r:id="rId3154" ref="C1426"/>
    <hyperlink r:id="rId3155" ref="A1427"/>
    <hyperlink r:id="rId3156" ref="C1427"/>
    <hyperlink r:id="rId3157" ref="A1428"/>
    <hyperlink r:id="rId3158" ref="C1428"/>
    <hyperlink r:id="rId3159" ref="A1429"/>
    <hyperlink r:id="rId3160" ref="C1429"/>
    <hyperlink r:id="rId3161" ref="A1430"/>
    <hyperlink r:id="rId3162" ref="C1430"/>
    <hyperlink r:id="rId3163" ref="A1431"/>
    <hyperlink r:id="rId3164" ref="C1431"/>
    <hyperlink r:id="rId3165" ref="A1432"/>
    <hyperlink r:id="rId3166" ref="C1432"/>
    <hyperlink r:id="rId3167" ref="A1433"/>
    <hyperlink r:id="rId3168" ref="C1433"/>
    <hyperlink r:id="rId3169" ref="A1434"/>
    <hyperlink r:id="rId3170" ref="C1434"/>
    <hyperlink r:id="rId3171" ref="A1435"/>
    <hyperlink r:id="rId3172" ref="C1435"/>
    <hyperlink r:id="rId3173" ref="A1436"/>
    <hyperlink r:id="rId3174" ref="C1436"/>
    <hyperlink r:id="rId3175" ref="A1437"/>
    <hyperlink r:id="rId3176" ref="C1437"/>
    <hyperlink r:id="rId3177" ref="A1438"/>
    <hyperlink r:id="rId3178" ref="C1438"/>
    <hyperlink r:id="rId3179" ref="A1439"/>
    <hyperlink r:id="rId3180" ref="C1439"/>
    <hyperlink r:id="rId3181" ref="A1440"/>
    <hyperlink r:id="rId3182" ref="C1440"/>
    <hyperlink r:id="rId3183" ref="A1441"/>
    <hyperlink r:id="rId3184" ref="C1441"/>
    <hyperlink r:id="rId3185" ref="A1442"/>
    <hyperlink r:id="rId3186" ref="C1442"/>
    <hyperlink r:id="rId3187" ref="A1443"/>
    <hyperlink r:id="rId3188" ref="C1443"/>
    <hyperlink r:id="rId3189" ref="A1444"/>
    <hyperlink r:id="rId3190" ref="C1444"/>
    <hyperlink r:id="rId3191" ref="A1445"/>
    <hyperlink r:id="rId3192" ref="C1445"/>
    <hyperlink r:id="rId3193" ref="A1446"/>
    <hyperlink r:id="rId3194" ref="C1446"/>
    <hyperlink r:id="rId3195" ref="A1447"/>
    <hyperlink r:id="rId3196" ref="C1447"/>
    <hyperlink r:id="rId3197" ref="A1448"/>
    <hyperlink r:id="rId3198" ref="C1448"/>
    <hyperlink r:id="rId3199" ref="A1449"/>
    <hyperlink r:id="rId3200" ref="C1449"/>
    <hyperlink r:id="rId3201" ref="A1450"/>
    <hyperlink r:id="rId3202" ref="C1450"/>
    <hyperlink r:id="rId3203" ref="A1451"/>
    <hyperlink r:id="rId3204" ref="C1451"/>
    <hyperlink r:id="rId3205" ref="A1452"/>
    <hyperlink r:id="rId3206" ref="C1452"/>
    <hyperlink r:id="rId3207" ref="A1453"/>
    <hyperlink r:id="rId3208" ref="A1454"/>
    <hyperlink r:id="rId3209" ref="A1455"/>
    <hyperlink r:id="rId3210" ref="A1456"/>
    <hyperlink r:id="rId3211" ref="A1457"/>
    <hyperlink r:id="rId3212" ref="A1458"/>
    <hyperlink r:id="rId3213" ref="A1459"/>
    <hyperlink r:id="rId3214" ref="C1459"/>
    <hyperlink r:id="rId3215" ref="A1460"/>
    <hyperlink r:id="rId3216" ref="C1460"/>
    <hyperlink r:id="rId3217" ref="A1461"/>
    <hyperlink r:id="rId3218" ref="C1461"/>
    <hyperlink r:id="rId3219" ref="A1462"/>
    <hyperlink r:id="rId3220" ref="C1462"/>
    <hyperlink r:id="rId3221" ref="A1463"/>
    <hyperlink r:id="rId3222" ref="C1463"/>
    <hyperlink r:id="rId3223" ref="A1464"/>
    <hyperlink r:id="rId3224" ref="C1464"/>
    <hyperlink r:id="rId3225" ref="A1465"/>
    <hyperlink r:id="rId3226" ref="C1465"/>
    <hyperlink r:id="rId3227" ref="A1466"/>
    <hyperlink r:id="rId3228" ref="C1466"/>
    <hyperlink r:id="rId3229" ref="E1466"/>
    <hyperlink r:id="rId3230" ref="A1467"/>
    <hyperlink r:id="rId3231" ref="C1467"/>
    <hyperlink r:id="rId3232" ref="E1467"/>
    <hyperlink r:id="rId3233" ref="A1468"/>
    <hyperlink r:id="rId3234" ref="C1468"/>
    <hyperlink r:id="rId3235" ref="E1468"/>
    <hyperlink r:id="rId3236" ref="A1469"/>
    <hyperlink r:id="rId3237" ref="C1469"/>
    <hyperlink r:id="rId3238" ref="E1469"/>
    <hyperlink r:id="rId3239" ref="A1470"/>
    <hyperlink r:id="rId3240" ref="C1470"/>
    <hyperlink r:id="rId3241" ref="E1470"/>
    <hyperlink r:id="rId3242" ref="A1471"/>
    <hyperlink r:id="rId3243" ref="C1471"/>
    <hyperlink r:id="rId3244" ref="E1471"/>
    <hyperlink r:id="rId3245" ref="A1472"/>
    <hyperlink r:id="rId3246" ref="C1472"/>
    <hyperlink r:id="rId3247" ref="E1472"/>
    <hyperlink r:id="rId3248" ref="A1473"/>
    <hyperlink r:id="rId3249" ref="C1473"/>
    <hyperlink r:id="rId3250" ref="E1473"/>
    <hyperlink r:id="rId3251" ref="A1474"/>
    <hyperlink r:id="rId3252" ref="C1474"/>
    <hyperlink r:id="rId3253" ref="E1474"/>
    <hyperlink r:id="rId3254" ref="A1475"/>
    <hyperlink r:id="rId3255" ref="C1475"/>
    <hyperlink r:id="rId3256" ref="E1475"/>
    <hyperlink r:id="rId3257" ref="A1476"/>
    <hyperlink r:id="rId3258" ref="C1476"/>
    <hyperlink r:id="rId3259" ref="E1476"/>
    <hyperlink r:id="rId3260" ref="A1477"/>
    <hyperlink r:id="rId3261" ref="C1477"/>
    <hyperlink r:id="rId3262" ref="E1477"/>
    <hyperlink r:id="rId3263" ref="A1478"/>
    <hyperlink r:id="rId3264" ref="C1478"/>
    <hyperlink r:id="rId3265" ref="A1479"/>
    <hyperlink r:id="rId3266" ref="C1479"/>
    <hyperlink r:id="rId3267" ref="A1480"/>
    <hyperlink r:id="rId3268" ref="C1480"/>
    <hyperlink r:id="rId3269" ref="A1481"/>
    <hyperlink r:id="rId3270" ref="C1481"/>
    <hyperlink r:id="rId3271" ref="A1482"/>
    <hyperlink r:id="rId3272" ref="C1482"/>
    <hyperlink r:id="rId3273" ref="A1483"/>
    <hyperlink r:id="rId3274" ref="C1483"/>
    <hyperlink r:id="rId3275" ref="E1483"/>
    <hyperlink r:id="rId3276" ref="A1484"/>
    <hyperlink r:id="rId3277" ref="C1484"/>
    <hyperlink r:id="rId3278" ref="A1485"/>
    <hyperlink r:id="rId3279" ref="C1485"/>
    <hyperlink r:id="rId3280" ref="A1486"/>
    <hyperlink r:id="rId3281" ref="C1486"/>
    <hyperlink r:id="rId3282" ref="E1486"/>
    <hyperlink r:id="rId3283" ref="A1487"/>
    <hyperlink r:id="rId3284" ref="C1487"/>
    <hyperlink r:id="rId3285" ref="E1487"/>
    <hyperlink r:id="rId3286" ref="A1488"/>
    <hyperlink r:id="rId3287" ref="C1488"/>
    <hyperlink r:id="rId3288" ref="E1488"/>
    <hyperlink r:id="rId3289" ref="A1489"/>
    <hyperlink r:id="rId3290" ref="C1489"/>
    <hyperlink r:id="rId3291" ref="A1490"/>
    <hyperlink r:id="rId3292" ref="C1490"/>
    <hyperlink r:id="rId3293" ref="A1491"/>
    <hyperlink r:id="rId3294" ref="C1491"/>
    <hyperlink r:id="rId3295" ref="A1492"/>
    <hyperlink r:id="rId3296" ref="C1492"/>
    <hyperlink r:id="rId3297" ref="E1492"/>
    <hyperlink r:id="rId3298" ref="A1493"/>
    <hyperlink r:id="rId3299" ref="C1493"/>
    <hyperlink r:id="rId3300" ref="A1494"/>
    <hyperlink r:id="rId3301" ref="C1494"/>
    <hyperlink r:id="rId3302" ref="A1495"/>
    <hyperlink r:id="rId3303" ref="C1495"/>
    <hyperlink r:id="rId3304" ref="E1495"/>
    <hyperlink r:id="rId3305" ref="A1496"/>
    <hyperlink r:id="rId3306" ref="C1496"/>
    <hyperlink r:id="rId3307" ref="E1496"/>
    <hyperlink r:id="rId3308" ref="A1497"/>
    <hyperlink r:id="rId3309" ref="C1497"/>
    <hyperlink r:id="rId3310" ref="A1498"/>
    <hyperlink r:id="rId3311" ref="C1498"/>
    <hyperlink r:id="rId3312" ref="E1498"/>
    <hyperlink r:id="rId3313" ref="A1499"/>
    <hyperlink r:id="rId3314" ref="C1499"/>
    <hyperlink r:id="rId3315" ref="E1499"/>
    <hyperlink r:id="rId3316" ref="A1500"/>
    <hyperlink r:id="rId3317" ref="C1500"/>
    <hyperlink r:id="rId3318" ref="E1500"/>
    <hyperlink r:id="rId3319" ref="A1501"/>
    <hyperlink r:id="rId3320" ref="C1501"/>
    <hyperlink r:id="rId3321" ref="E1501"/>
    <hyperlink r:id="rId3322" ref="A1502"/>
    <hyperlink r:id="rId3323" ref="C1502"/>
    <hyperlink r:id="rId3324" ref="A1503"/>
    <hyperlink r:id="rId3325" ref="C1503"/>
    <hyperlink r:id="rId3326" ref="A1504"/>
    <hyperlink r:id="rId3327" ref="C1504"/>
    <hyperlink r:id="rId3328" ref="E1504"/>
    <hyperlink r:id="rId3329" ref="A1505"/>
    <hyperlink r:id="rId3330" ref="C1505"/>
    <hyperlink r:id="rId3331" ref="E1505"/>
    <hyperlink r:id="rId3332" ref="A1506"/>
    <hyperlink r:id="rId3333" ref="C1506"/>
    <hyperlink r:id="rId3334" ref="A1507"/>
    <hyperlink r:id="rId3335" ref="C1507"/>
    <hyperlink r:id="rId3336" ref="E1507"/>
    <hyperlink r:id="rId3337" ref="A1508"/>
    <hyperlink r:id="rId3338" ref="C1508"/>
    <hyperlink r:id="rId3339" ref="E1508"/>
    <hyperlink r:id="rId3340" ref="A1509"/>
    <hyperlink r:id="rId3341" ref="C1509"/>
    <hyperlink r:id="rId3342" ref="A1510"/>
    <hyperlink r:id="rId3343" ref="C1510"/>
    <hyperlink r:id="rId3344" ref="E1510"/>
    <hyperlink r:id="rId3345" ref="A1511"/>
    <hyperlink r:id="rId3346" ref="C1511"/>
    <hyperlink r:id="rId3347" ref="E1511"/>
    <hyperlink r:id="rId3348" ref="A1512"/>
    <hyperlink r:id="rId3349" ref="C1512"/>
    <hyperlink r:id="rId3350" ref="E1512"/>
    <hyperlink r:id="rId3351" ref="A1513"/>
    <hyperlink r:id="rId3352" ref="C1513"/>
    <hyperlink r:id="rId3353" ref="E1513"/>
    <hyperlink r:id="rId3354" ref="A1514"/>
    <hyperlink r:id="rId3355" ref="C1514"/>
    <hyperlink r:id="rId3356" ref="E1514"/>
    <hyperlink r:id="rId3357" ref="A1515"/>
    <hyperlink r:id="rId3358" ref="C1515"/>
    <hyperlink r:id="rId3359" ref="A1516"/>
    <hyperlink r:id="rId3360" ref="C1516"/>
    <hyperlink r:id="rId3361" ref="A1517"/>
    <hyperlink r:id="rId3362" ref="C1517"/>
    <hyperlink r:id="rId3363" ref="A1518"/>
    <hyperlink r:id="rId3364" ref="C1518"/>
    <hyperlink r:id="rId3365" ref="A1519"/>
    <hyperlink r:id="rId3366" ref="C1519"/>
    <hyperlink r:id="rId3367" ref="E1519"/>
    <hyperlink r:id="rId3368" ref="A1520"/>
    <hyperlink r:id="rId3369" ref="C1520"/>
    <hyperlink r:id="rId3370" ref="E1520"/>
    <hyperlink r:id="rId3371" ref="A1521"/>
    <hyperlink r:id="rId3372" ref="C1521"/>
    <hyperlink r:id="rId3373" ref="A1522"/>
    <hyperlink r:id="rId3374" ref="C1522"/>
    <hyperlink r:id="rId3375" ref="E1522"/>
    <hyperlink r:id="rId3376" ref="A1523"/>
    <hyperlink r:id="rId3377" ref="C1523"/>
    <hyperlink r:id="rId3378" ref="E1523"/>
    <hyperlink r:id="rId3379" ref="A1524"/>
    <hyperlink r:id="rId3380" ref="C1524"/>
    <hyperlink r:id="rId3381" ref="E1524"/>
    <hyperlink r:id="rId3382" ref="A1525"/>
    <hyperlink r:id="rId3383" ref="C1525"/>
    <hyperlink r:id="rId3384" ref="E1525"/>
    <hyperlink r:id="rId3385" ref="A1526"/>
    <hyperlink r:id="rId3386" ref="C1526"/>
    <hyperlink r:id="rId3387" ref="E1526"/>
    <hyperlink r:id="rId3388" ref="A1527"/>
    <hyperlink r:id="rId3389" ref="C1527"/>
    <hyperlink r:id="rId3390" ref="A1528"/>
    <hyperlink r:id="rId3391" ref="C1528"/>
    <hyperlink r:id="rId3392" ref="E1528"/>
    <hyperlink r:id="rId3393" ref="A1529"/>
    <hyperlink r:id="rId3394" ref="C1529"/>
    <hyperlink r:id="rId3395" ref="E1529"/>
    <hyperlink r:id="rId3396" ref="A1530"/>
    <hyperlink r:id="rId3397" ref="C1530"/>
    <hyperlink r:id="rId3398" ref="E1530"/>
    <hyperlink r:id="rId3399" ref="A1531"/>
    <hyperlink r:id="rId3400" ref="C1531"/>
    <hyperlink r:id="rId3401" ref="A1532"/>
    <hyperlink r:id="rId3402" ref="C1532"/>
    <hyperlink r:id="rId3403" ref="E1532"/>
    <hyperlink r:id="rId3404" ref="A1533"/>
    <hyperlink r:id="rId3405" ref="C1533"/>
    <hyperlink r:id="rId3406" ref="E1533"/>
    <hyperlink r:id="rId3407" ref="A1534"/>
    <hyperlink r:id="rId3408" ref="C1534"/>
    <hyperlink r:id="rId3409" ref="E1534"/>
    <hyperlink r:id="rId3410" ref="A1535"/>
    <hyperlink r:id="rId3411" ref="C1535"/>
    <hyperlink r:id="rId3412" ref="A1536"/>
    <hyperlink r:id="rId3413" ref="C1536"/>
    <hyperlink r:id="rId3414" ref="A1537"/>
    <hyperlink r:id="rId3415" ref="C1537"/>
    <hyperlink r:id="rId3416" ref="A1538"/>
    <hyperlink r:id="rId3417" ref="C1538"/>
    <hyperlink r:id="rId3418" ref="A1539"/>
    <hyperlink r:id="rId3419" ref="C1539"/>
    <hyperlink r:id="rId3420" ref="E1539"/>
    <hyperlink r:id="rId3421" ref="A1540"/>
    <hyperlink r:id="rId3422" ref="C1540"/>
    <hyperlink r:id="rId3423" ref="E1540"/>
    <hyperlink r:id="rId3424" ref="A1541"/>
    <hyperlink r:id="rId3425" ref="C1541"/>
    <hyperlink r:id="rId3426" ref="A1542"/>
    <hyperlink r:id="rId3427" ref="C1542"/>
    <hyperlink r:id="rId3428" ref="E1542"/>
    <hyperlink r:id="rId3429" ref="A1543"/>
    <hyperlink r:id="rId3430" ref="C1543"/>
    <hyperlink r:id="rId3431" ref="E1543"/>
    <hyperlink r:id="rId3432" ref="A1544"/>
    <hyperlink r:id="rId3433" ref="C1544"/>
    <hyperlink r:id="rId3434" ref="E1544"/>
    <hyperlink r:id="rId3435" ref="A1545"/>
    <hyperlink r:id="rId3436" ref="C1545"/>
    <hyperlink r:id="rId3437" ref="A1546"/>
    <hyperlink r:id="rId3438" ref="C1546"/>
    <hyperlink r:id="rId3439" ref="A1547"/>
    <hyperlink r:id="rId3440" ref="C1547"/>
    <hyperlink r:id="rId3441" ref="E1547"/>
    <hyperlink r:id="rId3442" ref="A1548"/>
    <hyperlink r:id="rId3443" ref="C1548"/>
    <hyperlink r:id="rId3444" ref="A1549"/>
    <hyperlink r:id="rId3445" ref="C1549"/>
    <hyperlink r:id="rId3446" ref="E1549"/>
    <hyperlink r:id="rId3447" ref="A1550"/>
    <hyperlink r:id="rId3448" ref="C1550"/>
    <hyperlink r:id="rId3449" ref="E1550"/>
    <hyperlink r:id="rId3450" ref="A1551"/>
    <hyperlink r:id="rId3451" ref="C1551"/>
    <hyperlink r:id="rId3452" ref="E1551"/>
    <hyperlink r:id="rId3453" ref="A1552"/>
    <hyperlink r:id="rId3454" ref="C1552"/>
    <hyperlink r:id="rId3455" ref="E1552"/>
    <hyperlink r:id="rId3456" ref="A1553"/>
    <hyperlink r:id="rId3457" ref="C1553"/>
    <hyperlink r:id="rId3458" ref="A1554"/>
    <hyperlink r:id="rId3459" ref="C1554"/>
    <hyperlink r:id="rId3460" ref="A1555"/>
    <hyperlink r:id="rId3461" ref="C1555"/>
    <hyperlink r:id="rId3462" ref="A1556"/>
    <hyperlink r:id="rId3463" ref="C1556"/>
    <hyperlink r:id="rId3464" ref="A1557"/>
    <hyperlink r:id="rId3465" ref="C1557"/>
    <hyperlink r:id="rId3466" ref="E1557"/>
    <hyperlink r:id="rId3467" ref="A1558"/>
    <hyperlink r:id="rId3468" ref="C1558"/>
    <hyperlink r:id="rId3469" ref="E1558"/>
    <hyperlink r:id="rId3470" ref="A1559"/>
    <hyperlink r:id="rId3471" ref="C1559"/>
    <hyperlink r:id="rId3472" ref="E1559"/>
    <hyperlink r:id="rId3473" ref="A1560"/>
    <hyperlink r:id="rId3474" ref="C1560"/>
    <hyperlink r:id="rId3475" ref="E1560"/>
    <hyperlink r:id="rId3476" ref="A1561"/>
    <hyperlink r:id="rId3477" ref="C1561"/>
    <hyperlink r:id="rId3478" ref="E1561"/>
    <hyperlink r:id="rId3479" ref="A1562"/>
    <hyperlink r:id="rId3480" ref="C1562"/>
    <hyperlink r:id="rId3481" ref="A1563"/>
    <hyperlink r:id="rId3482" ref="C1563"/>
    <hyperlink r:id="rId3483" ref="E1563"/>
    <hyperlink r:id="rId3484" ref="A1564"/>
    <hyperlink r:id="rId3485" ref="C1564"/>
    <hyperlink r:id="rId3486" ref="E1564"/>
    <hyperlink r:id="rId3487" ref="A1565"/>
    <hyperlink r:id="rId3488" ref="C1565"/>
    <hyperlink r:id="rId3489" ref="E1565"/>
    <hyperlink r:id="rId3490" ref="A1566"/>
    <hyperlink r:id="rId3491" ref="C1566"/>
    <hyperlink r:id="rId3492" ref="A1567"/>
    <hyperlink r:id="rId3493" ref="C1567"/>
    <hyperlink r:id="rId3494" ref="A1568"/>
    <hyperlink r:id="rId3495" ref="C1568"/>
    <hyperlink r:id="rId3496" ref="A1569"/>
    <hyperlink r:id="rId3497" ref="C1569"/>
    <hyperlink r:id="rId3498" ref="A1570"/>
    <hyperlink r:id="rId3499" ref="C1570"/>
    <hyperlink r:id="rId3500" ref="A1571"/>
    <hyperlink r:id="rId3501" ref="C1571"/>
    <hyperlink r:id="rId3502" ref="A1572"/>
    <hyperlink r:id="rId3503" ref="C1572"/>
    <hyperlink r:id="rId3504" ref="A1573"/>
    <hyperlink r:id="rId3505" ref="C1573"/>
    <hyperlink r:id="rId3506" ref="A1574"/>
    <hyperlink r:id="rId3507" ref="C1574"/>
    <hyperlink r:id="rId3508" ref="A1575"/>
    <hyperlink r:id="rId3509" ref="C1575"/>
    <hyperlink r:id="rId3510" ref="A1576"/>
    <hyperlink r:id="rId3511" ref="C1576"/>
    <hyperlink r:id="rId3512" ref="A1577"/>
    <hyperlink r:id="rId3513" ref="C1577"/>
    <hyperlink r:id="rId3514" ref="A1578"/>
    <hyperlink r:id="rId3515" ref="C1578"/>
    <hyperlink r:id="rId3516" ref="A1579"/>
    <hyperlink r:id="rId3517" ref="C1579"/>
    <hyperlink r:id="rId3518" ref="A1580"/>
    <hyperlink r:id="rId3519" ref="C1580"/>
    <hyperlink r:id="rId3520" ref="A1581"/>
    <hyperlink r:id="rId3521" ref="C1581"/>
    <hyperlink r:id="rId3522" ref="E1581"/>
    <hyperlink r:id="rId3523" ref="A1582"/>
    <hyperlink r:id="rId3524" ref="C1582"/>
    <hyperlink r:id="rId3525" ref="E1582"/>
    <hyperlink r:id="rId3526" ref="A1583"/>
    <hyperlink r:id="rId3527" ref="C1583"/>
    <hyperlink r:id="rId3528" ref="E1583"/>
    <hyperlink r:id="rId3529" ref="A1584"/>
    <hyperlink r:id="rId3530" ref="C1584"/>
    <hyperlink r:id="rId3531" ref="E1584"/>
    <hyperlink r:id="rId3532" ref="A1585"/>
    <hyperlink r:id="rId3533" ref="C1585"/>
    <hyperlink r:id="rId3534" ref="E1585"/>
    <hyperlink r:id="rId3535" ref="A1586"/>
    <hyperlink r:id="rId3536" ref="C1586"/>
    <hyperlink r:id="rId3537" ref="A1587"/>
    <hyperlink r:id="rId3538" ref="C1587"/>
    <hyperlink r:id="rId3539" ref="A1588"/>
    <hyperlink r:id="rId3540" ref="C1588"/>
    <hyperlink r:id="rId3541" ref="A1589"/>
    <hyperlink r:id="rId3542" ref="C1589"/>
    <hyperlink r:id="rId3543" ref="A1590"/>
    <hyperlink r:id="rId3544" ref="C1590"/>
    <hyperlink r:id="rId3545" ref="A1591"/>
    <hyperlink r:id="rId3546" ref="C1591"/>
    <hyperlink r:id="rId3547" ref="A1592"/>
    <hyperlink r:id="rId3548" ref="C1592"/>
    <hyperlink r:id="rId3549" ref="A1593"/>
    <hyperlink r:id="rId3550" ref="C1593"/>
    <hyperlink r:id="rId3551" ref="A1594"/>
    <hyperlink r:id="rId3552" ref="C1594"/>
    <hyperlink r:id="rId3553" ref="A1595"/>
    <hyperlink r:id="rId3554" ref="C1595"/>
    <hyperlink r:id="rId3555" ref="A1596"/>
    <hyperlink r:id="rId3556" ref="C1596"/>
    <hyperlink r:id="rId3557" ref="A1597"/>
    <hyperlink r:id="rId3558" ref="C1597"/>
    <hyperlink r:id="rId3559" ref="A1598"/>
    <hyperlink r:id="rId3560" ref="C1598"/>
    <hyperlink r:id="rId3561" ref="E1598"/>
    <hyperlink r:id="rId3562" ref="A1599"/>
    <hyperlink r:id="rId3563" ref="C1599"/>
    <hyperlink r:id="rId3564" ref="A1600"/>
    <hyperlink r:id="rId3565" ref="C1600"/>
    <hyperlink r:id="rId3566" ref="A1601"/>
    <hyperlink r:id="rId3567" ref="C1601"/>
    <hyperlink r:id="rId3568" ref="A1602"/>
    <hyperlink r:id="rId3569" ref="C1602"/>
    <hyperlink r:id="rId3570" ref="A1603"/>
    <hyperlink r:id="rId3571" ref="C1603"/>
    <hyperlink r:id="rId3572" ref="A1604"/>
    <hyperlink r:id="rId3573" ref="C1604"/>
    <hyperlink r:id="rId3574" ref="A1605"/>
    <hyperlink r:id="rId3575" ref="C1605"/>
    <hyperlink r:id="rId3576" ref="A1606"/>
    <hyperlink r:id="rId3577" ref="C1606"/>
    <hyperlink r:id="rId3578" ref="A1607"/>
    <hyperlink r:id="rId3579" ref="C1607"/>
    <hyperlink r:id="rId3580" ref="A1608"/>
    <hyperlink r:id="rId3581" ref="C1608"/>
    <hyperlink r:id="rId3582" ref="A1609"/>
    <hyperlink r:id="rId3583" ref="C1609"/>
    <hyperlink r:id="rId3584" ref="A1610"/>
    <hyperlink r:id="rId3585" ref="C1610"/>
    <hyperlink r:id="rId3586" ref="A1611"/>
    <hyperlink r:id="rId3587" ref="C1611"/>
    <hyperlink r:id="rId3588" ref="A1612"/>
    <hyperlink r:id="rId3589" ref="C1612"/>
    <hyperlink r:id="rId3590" ref="A1613"/>
    <hyperlink r:id="rId3591" ref="C1613"/>
    <hyperlink r:id="rId3592" ref="A1614"/>
    <hyperlink r:id="rId3593" ref="C1614"/>
    <hyperlink r:id="rId3594" ref="A1615"/>
    <hyperlink r:id="rId3595" ref="C1615"/>
    <hyperlink r:id="rId3596" ref="A1616"/>
    <hyperlink r:id="rId3597" ref="C1616"/>
    <hyperlink r:id="rId3598" ref="A1617"/>
    <hyperlink r:id="rId3599" ref="C1617"/>
    <hyperlink r:id="rId3600" ref="A1618"/>
    <hyperlink r:id="rId3601" ref="C1618"/>
    <hyperlink r:id="rId3602" ref="A1619"/>
    <hyperlink r:id="rId3603" ref="C1619"/>
    <hyperlink r:id="rId3604" ref="A1620"/>
    <hyperlink r:id="rId3605" ref="C1620"/>
    <hyperlink r:id="rId3606" ref="A1621"/>
    <hyperlink r:id="rId3607" ref="C1621"/>
    <hyperlink r:id="rId3608" ref="A1622"/>
    <hyperlink r:id="rId3609" ref="C1622"/>
    <hyperlink r:id="rId3610" ref="A1623"/>
    <hyperlink r:id="rId3611" ref="C1623"/>
    <hyperlink r:id="rId3612" ref="A1624"/>
    <hyperlink r:id="rId3613" ref="C1624"/>
    <hyperlink r:id="rId3614" ref="A1625"/>
    <hyperlink r:id="rId3615" ref="C1625"/>
    <hyperlink r:id="rId3616" ref="A1626"/>
    <hyperlink r:id="rId3617" ref="C1626"/>
    <hyperlink r:id="rId3618" ref="A1627"/>
    <hyperlink r:id="rId3619" ref="C1627"/>
    <hyperlink r:id="rId3620" ref="A1628"/>
    <hyperlink r:id="rId3621" ref="C1628"/>
    <hyperlink r:id="rId3622" ref="A1629"/>
    <hyperlink r:id="rId3623" ref="C1629"/>
    <hyperlink r:id="rId3624" ref="A1630"/>
    <hyperlink r:id="rId3625" ref="C1630"/>
    <hyperlink r:id="rId3626" ref="A1631"/>
    <hyperlink r:id="rId3627" ref="C1631"/>
    <hyperlink r:id="rId3628" ref="A1632"/>
    <hyperlink r:id="rId3629" ref="C1632"/>
    <hyperlink r:id="rId3630" ref="A1633"/>
    <hyperlink r:id="rId3631" ref="C1633"/>
    <hyperlink r:id="rId3632" ref="A1634"/>
    <hyperlink r:id="rId3633" ref="C1634"/>
    <hyperlink r:id="rId3634" ref="A1635"/>
    <hyperlink r:id="rId3635" ref="C1635"/>
    <hyperlink r:id="rId3636" ref="A1636"/>
    <hyperlink r:id="rId3637" ref="C1636"/>
    <hyperlink r:id="rId3638" ref="A1637"/>
    <hyperlink r:id="rId3639" ref="C1637"/>
    <hyperlink r:id="rId3640" ref="A1638"/>
    <hyperlink r:id="rId3641" ref="C1638"/>
    <hyperlink r:id="rId3642" ref="A1639"/>
    <hyperlink r:id="rId3643" ref="C1639"/>
    <hyperlink r:id="rId3644" ref="A1640"/>
    <hyperlink r:id="rId3645" ref="C1640"/>
    <hyperlink r:id="rId3646" ref="A1641"/>
    <hyperlink r:id="rId3647" ref="C1641"/>
    <hyperlink r:id="rId3648" ref="A1642"/>
    <hyperlink r:id="rId3649" ref="C1642"/>
    <hyperlink r:id="rId3650" ref="A1643"/>
    <hyperlink r:id="rId3651" ref="C1643"/>
    <hyperlink r:id="rId3652" ref="A1644"/>
    <hyperlink r:id="rId3653" ref="C1644"/>
    <hyperlink r:id="rId3654" ref="A1645"/>
    <hyperlink r:id="rId3655" ref="C1645"/>
    <hyperlink r:id="rId3656" ref="A1646"/>
    <hyperlink r:id="rId3657" ref="C1646"/>
    <hyperlink r:id="rId3658" ref="A1647"/>
    <hyperlink r:id="rId3659" ref="C1647"/>
    <hyperlink r:id="rId3660" ref="A1648"/>
    <hyperlink r:id="rId3661" ref="C1648"/>
    <hyperlink r:id="rId3662" ref="A1649"/>
    <hyperlink r:id="rId3663" ref="C1649"/>
    <hyperlink r:id="rId3664" ref="A1650"/>
    <hyperlink r:id="rId3665" ref="C1650"/>
    <hyperlink r:id="rId3666" ref="A1651"/>
    <hyperlink r:id="rId3667" ref="C1651"/>
    <hyperlink r:id="rId3668" ref="A1652"/>
    <hyperlink r:id="rId3669" ref="C1652"/>
    <hyperlink r:id="rId3670" ref="A1653"/>
    <hyperlink r:id="rId3671" ref="C1653"/>
    <hyperlink r:id="rId3672" ref="E1653"/>
    <hyperlink r:id="rId3673" ref="A1654"/>
    <hyperlink r:id="rId3674" ref="C1654"/>
    <hyperlink r:id="rId3675" ref="A1655"/>
    <hyperlink r:id="rId3676" ref="C1655"/>
    <hyperlink r:id="rId3677" ref="A1656"/>
    <hyperlink r:id="rId3678" ref="C1656"/>
    <hyperlink r:id="rId3679" ref="E1656"/>
    <hyperlink r:id="rId3680" ref="A1657"/>
    <hyperlink r:id="rId3681" ref="C1657"/>
    <hyperlink r:id="rId3682" ref="A1658"/>
    <hyperlink r:id="rId3683" ref="C1658"/>
    <hyperlink r:id="rId3684" ref="A1659"/>
    <hyperlink r:id="rId3685" ref="C1659"/>
    <hyperlink r:id="rId3686" ref="A1660"/>
    <hyperlink r:id="rId3687" ref="C1660"/>
    <hyperlink r:id="rId3688" ref="E1660"/>
    <hyperlink r:id="rId3689" ref="A1661"/>
    <hyperlink r:id="rId3690" ref="C1661"/>
    <hyperlink r:id="rId3691" ref="A1662"/>
    <hyperlink r:id="rId3692" ref="C1662"/>
    <hyperlink r:id="rId3693" ref="A1663"/>
    <hyperlink r:id="rId3694" ref="C1663"/>
    <hyperlink r:id="rId3695" ref="A1664"/>
    <hyperlink r:id="rId3696" ref="C1664"/>
    <hyperlink r:id="rId3697" ref="A1665"/>
    <hyperlink r:id="rId3698" ref="C1665"/>
    <hyperlink r:id="rId3699" ref="A1666"/>
    <hyperlink r:id="rId3700" ref="C1666"/>
    <hyperlink r:id="rId3701" ref="A1667"/>
    <hyperlink r:id="rId3702" ref="C1667"/>
    <hyperlink r:id="rId3703" ref="A1668"/>
    <hyperlink r:id="rId3704" ref="C1668"/>
    <hyperlink r:id="rId3705" ref="A1669"/>
    <hyperlink r:id="rId3706" ref="C1669"/>
    <hyperlink r:id="rId3707" ref="A1670"/>
    <hyperlink r:id="rId3708" ref="C1670"/>
    <hyperlink r:id="rId3709" ref="A1671"/>
    <hyperlink r:id="rId3710" ref="C1671"/>
    <hyperlink r:id="rId3711" ref="A1672"/>
    <hyperlink r:id="rId3712" ref="C1672"/>
    <hyperlink r:id="rId3713" ref="A1673"/>
    <hyperlink r:id="rId3714" ref="C1673"/>
    <hyperlink r:id="rId3715" ref="A1674"/>
    <hyperlink r:id="rId3716" ref="C1674"/>
    <hyperlink r:id="rId3717" ref="A1675"/>
    <hyperlink r:id="rId3718" ref="C1675"/>
    <hyperlink r:id="rId3719" ref="A1676"/>
    <hyperlink r:id="rId3720" ref="C1676"/>
    <hyperlink r:id="rId3721" ref="A1677"/>
    <hyperlink r:id="rId3722" ref="C1677"/>
    <hyperlink r:id="rId3723" ref="A1678"/>
    <hyperlink r:id="rId3724" ref="C1678"/>
    <hyperlink r:id="rId3725" ref="A1679"/>
    <hyperlink r:id="rId3726" ref="C1679"/>
    <hyperlink r:id="rId3727" ref="A1680"/>
    <hyperlink r:id="rId3728" ref="C1680"/>
    <hyperlink r:id="rId3729" ref="A1681"/>
    <hyperlink r:id="rId3730" ref="C1681"/>
    <hyperlink r:id="rId3731" ref="A1682"/>
    <hyperlink r:id="rId3732" ref="C1682"/>
    <hyperlink r:id="rId3733" ref="A1683"/>
    <hyperlink r:id="rId3734" ref="C1683"/>
    <hyperlink r:id="rId3735" ref="A1684"/>
    <hyperlink r:id="rId3736" ref="C1684"/>
    <hyperlink r:id="rId3737" ref="A1685"/>
    <hyperlink r:id="rId3738" ref="C1685"/>
    <hyperlink r:id="rId3739" ref="A1686"/>
    <hyperlink r:id="rId3740" ref="C1686"/>
    <hyperlink r:id="rId3741" ref="A1687"/>
    <hyperlink r:id="rId3742" ref="C1687"/>
    <hyperlink r:id="rId3743" ref="A1688"/>
    <hyperlink r:id="rId3744" ref="C1688"/>
    <hyperlink r:id="rId3745" ref="A1689"/>
    <hyperlink r:id="rId3746" ref="C1689"/>
    <hyperlink r:id="rId3747" ref="A1690"/>
    <hyperlink r:id="rId3748" ref="C1690"/>
    <hyperlink r:id="rId3749" ref="A1691"/>
    <hyperlink r:id="rId3750" ref="C1691"/>
    <hyperlink r:id="rId3751" ref="A1692"/>
    <hyperlink r:id="rId3752" ref="C1692"/>
    <hyperlink r:id="rId3753" ref="A1693"/>
    <hyperlink r:id="rId3754" ref="C1693"/>
    <hyperlink r:id="rId3755" ref="A1694"/>
    <hyperlink r:id="rId3756" ref="A1695"/>
    <hyperlink r:id="rId3757" ref="C1695"/>
    <hyperlink r:id="rId3758" ref="A1696"/>
    <hyperlink r:id="rId3759" ref="C1696"/>
    <hyperlink r:id="rId3760" ref="A1697"/>
    <hyperlink r:id="rId3761" ref="C1697"/>
    <hyperlink r:id="rId3762" ref="A1698"/>
    <hyperlink r:id="rId3763" ref="C1698"/>
    <hyperlink r:id="rId3764" ref="A1699"/>
    <hyperlink r:id="rId3765" ref="C1699"/>
    <hyperlink r:id="rId3766" ref="A1700"/>
    <hyperlink r:id="rId3767" ref="C1700"/>
    <hyperlink r:id="rId3768" ref="A1701"/>
    <hyperlink r:id="rId3769" ref="C1701"/>
    <hyperlink r:id="rId3770" ref="A1702"/>
    <hyperlink r:id="rId3771" ref="C1702"/>
    <hyperlink r:id="rId3772" ref="A1703"/>
    <hyperlink r:id="rId3773" ref="C1703"/>
    <hyperlink r:id="rId3774" ref="A1704"/>
    <hyperlink r:id="rId3775" ref="C1704"/>
    <hyperlink r:id="rId3776" ref="A1705"/>
    <hyperlink r:id="rId3777" ref="C1705"/>
    <hyperlink r:id="rId3778" ref="A1706"/>
    <hyperlink r:id="rId3779" ref="C1706"/>
    <hyperlink r:id="rId3780" ref="A1707"/>
    <hyperlink r:id="rId3781" ref="C1707"/>
    <hyperlink r:id="rId3782" ref="A1708"/>
    <hyperlink r:id="rId3783" ref="C1708"/>
    <hyperlink r:id="rId3784" ref="E1708"/>
    <hyperlink r:id="rId3785" ref="A1709"/>
    <hyperlink r:id="rId3786" ref="C1709"/>
    <hyperlink r:id="rId3787" ref="A1710"/>
    <hyperlink r:id="rId3788" ref="C1710"/>
    <hyperlink r:id="rId3789" ref="A1711"/>
    <hyperlink r:id="rId3790" ref="C1711"/>
    <hyperlink r:id="rId3791" ref="A1712"/>
    <hyperlink r:id="rId3792" ref="C1712"/>
    <hyperlink r:id="rId3793" ref="A1713"/>
    <hyperlink r:id="rId3794" ref="C1713"/>
    <hyperlink r:id="rId3795" ref="A1714"/>
    <hyperlink r:id="rId3796" ref="C1714"/>
    <hyperlink r:id="rId3797" ref="A1715"/>
    <hyperlink r:id="rId3798" ref="C1715"/>
    <hyperlink r:id="rId3799" ref="A1716"/>
    <hyperlink r:id="rId3800" ref="C1716"/>
    <hyperlink r:id="rId3801" ref="A1717"/>
    <hyperlink r:id="rId3802" ref="C1717"/>
    <hyperlink r:id="rId3803" ref="A1718"/>
    <hyperlink r:id="rId3804" ref="C1718"/>
    <hyperlink r:id="rId3805" ref="A1719"/>
    <hyperlink r:id="rId3806" ref="C1719"/>
    <hyperlink r:id="rId3807" ref="A1720"/>
    <hyperlink r:id="rId3808" ref="C1720"/>
    <hyperlink r:id="rId3809" ref="A1721"/>
    <hyperlink r:id="rId3810" ref="C1721"/>
    <hyperlink r:id="rId3811" ref="A1722"/>
    <hyperlink r:id="rId3812" ref="C1722"/>
    <hyperlink r:id="rId3813" ref="A1723"/>
    <hyperlink r:id="rId3814" ref="C1723"/>
    <hyperlink r:id="rId3815" ref="A1724"/>
    <hyperlink r:id="rId3816" ref="C1724"/>
    <hyperlink r:id="rId3817" ref="A1725"/>
    <hyperlink r:id="rId3818" ref="E1725"/>
    <hyperlink r:id="rId3819" ref="A1726"/>
    <hyperlink r:id="rId3820" ref="C1726"/>
    <hyperlink r:id="rId3821" ref="A1727"/>
    <hyperlink r:id="rId3822" ref="C1727"/>
    <hyperlink r:id="rId3823" ref="A1728"/>
    <hyperlink r:id="rId3824" ref="C1728"/>
    <hyperlink r:id="rId3825" ref="A1729"/>
    <hyperlink r:id="rId3826" ref="C1729"/>
    <hyperlink r:id="rId3827" ref="A1730"/>
    <hyperlink r:id="rId3828" ref="C1730"/>
    <hyperlink r:id="rId3829" ref="A1731"/>
    <hyperlink r:id="rId3830" ref="C1731"/>
    <hyperlink r:id="rId3831" ref="A1732"/>
    <hyperlink r:id="rId3832" ref="C1732"/>
    <hyperlink r:id="rId3833" ref="A1733"/>
    <hyperlink r:id="rId3834" ref="C1733"/>
    <hyperlink r:id="rId3835" ref="A1734"/>
    <hyperlink r:id="rId3836" ref="C1734"/>
    <hyperlink r:id="rId3837" ref="A1735"/>
    <hyperlink r:id="rId3838" ref="C1735"/>
    <hyperlink r:id="rId3839" ref="A1736"/>
    <hyperlink r:id="rId3840" ref="C1736"/>
    <hyperlink r:id="rId3841" ref="A1737"/>
    <hyperlink r:id="rId3842" ref="C1737"/>
    <hyperlink r:id="rId3843" ref="A1738"/>
    <hyperlink r:id="rId3844" ref="C1738"/>
    <hyperlink r:id="rId3845" ref="A1739"/>
    <hyperlink r:id="rId3846" ref="C1739"/>
    <hyperlink r:id="rId3847" ref="A1740"/>
    <hyperlink r:id="rId3848" ref="C1740"/>
    <hyperlink r:id="rId3849" ref="A1741"/>
    <hyperlink r:id="rId3850" ref="C1741"/>
    <hyperlink r:id="rId3851" ref="A1742"/>
    <hyperlink r:id="rId3852" ref="C1742"/>
    <hyperlink r:id="rId3853" ref="A1743"/>
    <hyperlink r:id="rId3854" ref="C1743"/>
    <hyperlink r:id="rId3855" ref="A1744"/>
    <hyperlink r:id="rId3856" ref="C1744"/>
    <hyperlink r:id="rId3857" ref="A1745"/>
    <hyperlink r:id="rId3858" ref="C1745"/>
    <hyperlink r:id="rId3859" ref="A1746"/>
    <hyperlink r:id="rId3860" ref="C1746"/>
    <hyperlink r:id="rId3861" ref="A1747"/>
    <hyperlink r:id="rId3862" ref="C1747"/>
    <hyperlink r:id="rId3863" ref="A1748"/>
    <hyperlink r:id="rId3864" ref="C1748"/>
    <hyperlink r:id="rId3865" ref="A1749"/>
    <hyperlink r:id="rId3866" ref="C1749"/>
    <hyperlink r:id="rId3867" ref="A1750"/>
    <hyperlink r:id="rId3868" ref="C1750"/>
    <hyperlink r:id="rId3869" ref="A1751"/>
    <hyperlink r:id="rId3870" ref="C1751"/>
    <hyperlink r:id="rId3871" ref="A1752"/>
    <hyperlink r:id="rId3872" ref="C1752"/>
    <hyperlink r:id="rId3873" ref="A1753"/>
    <hyperlink r:id="rId3874" ref="C1753"/>
    <hyperlink r:id="rId3875" ref="A1754"/>
    <hyperlink r:id="rId3876" ref="C1754"/>
    <hyperlink r:id="rId3877" ref="A1755"/>
    <hyperlink r:id="rId3878" ref="C1755"/>
    <hyperlink r:id="rId3879" ref="A1756"/>
    <hyperlink r:id="rId3880" ref="C1756"/>
    <hyperlink r:id="rId3881" ref="A1757"/>
    <hyperlink r:id="rId3882" ref="C1757"/>
    <hyperlink r:id="rId3883" ref="A1758"/>
    <hyperlink r:id="rId3884" ref="C1758"/>
    <hyperlink r:id="rId3885" ref="A1759"/>
    <hyperlink r:id="rId3886" ref="C1759"/>
    <hyperlink r:id="rId3887" ref="A1760"/>
    <hyperlink r:id="rId3888" ref="C1760"/>
    <hyperlink r:id="rId3889" ref="A1761"/>
    <hyperlink r:id="rId3890" ref="C1761"/>
    <hyperlink r:id="rId3891" ref="A1762"/>
    <hyperlink r:id="rId3892" ref="C1762"/>
    <hyperlink r:id="rId3893" ref="A1763"/>
    <hyperlink r:id="rId3894" ref="C1763"/>
    <hyperlink r:id="rId3895" ref="E1763"/>
    <hyperlink r:id="rId3896" ref="A1764"/>
    <hyperlink r:id="rId3897" ref="C1764"/>
    <hyperlink r:id="rId3898" ref="A1765"/>
    <hyperlink r:id="rId3899" ref="C1765"/>
    <hyperlink r:id="rId3900" ref="A1766"/>
    <hyperlink r:id="rId3901" ref="C1766"/>
    <hyperlink r:id="rId3902" ref="A1767"/>
    <hyperlink r:id="rId3903" ref="C1767"/>
    <hyperlink r:id="rId3904" ref="A1768"/>
    <hyperlink r:id="rId3905" ref="C1768"/>
    <hyperlink r:id="rId3906" ref="A1769"/>
    <hyperlink r:id="rId3907" ref="C1769"/>
    <hyperlink r:id="rId3908" ref="A1770"/>
    <hyperlink r:id="rId3909" ref="C1770"/>
    <hyperlink r:id="rId3910" ref="A1771"/>
    <hyperlink r:id="rId3911" ref="C1771"/>
    <hyperlink r:id="rId3912" ref="A1772"/>
    <hyperlink r:id="rId3913" ref="A1773"/>
    <hyperlink r:id="rId3914" ref="C1773"/>
    <hyperlink r:id="rId3915" ref="A1774"/>
    <hyperlink r:id="rId3916" ref="C1774"/>
    <hyperlink r:id="rId3917" ref="A1775"/>
    <hyperlink r:id="rId3918" ref="A1776"/>
    <hyperlink r:id="rId3919" ref="A1777"/>
    <hyperlink r:id="rId3920" ref="A1778"/>
    <hyperlink r:id="rId3921" ref="C1778"/>
    <hyperlink r:id="rId3922" ref="A1779"/>
    <hyperlink r:id="rId3923" ref="A1780"/>
    <hyperlink r:id="rId3924" ref="C1780"/>
    <hyperlink r:id="rId3925" ref="A1781"/>
    <hyperlink r:id="rId3926" ref="C1781"/>
    <hyperlink r:id="rId3927" ref="A1782"/>
    <hyperlink r:id="rId3928" ref="C1782"/>
    <hyperlink r:id="rId3929" ref="A1783"/>
    <hyperlink r:id="rId3930" ref="C1783"/>
    <hyperlink r:id="rId3931" ref="E1783"/>
    <hyperlink r:id="rId3932" ref="A1784"/>
    <hyperlink r:id="rId3933" ref="C1784"/>
    <hyperlink r:id="rId3934" ref="A1785"/>
    <hyperlink r:id="rId3935" ref="C1785"/>
    <hyperlink r:id="rId3936" ref="A1786"/>
    <hyperlink r:id="rId3937" ref="C1786"/>
    <hyperlink r:id="rId3938" ref="A1787"/>
    <hyperlink r:id="rId3939" ref="C1787"/>
    <hyperlink r:id="rId3940" ref="A1788"/>
    <hyperlink r:id="rId3941" ref="C1788"/>
    <hyperlink r:id="rId3942" ref="A1789"/>
    <hyperlink r:id="rId3943" ref="C1789"/>
    <hyperlink r:id="rId3944" ref="A1790"/>
    <hyperlink r:id="rId3945" ref="C1790"/>
    <hyperlink r:id="rId3946" ref="A1791"/>
    <hyperlink r:id="rId3947" ref="C1791"/>
    <hyperlink r:id="rId3948" ref="E1791"/>
    <hyperlink r:id="rId3949" ref="A1792"/>
    <hyperlink r:id="rId3950" ref="C1792"/>
    <hyperlink r:id="rId3951" ref="E1792"/>
    <hyperlink r:id="rId3952" ref="A1793"/>
    <hyperlink r:id="rId3953" ref="C1793"/>
    <hyperlink r:id="rId3954" ref="A1794"/>
    <hyperlink r:id="rId3955" ref="C1794"/>
    <hyperlink r:id="rId3956" ref="A1795"/>
    <hyperlink r:id="rId3957" ref="C1795"/>
    <hyperlink r:id="rId3958" ref="A1796"/>
    <hyperlink r:id="rId3959" ref="C1796"/>
    <hyperlink r:id="rId3960" ref="A1797"/>
    <hyperlink r:id="rId3961" ref="C1797"/>
    <hyperlink r:id="rId3962" ref="A1798"/>
    <hyperlink r:id="rId3963" ref="C1798"/>
    <hyperlink r:id="rId3964" ref="A1799"/>
    <hyperlink r:id="rId3965" ref="C1799"/>
    <hyperlink r:id="rId3966" ref="A1800"/>
    <hyperlink r:id="rId3967" ref="C1800"/>
    <hyperlink r:id="rId3968" ref="A1801"/>
    <hyperlink r:id="rId3969" ref="C1801"/>
    <hyperlink r:id="rId3970" ref="A1802"/>
    <hyperlink r:id="rId3971" ref="C1802"/>
    <hyperlink r:id="rId3972" ref="A1803"/>
    <hyperlink r:id="rId3973" ref="C1803"/>
    <hyperlink r:id="rId3974" ref="A1804"/>
    <hyperlink r:id="rId3975" ref="C1804"/>
    <hyperlink r:id="rId3976" ref="A1805"/>
    <hyperlink r:id="rId3977" ref="C1805"/>
    <hyperlink r:id="rId3978" ref="A1806"/>
    <hyperlink r:id="rId3979" ref="C1806"/>
    <hyperlink r:id="rId3980" ref="A1807"/>
    <hyperlink r:id="rId3981" ref="C1807"/>
    <hyperlink r:id="rId3982" ref="A1808"/>
    <hyperlink r:id="rId3983" ref="C1808"/>
    <hyperlink r:id="rId3984" ref="A1809"/>
    <hyperlink r:id="rId3985" ref="C1809"/>
    <hyperlink r:id="rId3986" ref="A1810"/>
    <hyperlink r:id="rId3987" ref="C1810"/>
    <hyperlink r:id="rId3988" ref="A1811"/>
    <hyperlink r:id="rId3989" ref="C1811"/>
    <hyperlink r:id="rId3990" ref="A1812"/>
    <hyperlink r:id="rId3991" ref="C1812"/>
    <hyperlink r:id="rId3992" ref="A1813"/>
    <hyperlink r:id="rId3993" ref="C1813"/>
    <hyperlink r:id="rId3994" ref="E1813"/>
    <hyperlink r:id="rId3995" ref="A1814"/>
    <hyperlink r:id="rId3996" ref="C1814"/>
    <hyperlink r:id="rId3997" ref="A1815"/>
    <hyperlink r:id="rId3998" ref="C1815"/>
    <hyperlink r:id="rId3999" ref="A1816"/>
    <hyperlink r:id="rId4000" ref="C1816"/>
    <hyperlink r:id="rId4001" ref="A1817"/>
    <hyperlink r:id="rId4002" ref="C1817"/>
    <hyperlink r:id="rId4003" ref="A1818"/>
    <hyperlink r:id="rId4004" ref="C1818"/>
    <hyperlink r:id="rId4005" ref="E1818"/>
    <hyperlink r:id="rId4006" ref="A1819"/>
    <hyperlink r:id="rId4007" ref="A1820"/>
    <hyperlink r:id="rId4008" ref="C1820"/>
    <hyperlink r:id="rId4009" ref="A1821"/>
    <hyperlink r:id="rId4010" ref="A1822"/>
    <hyperlink r:id="rId4011" ref="A1823"/>
    <hyperlink r:id="rId4012" ref="A1824"/>
    <hyperlink r:id="rId4013" ref="C1824"/>
    <hyperlink r:id="rId4014" ref="A1825"/>
    <hyperlink r:id="rId4015" ref="A1826"/>
    <hyperlink r:id="rId4016" ref="A1827"/>
    <hyperlink r:id="rId4017" ref="A1828"/>
    <hyperlink r:id="rId4018" ref="A1829"/>
    <hyperlink r:id="rId4019" ref="C1829"/>
    <hyperlink r:id="rId4020" ref="A1830"/>
    <hyperlink r:id="rId4021" ref="A1831"/>
    <hyperlink r:id="rId4022" ref="A1832"/>
    <hyperlink r:id="rId4023" ref="A1833"/>
    <hyperlink r:id="rId4024" ref="A1834"/>
    <hyperlink r:id="rId4025" ref="A1835"/>
    <hyperlink r:id="rId4026" ref="A1836"/>
    <hyperlink r:id="rId4027" ref="A1837"/>
    <hyperlink r:id="rId4028" ref="A1838"/>
    <hyperlink r:id="rId4029" ref="A1839"/>
    <hyperlink r:id="rId4030" ref="C1839"/>
    <hyperlink r:id="rId4031" ref="A1840"/>
    <hyperlink r:id="rId4032" ref="C1840"/>
    <hyperlink r:id="rId4033" ref="A1841"/>
    <hyperlink r:id="rId4034" ref="C1841"/>
    <hyperlink r:id="rId4035" ref="A1842"/>
    <hyperlink r:id="rId4036" ref="C1842"/>
    <hyperlink r:id="rId4037" ref="A1843"/>
    <hyperlink r:id="rId4038" ref="C1843"/>
    <hyperlink r:id="rId4039" ref="A1844"/>
    <hyperlink r:id="rId4040" ref="C1844"/>
    <hyperlink r:id="rId4041" ref="A1845"/>
    <hyperlink r:id="rId4042" ref="C1845"/>
    <hyperlink r:id="rId4043" ref="A1846"/>
    <hyperlink r:id="rId4044" ref="C1846"/>
    <hyperlink r:id="rId4045" ref="E1846"/>
    <hyperlink r:id="rId4046" ref="A1847"/>
    <hyperlink r:id="rId4047" ref="C1847"/>
    <hyperlink r:id="rId4048" ref="A1848"/>
    <hyperlink r:id="rId4049" ref="C1848"/>
    <hyperlink r:id="rId4050" ref="A1849"/>
    <hyperlink r:id="rId4051" ref="C1849"/>
    <hyperlink r:id="rId4052" ref="A1850"/>
    <hyperlink r:id="rId4053" ref="C1850"/>
    <hyperlink r:id="rId4054" ref="A1851"/>
    <hyperlink r:id="rId4055" ref="C1851"/>
    <hyperlink r:id="rId4056" ref="A1852"/>
    <hyperlink r:id="rId4057" ref="C1852"/>
    <hyperlink r:id="rId4058" ref="A1853"/>
    <hyperlink r:id="rId4059" ref="C1853"/>
    <hyperlink r:id="rId4060" ref="A1854"/>
    <hyperlink r:id="rId4061" ref="C1854"/>
    <hyperlink r:id="rId4062" ref="A1855"/>
    <hyperlink r:id="rId4063" ref="C1855"/>
    <hyperlink r:id="rId4064" ref="A1856"/>
    <hyperlink r:id="rId4065" ref="C1856"/>
    <hyperlink r:id="rId4066" ref="A1857"/>
    <hyperlink r:id="rId4067" ref="C1857"/>
    <hyperlink r:id="rId4068" ref="A1858"/>
    <hyperlink r:id="rId4069" ref="C1858"/>
    <hyperlink r:id="rId4070" ref="E1858"/>
    <hyperlink r:id="rId4071" ref="A1859"/>
    <hyperlink r:id="rId4072" ref="C1859"/>
    <hyperlink r:id="rId4073" ref="A1860"/>
    <hyperlink r:id="rId4074" ref="C1860"/>
    <hyperlink r:id="rId4075" ref="A1861"/>
    <hyperlink r:id="rId4076" ref="C1861"/>
    <hyperlink r:id="rId4077" ref="A1862"/>
    <hyperlink r:id="rId4078" ref="C1862"/>
    <hyperlink r:id="rId4079" ref="A1863"/>
    <hyperlink r:id="rId4080" ref="C1863"/>
    <hyperlink r:id="rId4081" ref="A1864"/>
    <hyperlink r:id="rId4082" ref="C1864"/>
    <hyperlink r:id="rId4083" ref="A1865"/>
    <hyperlink r:id="rId4084" ref="C1865"/>
    <hyperlink r:id="rId4085" ref="E1865"/>
    <hyperlink r:id="rId4086" ref="A1866"/>
    <hyperlink r:id="rId4087" ref="C1866"/>
    <hyperlink r:id="rId4088" ref="A1867"/>
    <hyperlink r:id="rId4089" ref="C1867"/>
    <hyperlink r:id="rId4090" ref="A1868"/>
    <hyperlink r:id="rId4091" ref="C1868"/>
    <hyperlink r:id="rId4092" ref="A1869"/>
    <hyperlink r:id="rId4093" ref="C1869"/>
    <hyperlink r:id="rId4094" ref="A1870"/>
    <hyperlink r:id="rId4095" ref="C1870"/>
    <hyperlink r:id="rId4096" ref="A1871"/>
    <hyperlink r:id="rId4097" ref="C1871"/>
    <hyperlink r:id="rId4098" ref="A1872"/>
    <hyperlink r:id="rId4099" ref="C1872"/>
    <hyperlink r:id="rId4100" ref="A1873"/>
    <hyperlink r:id="rId4101" ref="C1873"/>
    <hyperlink r:id="rId4102" ref="A1874"/>
    <hyperlink r:id="rId4103" ref="C1874"/>
    <hyperlink r:id="rId4104" ref="A1875"/>
    <hyperlink r:id="rId4105" ref="C1875"/>
    <hyperlink r:id="rId4106" ref="A1876"/>
    <hyperlink r:id="rId4107" ref="C1876"/>
    <hyperlink r:id="rId4108" ref="A1877"/>
    <hyperlink r:id="rId4109" ref="C1877"/>
    <hyperlink r:id="rId4110" ref="E1877"/>
    <hyperlink r:id="rId4111" ref="A1878"/>
    <hyperlink r:id="rId4112" ref="C1878"/>
    <hyperlink r:id="rId4113" ref="A1879"/>
    <hyperlink r:id="rId4114" ref="C1879"/>
    <hyperlink r:id="rId4115" ref="A1880"/>
    <hyperlink r:id="rId4116" ref="C1880"/>
    <hyperlink r:id="rId4117" ref="E1880"/>
    <hyperlink r:id="rId4118" ref="A1881"/>
    <hyperlink r:id="rId4119" ref="C1881"/>
    <hyperlink r:id="rId4120" ref="A1882"/>
    <hyperlink r:id="rId4121" ref="C1882"/>
    <hyperlink r:id="rId4122" ref="E1882"/>
    <hyperlink r:id="rId4123" ref="A1883"/>
    <hyperlink r:id="rId4124" ref="C1883"/>
    <hyperlink r:id="rId4125" ref="A1884"/>
    <hyperlink r:id="rId4126" ref="C1884"/>
    <hyperlink r:id="rId4127" ref="A1885"/>
    <hyperlink r:id="rId4128" ref="C1885"/>
    <hyperlink r:id="rId4129" ref="A1886"/>
    <hyperlink r:id="rId4130" ref="C1886"/>
    <hyperlink r:id="rId4131" ref="A1887"/>
    <hyperlink r:id="rId4132" ref="C1887"/>
    <hyperlink r:id="rId4133" ref="A1888"/>
    <hyperlink r:id="rId4134" ref="C1888"/>
    <hyperlink r:id="rId4135" ref="A1889"/>
    <hyperlink r:id="rId4136" ref="C1889"/>
    <hyperlink r:id="rId4137" ref="A1890"/>
    <hyperlink r:id="rId4138" ref="C1890"/>
    <hyperlink r:id="rId4139" ref="A1891"/>
    <hyperlink r:id="rId4140" ref="C1891"/>
    <hyperlink r:id="rId4141" ref="A1892"/>
    <hyperlink r:id="rId4142" ref="C1892"/>
    <hyperlink r:id="rId4143" ref="A1893"/>
    <hyperlink r:id="rId4144" ref="C1893"/>
    <hyperlink r:id="rId4145" ref="A1894"/>
    <hyperlink r:id="rId4146" ref="C1894"/>
    <hyperlink r:id="rId4147" ref="A1895"/>
    <hyperlink r:id="rId4148" ref="C1895"/>
    <hyperlink r:id="rId4149" ref="A1896"/>
    <hyperlink r:id="rId4150" ref="C1896"/>
    <hyperlink r:id="rId4151" ref="A1897"/>
    <hyperlink r:id="rId4152" ref="C1897"/>
    <hyperlink r:id="rId4153" ref="E1897"/>
    <hyperlink r:id="rId4154" ref="A1898"/>
    <hyperlink r:id="rId4155" ref="C1898"/>
    <hyperlink r:id="rId4156" ref="A1899"/>
    <hyperlink r:id="rId4157" ref="C1899"/>
    <hyperlink r:id="rId4158" ref="A1900"/>
    <hyperlink r:id="rId4159" ref="C1900"/>
    <hyperlink r:id="rId4160" ref="A1901"/>
    <hyperlink r:id="rId4161" ref="C1901"/>
    <hyperlink r:id="rId4162" ref="A1902"/>
    <hyperlink r:id="rId4163" ref="C1902"/>
    <hyperlink r:id="rId4164" ref="A1903"/>
    <hyperlink r:id="rId4165" ref="C1903"/>
    <hyperlink r:id="rId4166" ref="A1904"/>
    <hyperlink r:id="rId4167" ref="C1904"/>
    <hyperlink r:id="rId4168" ref="E1904"/>
    <hyperlink r:id="rId4169" ref="A1905"/>
    <hyperlink r:id="rId4170" ref="C1905"/>
    <hyperlink r:id="rId4171" ref="A1906"/>
    <hyperlink r:id="rId4172" ref="C1906"/>
    <hyperlink r:id="rId4173" ref="E1906"/>
    <hyperlink r:id="rId4174" ref="A1907"/>
    <hyperlink r:id="rId4175" ref="C1907"/>
    <hyperlink r:id="rId4176" ref="A1908"/>
    <hyperlink r:id="rId4177" ref="C1908"/>
    <hyperlink r:id="rId4178" ref="E1908"/>
    <hyperlink r:id="rId4179" ref="A1909"/>
    <hyperlink r:id="rId4180" ref="C1909"/>
    <hyperlink r:id="rId4181" ref="A1910"/>
    <hyperlink r:id="rId4182" ref="C1910"/>
    <hyperlink r:id="rId4183" ref="A1911"/>
    <hyperlink r:id="rId4184" ref="C1911"/>
    <hyperlink r:id="rId4185" ref="A1912"/>
    <hyperlink r:id="rId4186" ref="C1912"/>
    <hyperlink r:id="rId4187" ref="A1913"/>
    <hyperlink r:id="rId4188" ref="C1913"/>
    <hyperlink r:id="rId4189" ref="A1914"/>
    <hyperlink r:id="rId4190" ref="C1914"/>
    <hyperlink r:id="rId4191" ref="A1915"/>
    <hyperlink r:id="rId4192" ref="C1915"/>
    <hyperlink r:id="rId4193" ref="A1916"/>
    <hyperlink r:id="rId4194" ref="C1916"/>
    <hyperlink r:id="rId4195" ref="A1917"/>
    <hyperlink r:id="rId4196" ref="C1917"/>
    <hyperlink r:id="rId4197" ref="A1918"/>
    <hyperlink r:id="rId4198" ref="C1918"/>
    <hyperlink r:id="rId4199" ref="A1919"/>
    <hyperlink r:id="rId4200" ref="C1919"/>
    <hyperlink r:id="rId4201" ref="A1920"/>
    <hyperlink r:id="rId4202" ref="C1920"/>
    <hyperlink r:id="rId4203" ref="A1921"/>
    <hyperlink r:id="rId4204" ref="C1921"/>
    <hyperlink r:id="rId4205" ref="E1921"/>
    <hyperlink r:id="rId4206" ref="A1922"/>
    <hyperlink r:id="rId4207" ref="C1922"/>
    <hyperlink r:id="rId4208" ref="A1923"/>
    <hyperlink r:id="rId4209" ref="C1923"/>
    <hyperlink r:id="rId4210" ref="E1923"/>
    <hyperlink r:id="rId4211" ref="A1924"/>
    <hyperlink r:id="rId4212" ref="C1924"/>
    <hyperlink r:id="rId4213" ref="E1924"/>
    <hyperlink r:id="rId4214" ref="A1925"/>
    <hyperlink r:id="rId4215" ref="C1925"/>
    <hyperlink r:id="rId4216" ref="A1926"/>
    <hyperlink r:id="rId4217" ref="C1926"/>
    <hyperlink r:id="rId4218" ref="A1927"/>
    <hyperlink r:id="rId4219" ref="C1927"/>
    <hyperlink r:id="rId4220" ref="A1928"/>
    <hyperlink r:id="rId4221" ref="C1928"/>
    <hyperlink r:id="rId4222" ref="A1929"/>
    <hyperlink r:id="rId4223" ref="A1930"/>
    <hyperlink r:id="rId4224" ref="C1930"/>
    <hyperlink r:id="rId4225" ref="A1931"/>
    <hyperlink r:id="rId4226" ref="C1931"/>
    <hyperlink r:id="rId4227" ref="E1931"/>
    <hyperlink r:id="rId4228" ref="A1932"/>
    <hyperlink r:id="rId4229" ref="C1932"/>
    <hyperlink r:id="rId4230" ref="E1932"/>
    <hyperlink r:id="rId4231" ref="A1933"/>
    <hyperlink r:id="rId4232" ref="C1933"/>
    <hyperlink r:id="rId4233" ref="E1933"/>
    <hyperlink r:id="rId4234" ref="A1934"/>
    <hyperlink r:id="rId4235" ref="C1934"/>
    <hyperlink r:id="rId4236" ref="A1935"/>
    <hyperlink r:id="rId4237" ref="C1935"/>
    <hyperlink r:id="rId4238" ref="A1936"/>
    <hyperlink r:id="rId4239" ref="C1936"/>
    <hyperlink r:id="rId4240" ref="E1936"/>
    <hyperlink r:id="rId4241" ref="A1937"/>
    <hyperlink r:id="rId4242" ref="C1937"/>
    <hyperlink r:id="rId4243" ref="A1938"/>
    <hyperlink r:id="rId4244" ref="C1938"/>
    <hyperlink r:id="rId4245" ref="A1939"/>
    <hyperlink r:id="rId4246" ref="C1939"/>
    <hyperlink r:id="rId4247" ref="E1939"/>
    <hyperlink r:id="rId4248" ref="A1940"/>
    <hyperlink r:id="rId4249" ref="C1940"/>
    <hyperlink r:id="rId4250" ref="E1940"/>
    <hyperlink r:id="rId4251" ref="A1941"/>
    <hyperlink r:id="rId4252" ref="C1941"/>
    <hyperlink r:id="rId4253" ref="E1941"/>
    <hyperlink r:id="rId4254" ref="A1942"/>
    <hyperlink r:id="rId4255" ref="C1942"/>
    <hyperlink r:id="rId4256" ref="E1942"/>
    <hyperlink r:id="rId4257" ref="A1943"/>
    <hyperlink r:id="rId4258" ref="C1943"/>
    <hyperlink r:id="rId4259" ref="E1943"/>
    <hyperlink r:id="rId4260" ref="A1944"/>
    <hyperlink r:id="rId4261" ref="C1944"/>
    <hyperlink r:id="rId4262" ref="E1944"/>
    <hyperlink r:id="rId4263" ref="A1945"/>
    <hyperlink r:id="rId4264" ref="C1945"/>
    <hyperlink r:id="rId4265" ref="E1945"/>
    <hyperlink r:id="rId4266" ref="A1946"/>
    <hyperlink r:id="rId4267" ref="C1946"/>
    <hyperlink r:id="rId4268" ref="E1946"/>
    <hyperlink r:id="rId4269" ref="A1947"/>
    <hyperlink r:id="rId4270" ref="C1947"/>
    <hyperlink r:id="rId4271" ref="E1947"/>
    <hyperlink r:id="rId4272" ref="A1948"/>
    <hyperlink r:id="rId4273" ref="C1948"/>
    <hyperlink r:id="rId4274" ref="E1948"/>
    <hyperlink r:id="rId4275" ref="A1949"/>
    <hyperlink r:id="rId4276" ref="C1949"/>
    <hyperlink r:id="rId4277" ref="E1949"/>
    <hyperlink r:id="rId4278" ref="A1950"/>
    <hyperlink r:id="rId4279" ref="C1950"/>
    <hyperlink r:id="rId4280" ref="E1950"/>
    <hyperlink r:id="rId4281" ref="A1951"/>
    <hyperlink r:id="rId4282" ref="C1951"/>
    <hyperlink r:id="rId4283" ref="E1951"/>
    <hyperlink r:id="rId4284" ref="A1952"/>
    <hyperlink r:id="rId4285" ref="C1952"/>
    <hyperlink r:id="rId4286" ref="E1952"/>
    <hyperlink r:id="rId4287" ref="A1953"/>
    <hyperlink r:id="rId4288" ref="C1953"/>
    <hyperlink r:id="rId4289" ref="E1953"/>
    <hyperlink r:id="rId4290" ref="A1954"/>
    <hyperlink r:id="rId4291" ref="C1954"/>
    <hyperlink r:id="rId4292" ref="E1954"/>
    <hyperlink r:id="rId4293" ref="A1955"/>
    <hyperlink r:id="rId4294" ref="C1955"/>
    <hyperlink r:id="rId4295" ref="E1955"/>
    <hyperlink r:id="rId4296" ref="A1956"/>
    <hyperlink r:id="rId4297" ref="C1956"/>
    <hyperlink r:id="rId4298" ref="E1956"/>
    <hyperlink r:id="rId4299" ref="A1957"/>
    <hyperlink r:id="rId4300" ref="C1957"/>
    <hyperlink r:id="rId4301" ref="E1957"/>
    <hyperlink r:id="rId4302" ref="A1958"/>
    <hyperlink r:id="rId4303" ref="C1958"/>
    <hyperlink r:id="rId4304" ref="E1958"/>
    <hyperlink r:id="rId4305" ref="A1959"/>
    <hyperlink r:id="rId4306" ref="C1959"/>
    <hyperlink r:id="rId4307" ref="E1959"/>
    <hyperlink r:id="rId4308" ref="A1960"/>
    <hyperlink r:id="rId4309" ref="C1960"/>
    <hyperlink r:id="rId4310" ref="E1960"/>
    <hyperlink r:id="rId4311" ref="A1961"/>
    <hyperlink r:id="rId4312" ref="C1961"/>
    <hyperlink r:id="rId4313" ref="E1961"/>
    <hyperlink r:id="rId4314" ref="A1962"/>
    <hyperlink r:id="rId4315" ref="C1962"/>
    <hyperlink r:id="rId4316" ref="E1962"/>
    <hyperlink r:id="rId4317" ref="A1963"/>
    <hyperlink r:id="rId4318" ref="C1963"/>
    <hyperlink r:id="rId4319" ref="E1963"/>
    <hyperlink r:id="rId4320" ref="A1964"/>
    <hyperlink r:id="rId4321" ref="C1964"/>
    <hyperlink r:id="rId4322" ref="A1965"/>
    <hyperlink r:id="rId4323" ref="C1965"/>
    <hyperlink r:id="rId4324" ref="A1966"/>
    <hyperlink r:id="rId4325" ref="C1966"/>
    <hyperlink r:id="rId4326" ref="A1967"/>
    <hyperlink r:id="rId4327" ref="C1967"/>
    <hyperlink r:id="rId4328" ref="A1968"/>
    <hyperlink r:id="rId4329" ref="C1968"/>
    <hyperlink r:id="rId4330" ref="A1969"/>
    <hyperlink r:id="rId4331" ref="C1969"/>
    <hyperlink r:id="rId4332" ref="A1970"/>
    <hyperlink r:id="rId4333" ref="C1970"/>
    <hyperlink r:id="rId4334" ref="A1971"/>
    <hyperlink r:id="rId4335" ref="C1971"/>
    <hyperlink r:id="rId4336" ref="A1972"/>
    <hyperlink r:id="rId4337" ref="C1972"/>
    <hyperlink r:id="rId4338" ref="A1973"/>
    <hyperlink r:id="rId4339" ref="C1973"/>
    <hyperlink r:id="rId4340" ref="A1974"/>
    <hyperlink r:id="rId4341" ref="A1975"/>
    <hyperlink r:id="rId4342" ref="A1976"/>
    <hyperlink r:id="rId4343" ref="C1976"/>
    <hyperlink r:id="rId4344" ref="A1977"/>
    <hyperlink r:id="rId4345" ref="C1977"/>
    <hyperlink r:id="rId4346" ref="E1977"/>
    <hyperlink r:id="rId4347" ref="A1978"/>
    <hyperlink r:id="rId4348" ref="C1978"/>
    <hyperlink r:id="rId4349" ref="A1979"/>
    <hyperlink r:id="rId4350" ref="C1979"/>
    <hyperlink r:id="rId4351" ref="A1980"/>
    <hyperlink r:id="rId4352" ref="C1980"/>
    <hyperlink r:id="rId4353" ref="A1981"/>
    <hyperlink r:id="rId4354" ref="C1981"/>
    <hyperlink r:id="rId4355" ref="A1982"/>
    <hyperlink r:id="rId4356" ref="C1982"/>
    <hyperlink r:id="rId4357" ref="A1983"/>
    <hyperlink r:id="rId4358" ref="C1983"/>
    <hyperlink r:id="rId4359" ref="E1983"/>
    <hyperlink r:id="rId4360" ref="A1984"/>
    <hyperlink r:id="rId4361" ref="C1984"/>
    <hyperlink r:id="rId4362" ref="A1985"/>
    <hyperlink r:id="rId4363" ref="C1985"/>
    <hyperlink r:id="rId4364" ref="E1985"/>
    <hyperlink r:id="rId4365" ref="A1986"/>
    <hyperlink r:id="rId4366" ref="C1986"/>
    <hyperlink r:id="rId4367" ref="E1986"/>
    <hyperlink r:id="rId4368" ref="A1987"/>
    <hyperlink r:id="rId4369" ref="C1987"/>
  </hyperlinks>
  <drawing r:id="rId43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1836</v>
      </c>
      <c r="G1" s="1" t="s">
        <v>1837</v>
      </c>
    </row>
    <row r="2">
      <c r="A2" s="2" t="s">
        <v>5</v>
      </c>
      <c r="B2" s="1" t="s">
        <v>6</v>
      </c>
      <c r="C2" s="2" t="s">
        <v>7</v>
      </c>
      <c r="D2" s="1" t="s">
        <v>8</v>
      </c>
      <c r="E2" s="2" t="s">
        <v>9</v>
      </c>
      <c r="F2" s="3" t="str">
        <f t="array" ref="F2:F617">UNIQUE(B:B)</f>
        <v>lidLabel</v>
      </c>
      <c r="G2" s="1" t="s">
        <v>1838</v>
      </c>
    </row>
    <row r="3">
      <c r="A3" s="2" t="s">
        <v>10</v>
      </c>
      <c r="B3" s="1" t="s">
        <v>11</v>
      </c>
      <c r="C3" s="2" t="s">
        <v>12</v>
      </c>
      <c r="D3" s="1" t="s">
        <v>13</v>
      </c>
      <c r="E3" s="2" t="s">
        <v>14</v>
      </c>
      <c r="F3" s="3" t="s">
        <v>6</v>
      </c>
      <c r="G3" s="3" t="str">
        <f>IFERROR(__xludf.DUMMYFUNCTION("JOIN("", "", FILTER($D2:D1989, $B2:B1989 = F3))"),"vicaris-generaal, katholieke diaken, kanunnik, katholiek bisschop, rector, katholiek priester, geestelijk leidsman, academisch docent, theoloog")</f>
        <v>vicaris-generaal, katholieke diaken, kanunnik, katholiek bisschop, rector, katholiek priester, geestelijk leidsman, academisch docent, theoloog</v>
      </c>
    </row>
    <row r="4">
      <c r="A4" s="2" t="s">
        <v>15</v>
      </c>
      <c r="B4" s="1" t="s">
        <v>16</v>
      </c>
      <c r="C4" s="2" t="s">
        <v>17</v>
      </c>
      <c r="D4" s="1" t="s">
        <v>18</v>
      </c>
      <c r="E4" s="2" t="s">
        <v>19</v>
      </c>
      <c r="F4" s="3" t="s">
        <v>11</v>
      </c>
      <c r="G4" s="3" t="str">
        <f>IFERROR(__xludf.DUMMYFUNCTION("JOIN("", "", FILTER($D3:D1989, $B3:B1989 = F4))"),"politicus, schrijver, dichter, militair")</f>
        <v>politicus, schrijver, dichter, militair</v>
      </c>
    </row>
    <row r="5">
      <c r="A5" s="2" t="s">
        <v>20</v>
      </c>
      <c r="B5" s="1" t="s">
        <v>21</v>
      </c>
      <c r="C5" s="2" t="s">
        <v>22</v>
      </c>
      <c r="D5" s="1" t="s">
        <v>23</v>
      </c>
      <c r="E5" s="2" t="s">
        <v>24</v>
      </c>
      <c r="F5" s="3" t="s">
        <v>16</v>
      </c>
      <c r="G5" s="3" t="str">
        <f>IFERROR(__xludf.DUMMYFUNCTION("JOIN("", "", FILTER($D4:D1989, $B4:B1989 = F5))"),"katholieke diaken, katholiek bisschop, katholiek priester, schrijver, romanschrijver")</f>
        <v>katholieke diaken, katholiek bisschop, katholiek priester, schrijver, romanschrijver</v>
      </c>
    </row>
    <row r="6">
      <c r="A6" s="2" t="s">
        <v>20</v>
      </c>
      <c r="B6" s="1" t="s">
        <v>21</v>
      </c>
      <c r="C6" s="2" t="s">
        <v>25</v>
      </c>
      <c r="D6" s="1" t="s">
        <v>26</v>
      </c>
      <c r="E6" s="2" t="s">
        <v>24</v>
      </c>
      <c r="F6" s="3" t="s">
        <v>21</v>
      </c>
      <c r="G6" s="3" t="str">
        <f>IFERROR(__xludf.DUMMYFUNCTION("JOIN("", "", FILTER($D5:D1989, $B5:B1989 = F6))"),"schrijver, dichter, ambtenaar, douanebeambte, politicus")</f>
        <v>schrijver, dichter, ambtenaar, douanebeambte, politicus</v>
      </c>
    </row>
    <row r="7">
      <c r="A7" s="2" t="s">
        <v>27</v>
      </c>
      <c r="B7" s="1" t="s">
        <v>28</v>
      </c>
      <c r="C7" s="2" t="s">
        <v>29</v>
      </c>
      <c r="D7" s="1" t="s">
        <v>30</v>
      </c>
      <c r="E7" s="2" t="s">
        <v>31</v>
      </c>
      <c r="F7" s="3" t="s">
        <v>28</v>
      </c>
      <c r="G7" s="3" t="str">
        <f>IFERROR(__xludf.DUMMYFUNCTION("JOIN("", "", FILTER($D6:D1989, $B6:B1989 = F7))"),"scenarioschrijver, fotograaf, exlibrist, bakker, vertaler, schrijver")</f>
        <v>scenarioschrijver, fotograaf, exlibrist, bakker, vertaler, schrijver</v>
      </c>
    </row>
    <row r="8">
      <c r="A8" s="2" t="s">
        <v>33</v>
      </c>
      <c r="B8" s="1" t="s">
        <v>34</v>
      </c>
      <c r="C8" s="2" t="s">
        <v>12</v>
      </c>
      <c r="D8" s="1" t="s">
        <v>13</v>
      </c>
      <c r="F8" s="3" t="s">
        <v>34</v>
      </c>
      <c r="G8" s="3" t="str">
        <f>IFERROR(__xludf.DUMMYFUNCTION("JOIN("", "", FILTER($D7:D1989, $B7:B1989 = F8))"),"politicus, vertaler, advocaat, dichter")</f>
        <v>politicus, vertaler, advocaat, dichter</v>
      </c>
    </row>
    <row r="9">
      <c r="A9" s="2" t="s">
        <v>33</v>
      </c>
      <c r="B9" s="1" t="s">
        <v>34</v>
      </c>
      <c r="C9" s="2" t="s">
        <v>35</v>
      </c>
      <c r="D9" s="1" t="s">
        <v>36</v>
      </c>
      <c r="F9" s="3" t="s">
        <v>40</v>
      </c>
      <c r="G9" s="3" t="str">
        <f>IFERROR(__xludf.DUMMYFUNCTION("JOIN("", "", FILTER($D8:D1989, $B8:B1989 = F9))"),"pastoor, katholiek priester, verzamelaar, leerkracht, heemkundige, parochievicaris")</f>
        <v>pastoor, katholiek priester, verzamelaar, leerkracht, heemkundige, parochievicaris</v>
      </c>
    </row>
    <row r="10">
      <c r="A10" s="2" t="s">
        <v>27</v>
      </c>
      <c r="B10" s="1" t="s">
        <v>28</v>
      </c>
      <c r="C10" s="2" t="s">
        <v>37</v>
      </c>
      <c r="D10" s="1" t="s">
        <v>38</v>
      </c>
      <c r="E10" s="2" t="s">
        <v>31</v>
      </c>
      <c r="F10" s="3" t="s">
        <v>46</v>
      </c>
      <c r="G10" s="3" t="str">
        <f>IFERROR(__xludf.DUMMYFUNCTION("JOIN("", "", FILTER($D9:D1989, $B9:B1989 = F10))"),"pastoor, leerkracht, schrijver, dichter, priester")</f>
        <v>pastoor, leerkracht, schrijver, dichter, priester</v>
      </c>
    </row>
    <row r="11">
      <c r="A11" s="2" t="s">
        <v>39</v>
      </c>
      <c r="B11" s="1" t="s">
        <v>40</v>
      </c>
      <c r="C11" s="2" t="s">
        <v>41</v>
      </c>
      <c r="D11" s="1" t="s">
        <v>42</v>
      </c>
      <c r="F11" s="3" t="s">
        <v>52</v>
      </c>
      <c r="G11" s="3" t="str">
        <f>IFERROR(__xludf.DUMMYFUNCTION("JOIN("", "", FILTER($D10:D1989, $B10:B1989 = F11))"),"coadjutor, directeur, kanunnik, katholiek bisschop, parochievicaris, katholiek priester, schrijver, academisch docent, theoloog, vicaris-generaal")</f>
        <v>coadjutor, directeur, kanunnik, katholiek bisschop, parochievicaris, katholiek priester, schrijver, academisch docent, theoloog, vicaris-generaal</v>
      </c>
    </row>
    <row r="12">
      <c r="A12" s="2" t="s">
        <v>39</v>
      </c>
      <c r="B12" s="1" t="s">
        <v>40</v>
      </c>
      <c r="C12" s="2" t="s">
        <v>43</v>
      </c>
      <c r="D12" s="1" t="s">
        <v>44</v>
      </c>
      <c r="F12" s="3" t="s">
        <v>59</v>
      </c>
      <c r="G12" s="3" t="str">
        <f>IFERROR(__xludf.DUMMYFUNCTION("JOIN("", "", FILTER($D11:D1989, $B11:B1989 = F12))"),"filoloog, klassiek filoloog, historicus, dialectoloog")</f>
        <v>filoloog, klassiek filoloog, historicus, dialectoloog</v>
      </c>
    </row>
    <row r="13">
      <c r="A13" s="2" t="s">
        <v>45</v>
      </c>
      <c r="B13" s="1" t="s">
        <v>46</v>
      </c>
      <c r="C13" s="2" t="s">
        <v>41</v>
      </c>
      <c r="D13" s="1" t="s">
        <v>42</v>
      </c>
      <c r="F13" s="3" t="s">
        <v>68</v>
      </c>
      <c r="G13" s="3" t="str">
        <f>IFERROR(__xludf.DUMMYFUNCTION("JOIN("", "", FILTER($D12:D1989, $B12:B1989 = F13))"),"schrijver, dichter, toneelschrijver, verkoper, uitgever, boekhandelaar, verzekeringsmakelaar")</f>
        <v>schrijver, dichter, toneelschrijver, verkoper, uitgever, boekhandelaar, verzekeringsmakelaar</v>
      </c>
    </row>
    <row r="14">
      <c r="A14" s="2" t="s">
        <v>39</v>
      </c>
      <c r="B14" s="1" t="s">
        <v>40</v>
      </c>
      <c r="C14" s="2" t="s">
        <v>47</v>
      </c>
      <c r="D14" s="1" t="s">
        <v>48</v>
      </c>
      <c r="F14" s="3" t="s">
        <v>72</v>
      </c>
      <c r="G14" s="3" t="str">
        <f>IFERROR(__xludf.DUMMYFUNCTION("JOIN("", "", FILTER($D13:D1989, $B13:B1989 = F14))"),"pastoor, katholiek priester, academisch docent, deken, aalmoezenier, parochievicaris")</f>
        <v>pastoor, katholiek priester, academisch docent, deken, aalmoezenier, parochievicaris</v>
      </c>
    </row>
    <row r="15">
      <c r="A15" s="2" t="s">
        <v>39</v>
      </c>
      <c r="B15" s="1" t="s">
        <v>40</v>
      </c>
      <c r="C15" s="2" t="s">
        <v>49</v>
      </c>
      <c r="D15" s="1" t="s">
        <v>50</v>
      </c>
      <c r="F15" s="3" t="s">
        <v>82</v>
      </c>
      <c r="G15" s="3" t="str">
        <f>IFERROR(__xludf.DUMMYFUNCTION("JOIN("", "", FILTER($D14:D1989, $B14:B1989 = F15))"),"politicus, schrijver")</f>
        <v>politicus, schrijver</v>
      </c>
    </row>
    <row r="16">
      <c r="A16" s="2" t="s">
        <v>51</v>
      </c>
      <c r="B16" s="1" t="s">
        <v>52</v>
      </c>
      <c r="C16" s="2" t="s">
        <v>53</v>
      </c>
      <c r="D16" s="1" t="s">
        <v>54</v>
      </c>
      <c r="E16" s="2" t="s">
        <v>55</v>
      </c>
      <c r="F16" s="3" t="s">
        <v>97</v>
      </c>
      <c r="G16" s="3" t="str">
        <f>IFERROR(__xludf.DUMMYFUNCTION("JOIN("", "", FILTER($D15:D1989, $B15:B1989 = F16))"),"vertaler, literatuurcriticus, schrijver, dichter, academisch docent")</f>
        <v>vertaler, literatuurcriticus, schrijver, dichter, academisch docent</v>
      </c>
    </row>
    <row r="17">
      <c r="A17" s="2" t="s">
        <v>45</v>
      </c>
      <c r="B17" s="1" t="s">
        <v>46</v>
      </c>
      <c r="C17" s="2" t="s">
        <v>49</v>
      </c>
      <c r="D17" s="1" t="s">
        <v>50</v>
      </c>
      <c r="F17" s="3" t="s">
        <v>102</v>
      </c>
      <c r="G17" s="3" t="str">
        <f>IFERROR(__xludf.DUMMYFUNCTION("JOIN("", "", FILTER($D16:D1989, $B16:B1989 = F17))"),"bibliothecaris, historicus, kunstverzamelaar, letterkundige, archivaris")</f>
        <v>bibliothecaris, historicus, kunstverzamelaar, letterkundige, archivaris</v>
      </c>
    </row>
    <row r="18">
      <c r="A18" s="2" t="s">
        <v>15</v>
      </c>
      <c r="B18" s="1" t="s">
        <v>16</v>
      </c>
      <c r="C18" s="2" t="s">
        <v>56</v>
      </c>
      <c r="D18" s="1" t="s">
        <v>57</v>
      </c>
      <c r="E18" s="2" t="s">
        <v>19</v>
      </c>
      <c r="F18" s="3" t="s">
        <v>107</v>
      </c>
      <c r="G18" s="3" t="str">
        <f>IFERROR(__xludf.DUMMYFUNCTION("JOIN("", "", FILTER($D17:D1989, $B17:B1989 = F18))"),"politicus, bibliothecaris, leerkracht, vertaler, archivaris, boekhouder, journalist, schrijver")</f>
        <v>politicus, bibliothecaris, leerkracht, vertaler, archivaris, boekhouder, journalist, schrijver</v>
      </c>
    </row>
    <row r="19">
      <c r="A19" s="2" t="s">
        <v>58</v>
      </c>
      <c r="B19" s="1" t="s">
        <v>59</v>
      </c>
      <c r="C19" s="2" t="s">
        <v>60</v>
      </c>
      <c r="D19" s="1" t="s">
        <v>61</v>
      </c>
      <c r="E19" s="2" t="s">
        <v>62</v>
      </c>
      <c r="F19" s="3" t="s">
        <v>112</v>
      </c>
      <c r="G19" s="3" t="str">
        <f>IFERROR(__xludf.DUMMYFUNCTION("JOIN("", "", FILTER($D18:D1989, $B18:B1989 = F19))"),"coadjutor, directeur, historicus, kapelaan, katholiek priester")</f>
        <v>coadjutor, directeur, historicus, kapelaan, katholiek priester</v>
      </c>
    </row>
    <row r="20">
      <c r="A20" s="2" t="s">
        <v>27</v>
      </c>
      <c r="B20" s="1" t="s">
        <v>28</v>
      </c>
      <c r="C20" s="2" t="s">
        <v>63</v>
      </c>
      <c r="D20" s="1" t="s">
        <v>64</v>
      </c>
      <c r="E20" s="2" t="s">
        <v>31</v>
      </c>
      <c r="F20" s="3" t="s">
        <v>131</v>
      </c>
      <c r="G20" s="3" t="str">
        <f>IFERROR(__xludf.DUMMYFUNCTION("JOIN("", "", FILTER($D19:D1989, $B19:B1989 = F20))"),"politicus")</f>
        <v>politicus</v>
      </c>
    </row>
    <row r="21">
      <c r="A21" s="2" t="s">
        <v>39</v>
      </c>
      <c r="B21" s="1" t="s">
        <v>40</v>
      </c>
      <c r="C21" s="2" t="s">
        <v>65</v>
      </c>
      <c r="D21" s="1" t="s">
        <v>66</v>
      </c>
      <c r="F21" s="3" t="s">
        <v>150</v>
      </c>
      <c r="G21" s="3" t="str">
        <f>IFERROR(__xludf.DUMMYFUNCTION("JOIN("", "", FILTER($D20:D1989, $B20:B1989 = F21))"),"onderwijzer, kunsthistoricus, vertegenwoordiger, museummedewerker, ambtenaar, importeur, conservator, curator")</f>
        <v>onderwijzer, kunsthistoricus, vertegenwoordiger, museummedewerker, ambtenaar, importeur, conservator, curator</v>
      </c>
    </row>
    <row r="22">
      <c r="A22" s="2" t="s">
        <v>67</v>
      </c>
      <c r="B22" s="1" t="s">
        <v>68</v>
      </c>
      <c r="C22" s="2" t="s">
        <v>22</v>
      </c>
      <c r="D22" s="1" t="s">
        <v>23</v>
      </c>
      <c r="F22" s="3" t="s">
        <v>155</v>
      </c>
      <c r="G22" s="3" t="str">
        <f>IFERROR(__xludf.DUMMYFUNCTION("JOIN("", "", FILTER($D21:D1989, $B21:B1989 = F22))"),"schrijver, dichter, academisch docent, historicus, senior lecturer")</f>
        <v>schrijver, dichter, academisch docent, historicus, senior lecturer</v>
      </c>
    </row>
    <row r="23">
      <c r="A23" s="2" t="s">
        <v>67</v>
      </c>
      <c r="B23" s="1" t="s">
        <v>68</v>
      </c>
      <c r="C23" s="2" t="s">
        <v>25</v>
      </c>
      <c r="D23" s="1" t="s">
        <v>26</v>
      </c>
      <c r="F23" s="3" t="s">
        <v>158</v>
      </c>
      <c r="G23" s="3" t="str">
        <f>IFERROR(__xludf.DUMMYFUNCTION("JOIN("", "", FILTER($D22:D1989, $B22:B1989 = F23))"),"pastoor, historicus, leerkracht, rector, katholiek priester, pastoor-deken, schrijver")</f>
        <v>pastoor, historicus, leerkracht, rector, katholiek priester, pastoor-deken, schrijver</v>
      </c>
    </row>
    <row r="24">
      <c r="A24" s="2" t="s">
        <v>15</v>
      </c>
      <c r="B24" s="1" t="s">
        <v>16</v>
      </c>
      <c r="C24" s="2" t="s">
        <v>43</v>
      </c>
      <c r="D24" s="1" t="s">
        <v>44</v>
      </c>
      <c r="E24" s="2" t="s">
        <v>19</v>
      </c>
      <c r="F24" s="3" t="s">
        <v>161</v>
      </c>
      <c r="G24" s="3" t="str">
        <f>IFERROR(__xludf.DUMMYFUNCTION("JOIN("", "", FILTER($D23:D1989, $B23:B1989 = F24))"),"professor, archeoloog, leerkracht, vertaler, taalkundige, academisch docent, oriëntalist")</f>
        <v>professor, archeoloog, leerkracht, vertaler, taalkundige, academisch docent, oriëntalist</v>
      </c>
    </row>
    <row r="25">
      <c r="A25" s="2" t="s">
        <v>39</v>
      </c>
      <c r="B25" s="1" t="s">
        <v>40</v>
      </c>
      <c r="C25" s="2" t="s">
        <v>69</v>
      </c>
      <c r="D25" s="1" t="s">
        <v>70</v>
      </c>
      <c r="F25" s="3" t="s">
        <v>168</v>
      </c>
      <c r="G25" s="3" t="str">
        <f>IFERROR(__xludf.DUMMYFUNCTION("JOIN("", "", FILTER($D24:D1989, $B24:B1989 = F25))"),"filoloog, commentator, ambtenaar, bibliothecaris, historicus")</f>
        <v>filoloog, commentator, ambtenaar, bibliothecaris, historicus</v>
      </c>
    </row>
    <row r="26">
      <c r="A26" s="2" t="s">
        <v>71</v>
      </c>
      <c r="B26" s="1" t="s">
        <v>72</v>
      </c>
      <c r="C26" s="2" t="s">
        <v>41</v>
      </c>
      <c r="D26" s="1" t="s">
        <v>42</v>
      </c>
      <c r="F26" s="3" t="s">
        <v>172</v>
      </c>
      <c r="G26" s="3" t="str">
        <f>IFERROR(__xludf.DUMMYFUNCTION("JOIN("", "", FILTER($D25:D1989, $B25:B1989 = F26))"),"arts, dichter")</f>
        <v>arts, dichter</v>
      </c>
    </row>
    <row r="27">
      <c r="A27" s="2" t="s">
        <v>10</v>
      </c>
      <c r="B27" s="1" t="s">
        <v>11</v>
      </c>
      <c r="C27" s="2" t="s">
        <v>22</v>
      </c>
      <c r="D27" s="1" t="s">
        <v>23</v>
      </c>
      <c r="E27" s="2" t="s">
        <v>14</v>
      </c>
      <c r="F27" s="3" t="s">
        <v>176</v>
      </c>
      <c r="G27" s="3" t="str">
        <f>IFERROR(__xludf.DUMMYFUNCTION("JOIN("", "", FILTER($D26:D1989, $B26:B1989 = F27))"),"rector, schrijver, onderwijzer, historicus")</f>
        <v>rector, schrijver, onderwijzer, historicus</v>
      </c>
    </row>
    <row r="28">
      <c r="A28" s="2" t="s">
        <v>58</v>
      </c>
      <c r="B28" s="1" t="s">
        <v>59</v>
      </c>
      <c r="C28" s="2" t="s">
        <v>73</v>
      </c>
      <c r="D28" s="1" t="s">
        <v>74</v>
      </c>
      <c r="E28" s="2" t="s">
        <v>62</v>
      </c>
      <c r="F28" s="3" t="s">
        <v>179</v>
      </c>
      <c r="G28" s="3" t="str">
        <f>IFERROR(__xludf.DUMMYFUNCTION("JOIN("", "", FILTER($D27:D1989, $B27:B1989 = F28))"),"politicus, arts")</f>
        <v>politicus, arts</v>
      </c>
    </row>
    <row r="29">
      <c r="A29" s="2" t="s">
        <v>10</v>
      </c>
      <c r="B29" s="1" t="s">
        <v>11</v>
      </c>
      <c r="C29" s="2" t="s">
        <v>25</v>
      </c>
      <c r="D29" s="1" t="s">
        <v>26</v>
      </c>
      <c r="E29" s="2" t="s">
        <v>14</v>
      </c>
      <c r="F29" s="3" t="s">
        <v>185</v>
      </c>
      <c r="G29" s="3" t="str">
        <f>IFERROR(__xludf.DUMMYFUNCTION("JOIN("", "", FILTER($D28:D1989, $B28:B1989 = F29))"),"jurist, schrijver, musicoloog, restaurator, ambtenaar")</f>
        <v>jurist, schrijver, musicoloog, restaurator, ambtenaar</v>
      </c>
    </row>
    <row r="30">
      <c r="A30" s="2" t="s">
        <v>10</v>
      </c>
      <c r="B30" s="1" t="s">
        <v>11</v>
      </c>
      <c r="C30" s="2" t="s">
        <v>75</v>
      </c>
      <c r="D30" s="1" t="s">
        <v>76</v>
      </c>
      <c r="E30" s="2" t="s">
        <v>14</v>
      </c>
      <c r="F30" s="3" t="s">
        <v>190</v>
      </c>
      <c r="G30" s="3" t="str">
        <f>IFERROR(__xludf.DUMMYFUNCTION("JOIN("", "", FILTER($D29:D1989, $B29:B1989 = F30))"),"schrijver, politicus, leerkracht, boekhandelaar")</f>
        <v>schrijver, politicus, leerkracht, boekhandelaar</v>
      </c>
    </row>
    <row r="31">
      <c r="A31" s="2" t="s">
        <v>71</v>
      </c>
      <c r="B31" s="1" t="s">
        <v>72</v>
      </c>
      <c r="C31" s="2" t="s">
        <v>43</v>
      </c>
      <c r="D31" s="1" t="s">
        <v>44</v>
      </c>
      <c r="F31" s="3" t="s">
        <v>192</v>
      </c>
      <c r="G31" s="3" t="str">
        <f>IFERROR(__xludf.DUMMYFUNCTION("JOIN("", "", FILTER($D30:D1989, $B30:B1989 = F31))"),"hagiograaf, bibliothecaris, pater, antropoloog")</f>
        <v>hagiograaf, bibliothecaris, pater, antropoloog</v>
      </c>
    </row>
    <row r="32">
      <c r="A32" s="2" t="s">
        <v>58</v>
      </c>
      <c r="B32" s="1" t="s">
        <v>59</v>
      </c>
      <c r="C32" s="2" t="s">
        <v>77</v>
      </c>
      <c r="D32" s="1" t="s">
        <v>78</v>
      </c>
      <c r="E32" s="2" t="s">
        <v>62</v>
      </c>
      <c r="F32" s="3" t="s">
        <v>197</v>
      </c>
      <c r="G32" s="3" t="str">
        <f>IFERROR(__xludf.DUMMYFUNCTION("JOIN("", "", FILTER($D31:D1989, $B31:B1989 = F32))"),"schrijver, germanist, privaatdocent, filoloog")</f>
        <v>schrijver, germanist, privaatdocent, filoloog</v>
      </c>
    </row>
    <row r="33">
      <c r="A33" s="2" t="s">
        <v>71</v>
      </c>
      <c r="B33" s="1" t="s">
        <v>72</v>
      </c>
      <c r="C33" s="2" t="s">
        <v>79</v>
      </c>
      <c r="D33" s="1" t="s">
        <v>80</v>
      </c>
      <c r="F33" s="3" t="s">
        <v>199</v>
      </c>
      <c r="G33" s="3" t="str">
        <f>IFERROR(__xludf.DUMMYFUNCTION("JOIN("", "", FILTER($D32:D1989, $B32:B1989 = F33))"),"schrijver, bibliothecaris, historicus, rector, leerkracht, letterkundige")</f>
        <v>schrijver, bibliothecaris, historicus, rector, leerkracht, letterkundige</v>
      </c>
    </row>
    <row r="34">
      <c r="A34" s="2" t="s">
        <v>81</v>
      </c>
      <c r="B34" s="1" t="s">
        <v>82</v>
      </c>
      <c r="C34" s="2" t="s">
        <v>12</v>
      </c>
      <c r="D34" s="1" t="s">
        <v>13</v>
      </c>
      <c r="E34" s="2" t="s">
        <v>83</v>
      </c>
      <c r="F34" s="3" t="s">
        <v>201</v>
      </c>
      <c r="G34" s="3" t="str">
        <f>IFERROR(__xludf.DUMMYFUNCTION("JOIN("", "", FILTER($D33:D1989, $B33:B1989 = F34))"),"directeur, historicus, rector, katholiek priester, leerkracht, inspecteur")</f>
        <v>directeur, historicus, rector, katholiek priester, leerkracht, inspecteur</v>
      </c>
    </row>
    <row r="35">
      <c r="A35" s="2" t="s">
        <v>15</v>
      </c>
      <c r="B35" s="1" t="s">
        <v>16</v>
      </c>
      <c r="C35" s="2" t="s">
        <v>22</v>
      </c>
      <c r="D35" s="1" t="s">
        <v>23</v>
      </c>
      <c r="E35" s="2" t="s">
        <v>19</v>
      </c>
      <c r="F35" s="3" t="s">
        <v>205</v>
      </c>
      <c r="G35" s="3" t="str">
        <f>IFERROR(__xludf.DUMMYFUNCTION("JOIN("", "", FILTER($D34:D1989, $B34:B1989 = F35))"),"deken, leerkracht, katholiek priester, pastoor-deken, academisch docent")</f>
        <v>deken, leerkracht, katholiek priester, pastoor-deken, academisch docent</v>
      </c>
    </row>
    <row r="36">
      <c r="A36" s="2" t="s">
        <v>51</v>
      </c>
      <c r="B36" s="1" t="s">
        <v>52</v>
      </c>
      <c r="C36" s="2" t="s">
        <v>84</v>
      </c>
      <c r="D36" s="1" t="s">
        <v>85</v>
      </c>
      <c r="E36" s="2" t="s">
        <v>55</v>
      </c>
      <c r="F36" s="3" t="s">
        <v>208</v>
      </c>
      <c r="G36" s="3" t="str">
        <f>IFERROR(__xludf.DUMMYFUNCTION("JOIN("", "", FILTER($D35:D1989, $B35:B1989 = F36))"),"biograaf, ambtenaar, politicus, bibliothecaris, historicus, archivaris")</f>
        <v>biograaf, ambtenaar, politicus, bibliothecaris, historicus, archivaris</v>
      </c>
    </row>
    <row r="37">
      <c r="A37" s="2" t="s">
        <v>71</v>
      </c>
      <c r="B37" s="1" t="s">
        <v>72</v>
      </c>
      <c r="C37" s="2" t="s">
        <v>86</v>
      </c>
      <c r="D37" s="1" t="s">
        <v>87</v>
      </c>
      <c r="F37" s="3" t="s">
        <v>213</v>
      </c>
      <c r="G37" s="3" t="str">
        <f>IFERROR(__xludf.DUMMYFUNCTION("JOIN("", "", FILTER($D36:D1989, $B36:B1989 = F37))"),"ambtenaar, directeur, dichter")</f>
        <v>ambtenaar, directeur, dichter</v>
      </c>
    </row>
    <row r="38">
      <c r="A38" s="2" t="s">
        <v>58</v>
      </c>
      <c r="B38" s="1" t="s">
        <v>59</v>
      </c>
      <c r="C38" s="2" t="s">
        <v>88</v>
      </c>
      <c r="D38" s="1" t="s">
        <v>89</v>
      </c>
      <c r="E38" s="2" t="s">
        <v>62</v>
      </c>
      <c r="F38" s="3" t="s">
        <v>215</v>
      </c>
      <c r="G38" s="3" t="str">
        <f>IFERROR(__xludf.DUMMYFUNCTION("JOIN("", "", FILTER($D37:D1989, $B37:B1989 = F38))"),"pastoor, katholiek bisschop, missionaris, katholiek priester, pater")</f>
        <v>pastoor, katholiek bisschop, missionaris, katholiek priester, pater</v>
      </c>
    </row>
    <row r="39">
      <c r="A39" s="2" t="s">
        <v>51</v>
      </c>
      <c r="B39" s="1" t="s">
        <v>52</v>
      </c>
      <c r="C39" s="2" t="s">
        <v>90</v>
      </c>
      <c r="D39" s="1" t="s">
        <v>91</v>
      </c>
      <c r="E39" s="2" t="s">
        <v>55</v>
      </c>
      <c r="F39" s="3" t="s">
        <v>219</v>
      </c>
      <c r="G39" s="3" t="str">
        <f>IFERROR(__xludf.DUMMYFUNCTION("JOIN("", "", FILTER($D38:D1989, $B38:B1989 = F39))"),"filoloog, leerkracht, taalkundige, academisch docent")</f>
        <v>filoloog, leerkracht, taalkundige, academisch docent</v>
      </c>
    </row>
    <row r="40">
      <c r="A40" s="2" t="s">
        <v>71</v>
      </c>
      <c r="B40" s="1" t="s">
        <v>72</v>
      </c>
      <c r="C40" s="2" t="s">
        <v>92</v>
      </c>
      <c r="D40" s="1" t="s">
        <v>93</v>
      </c>
      <c r="F40" s="3" t="s">
        <v>228</v>
      </c>
      <c r="G40" s="3" t="str">
        <f>IFERROR(__xludf.DUMMYFUNCTION("JOIN("", "", FILTER($D39:D1989, $B39:B1989 = F40))"),"leerkracht, kapelaan, katholiek priester, schrijver")</f>
        <v>leerkracht, kapelaan, katholiek priester, schrijver</v>
      </c>
    </row>
    <row r="41">
      <c r="A41" s="2" t="s">
        <v>51</v>
      </c>
      <c r="B41" s="1" t="s">
        <v>52</v>
      </c>
      <c r="C41" s="2" t="s">
        <v>56</v>
      </c>
      <c r="D41" s="1" t="s">
        <v>57</v>
      </c>
      <c r="E41" s="2" t="s">
        <v>55</v>
      </c>
      <c r="F41" s="3" t="s">
        <v>241</v>
      </c>
      <c r="G41" s="3" t="str">
        <f>IFERROR(__xludf.DUMMYFUNCTION("JOIN("", "", FILTER($D40:D1989, $B40:B1989 = F41))"),"literatuurcriticus, schrijver, dichter")</f>
        <v>literatuurcriticus, schrijver, dichter</v>
      </c>
    </row>
    <row r="42">
      <c r="A42" s="2" t="s">
        <v>27</v>
      </c>
      <c r="B42" s="1" t="s">
        <v>28</v>
      </c>
      <c r="C42" s="2" t="s">
        <v>94</v>
      </c>
      <c r="D42" s="1" t="s">
        <v>95</v>
      </c>
      <c r="E42" s="2" t="s">
        <v>31</v>
      </c>
      <c r="F42" s="3" t="s">
        <v>246</v>
      </c>
      <c r="G42" s="3" t="str">
        <f>IFERROR(__xludf.DUMMYFUNCTION("JOIN("", "", FILTER($D41:D1989, $B41:B1989 = F42))"),"redacteur, taalkundige")</f>
        <v>redacteur, taalkundige</v>
      </c>
    </row>
    <row r="43">
      <c r="A43" s="2" t="s">
        <v>96</v>
      </c>
      <c r="B43" s="1" t="s">
        <v>97</v>
      </c>
      <c r="C43" s="2" t="s">
        <v>35</v>
      </c>
      <c r="D43" s="1" t="s">
        <v>36</v>
      </c>
      <c r="E43" s="2" t="s">
        <v>98</v>
      </c>
      <c r="F43" s="3" t="s">
        <v>263</v>
      </c>
      <c r="G43" s="3" t="str">
        <f>IFERROR(__xludf.DUMMYFUNCTION("JOIN("", "", FILTER($D42:D1989, $B42:B1989 = F43))"),"letterkundige, biograaf, etnograaf, heemkundige, volkskundige, schrijver, historicus, journalist")</f>
        <v>letterkundige, biograaf, etnograaf, heemkundige, volkskundige, schrijver, historicus, journalist</v>
      </c>
    </row>
    <row r="44">
      <c r="A44" s="2" t="s">
        <v>51</v>
      </c>
      <c r="B44" s="1" t="s">
        <v>52</v>
      </c>
      <c r="C44" s="2" t="s">
        <v>69</v>
      </c>
      <c r="D44" s="1" t="s">
        <v>70</v>
      </c>
      <c r="E44" s="2" t="s">
        <v>55</v>
      </c>
      <c r="F44" s="3" t="s">
        <v>265</v>
      </c>
      <c r="G44" s="3" t="str">
        <f>IFERROR(__xludf.DUMMYFUNCTION("JOIN("", "", FILTER($D43:D1989, $B43:B1989 = F44))"),"coadjutor, pastoor, katholiek priester, leerkracht")</f>
        <v>coadjutor, pastoor, katholiek priester, leerkracht</v>
      </c>
    </row>
    <row r="45">
      <c r="A45" s="2" t="s">
        <v>71</v>
      </c>
      <c r="B45" s="1" t="s">
        <v>72</v>
      </c>
      <c r="C45" s="2" t="s">
        <v>69</v>
      </c>
      <c r="D45" s="1" t="s">
        <v>70</v>
      </c>
      <c r="F45" s="3" t="s">
        <v>269</v>
      </c>
      <c r="G45" s="3" t="str">
        <f>IFERROR(__xludf.DUMMYFUNCTION("JOIN("", "", FILTER($D44:D1989, $B44:B1989 = F45))"),"katholiek priester, leerkracht, parochievicaris, schoolopziener, geestelijk leidsman")</f>
        <v>katholiek priester, leerkracht, parochievicaris, schoolopziener, geestelijk leidsman</v>
      </c>
    </row>
    <row r="46">
      <c r="A46" s="2" t="s">
        <v>96</v>
      </c>
      <c r="B46" s="1" t="s">
        <v>97</v>
      </c>
      <c r="C46" s="2" t="s">
        <v>99</v>
      </c>
      <c r="D46" s="1" t="s">
        <v>100</v>
      </c>
      <c r="E46" s="2" t="s">
        <v>98</v>
      </c>
      <c r="F46" s="3" t="s">
        <v>271</v>
      </c>
      <c r="G46" s="3" t="str">
        <f>IFERROR(__xludf.DUMMYFUNCTION("JOIN("", "", FILTER($D45:D1989, $B45:B1989 = F46))"),"coadjutor, pastoor, leerkracht, parochievicaris, priester")</f>
        <v>coadjutor, pastoor, leerkracht, parochievicaris, priester</v>
      </c>
    </row>
    <row r="47">
      <c r="A47" s="2" t="s">
        <v>101</v>
      </c>
      <c r="B47" s="1" t="s">
        <v>102</v>
      </c>
      <c r="C47" s="2" t="s">
        <v>103</v>
      </c>
      <c r="D47" s="1" t="s">
        <v>104</v>
      </c>
      <c r="E47" s="2" t="s">
        <v>105</v>
      </c>
      <c r="F47" s="3" t="s">
        <v>273</v>
      </c>
      <c r="G47" s="3" t="str">
        <f>IFERROR(__xludf.DUMMYFUNCTION("JOIN("", "", FILTER($D46:D1989, $B46:B1989 = F47))"),"chromolithograaf, afdelingsdirecteur, drukker, kunstschilder, graveur, graficus, beeldend kunstenaar, leerkracht, lithograaf")</f>
        <v>chromolithograaf, afdelingsdirecteur, drukker, kunstschilder, graveur, graficus, beeldend kunstenaar, leerkracht, lithograaf</v>
      </c>
    </row>
    <row r="48">
      <c r="A48" s="2" t="s">
        <v>101</v>
      </c>
      <c r="B48" s="1" t="s">
        <v>102</v>
      </c>
      <c r="C48" s="2" t="s">
        <v>77</v>
      </c>
      <c r="D48" s="1" t="s">
        <v>78</v>
      </c>
      <c r="E48" s="2" t="s">
        <v>105</v>
      </c>
      <c r="F48" s="3" t="s">
        <v>277</v>
      </c>
      <c r="G48" s="3" t="str">
        <f>IFERROR(__xludf.DUMMYFUNCTION("JOIN("", "", FILTER($D47:D1989, $B47:B1989 = F48))"),"schrijver, dichter, toneelschrijver, katholiek priester, theoloog, leerkracht")</f>
        <v>schrijver, dichter, toneelschrijver, katholiek priester, theoloog, leerkracht</v>
      </c>
    </row>
    <row r="49">
      <c r="A49" s="2" t="s">
        <v>51</v>
      </c>
      <c r="B49" s="1" t="s">
        <v>52</v>
      </c>
      <c r="C49" s="2" t="s">
        <v>43</v>
      </c>
      <c r="D49" s="1" t="s">
        <v>44</v>
      </c>
      <c r="E49" s="2" t="s">
        <v>55</v>
      </c>
      <c r="F49" s="3" t="s">
        <v>279</v>
      </c>
      <c r="G49" s="3" t="str">
        <f>IFERROR(__xludf.DUMMYFUNCTION("JOIN("", "", FILTER($D48:D1989, $B48:B1989 = F49))"),"schrijver, dichter, katholiek priester, leerkracht, letterkundige, parochievicaris")</f>
        <v>schrijver, dichter, katholiek priester, leerkracht, letterkundige, parochievicaris</v>
      </c>
    </row>
    <row r="50">
      <c r="A50" s="2" t="s">
        <v>106</v>
      </c>
      <c r="B50" s="1" t="s">
        <v>107</v>
      </c>
      <c r="C50" s="2" t="s">
        <v>12</v>
      </c>
      <c r="D50" s="1" t="s">
        <v>13</v>
      </c>
      <c r="E50" s="2" t="s">
        <v>108</v>
      </c>
      <c r="F50" s="3" t="s">
        <v>285</v>
      </c>
      <c r="G50" s="3" t="str">
        <f>IFERROR(__xludf.DUMMYFUNCTION("JOIN("", "", FILTER($D49:D1989, $B49:B1989 = F50))"),"missionaris, katholiek priester, pater")</f>
        <v>missionaris, katholiek priester, pater</v>
      </c>
    </row>
    <row r="51">
      <c r="A51" s="2" t="s">
        <v>15</v>
      </c>
      <c r="B51" s="1" t="s">
        <v>16</v>
      </c>
      <c r="C51" s="2" t="s">
        <v>109</v>
      </c>
      <c r="D51" s="1" t="s">
        <v>110</v>
      </c>
      <c r="E51" s="2" t="s">
        <v>19</v>
      </c>
      <c r="F51" s="3" t="s">
        <v>287</v>
      </c>
      <c r="G51" s="3" t="str">
        <f>IFERROR(__xludf.DUMMYFUNCTION("JOIN("", "", FILTER($D50:D1989, $B50:B1989 = F51))"),"pastoor, bestuurder, katholiek priester, leerkracht, parochievicaris")</f>
        <v>pastoor, bestuurder, katholiek priester, leerkracht, parochievicaris</v>
      </c>
    </row>
    <row r="52">
      <c r="A52" s="2" t="s">
        <v>5</v>
      </c>
      <c r="B52" s="1" t="s">
        <v>6</v>
      </c>
      <c r="C52" s="2" t="s">
        <v>17</v>
      </c>
      <c r="D52" s="1" t="s">
        <v>18</v>
      </c>
      <c r="E52" s="2" t="s">
        <v>9</v>
      </c>
      <c r="F52" s="3" t="s">
        <v>291</v>
      </c>
      <c r="G52" s="3" t="str">
        <f>IFERROR(__xludf.DUMMYFUNCTION("JOIN("", "", FILTER($D51:D1989, $B51:B1989 = F52))"),"pastoor, leerkracht, aalmoezenier, schrijver, priester")</f>
        <v>pastoor, leerkracht, aalmoezenier, schrijver, priester</v>
      </c>
    </row>
    <row r="53">
      <c r="A53" s="2" t="s">
        <v>51</v>
      </c>
      <c r="B53" s="1" t="s">
        <v>52</v>
      </c>
      <c r="C53" s="2" t="s">
        <v>22</v>
      </c>
      <c r="D53" s="1" t="s">
        <v>23</v>
      </c>
      <c r="E53" s="2" t="s">
        <v>55</v>
      </c>
      <c r="F53" s="3" t="s">
        <v>293</v>
      </c>
      <c r="G53" s="3" t="str">
        <f>IFERROR(__xludf.DUMMYFUNCTION("JOIN("", "", FILTER($D52:D1989, $B52:B1989 = F53))"),"bibliothecaris, boekhandelaar, bibliograaf, restaurator")</f>
        <v>bibliothecaris, boekhandelaar, bibliograaf, restaurator</v>
      </c>
    </row>
    <row r="54">
      <c r="A54" s="2" t="s">
        <v>106</v>
      </c>
      <c r="B54" s="1" t="s">
        <v>107</v>
      </c>
      <c r="C54" s="2" t="s">
        <v>103</v>
      </c>
      <c r="D54" s="1" t="s">
        <v>104</v>
      </c>
      <c r="E54" s="2" t="s">
        <v>108</v>
      </c>
      <c r="F54" s="3" t="s">
        <v>295</v>
      </c>
      <c r="G54" s="3" t="str">
        <f>IFERROR(__xludf.DUMMYFUNCTION("JOIN("", "", FILTER($D53:D1989, $B53:B1989 = F54))"),"academisch docent, magistraat, schrijver")</f>
        <v>academisch docent, magistraat, schrijver</v>
      </c>
    </row>
    <row r="55">
      <c r="A55" s="2" t="s">
        <v>81</v>
      </c>
      <c r="B55" s="1" t="s">
        <v>82</v>
      </c>
      <c r="C55" s="2" t="s">
        <v>22</v>
      </c>
      <c r="D55" s="1" t="s">
        <v>23</v>
      </c>
      <c r="E55" s="2" t="s">
        <v>83</v>
      </c>
      <c r="F55" s="3" t="s">
        <v>299</v>
      </c>
      <c r="G55" s="3" t="str">
        <f>IFERROR(__xludf.DUMMYFUNCTION("JOIN("", "", FILTER($D54:D1989, $B54:B1989 = F55))"),"activist, advocaat")</f>
        <v>activist, advocaat</v>
      </c>
    </row>
    <row r="56">
      <c r="A56" s="2" t="s">
        <v>111</v>
      </c>
      <c r="B56" s="1" t="s">
        <v>112</v>
      </c>
      <c r="C56" s="2" t="s">
        <v>53</v>
      </c>
      <c r="D56" s="1" t="s">
        <v>54</v>
      </c>
      <c r="E56" s="2" t="s">
        <v>113</v>
      </c>
      <c r="F56" s="3" t="s">
        <v>305</v>
      </c>
      <c r="G56" s="3" t="str">
        <f>IFERROR(__xludf.DUMMYFUNCTION("JOIN("", "", FILTER($D55:D1989, $B55:B1989 = F56))"),"overste, auteur, begijn of bogaard")</f>
        <v>overste, auteur, begijn of bogaard</v>
      </c>
    </row>
    <row r="57">
      <c r="A57" s="2" t="s">
        <v>106</v>
      </c>
      <c r="B57" s="1" t="s">
        <v>107</v>
      </c>
      <c r="C57" s="2" t="s">
        <v>49</v>
      </c>
      <c r="D57" s="1" t="s">
        <v>50</v>
      </c>
      <c r="E57" s="2" t="s">
        <v>108</v>
      </c>
      <c r="F57" s="3" t="s">
        <v>310</v>
      </c>
      <c r="G57" s="3" t="str">
        <f>IFERROR(__xludf.DUMMYFUNCTION("JOIN("", "", FILTER($D56:D1989, $B56:B1989 = F57))"),"apotheker")</f>
        <v>apotheker</v>
      </c>
    </row>
    <row r="58">
      <c r="A58" s="2" t="s">
        <v>106</v>
      </c>
      <c r="B58" s="1" t="s">
        <v>107</v>
      </c>
      <c r="C58" s="2" t="s">
        <v>35</v>
      </c>
      <c r="D58" s="1" t="s">
        <v>36</v>
      </c>
      <c r="E58" s="2" t="s">
        <v>108</v>
      </c>
      <c r="F58" s="3" t="s">
        <v>314</v>
      </c>
      <c r="G58" s="3" t="str">
        <f>IFERROR(__xludf.DUMMYFUNCTION("JOIN("", "", FILTER($D57:D1989, $B57:B1989 = F58))"),"pastoor, directeur, katholiek priester, parochievicaris")</f>
        <v>pastoor, directeur, katholiek priester, parochievicaris</v>
      </c>
    </row>
    <row r="59">
      <c r="A59" s="2" t="s">
        <v>33</v>
      </c>
      <c r="B59" s="1" t="s">
        <v>34</v>
      </c>
      <c r="C59" s="2" t="s">
        <v>114</v>
      </c>
      <c r="D59" s="1" t="s">
        <v>115</v>
      </c>
      <c r="F59" s="3" t="s">
        <v>318</v>
      </c>
      <c r="G59" s="3" t="str">
        <f>IFERROR(__xludf.DUMMYFUNCTION("JOIN("", "", FILTER($D58:D1989, $B58:B1989 = F59))"),"pastoor, katholiek priester, leerkracht, parochievicaris")</f>
        <v>pastoor, katholiek priester, leerkracht, parochievicaris</v>
      </c>
    </row>
    <row r="60">
      <c r="A60" s="2" t="s">
        <v>33</v>
      </c>
      <c r="B60" s="1" t="s">
        <v>34</v>
      </c>
      <c r="C60" s="2" t="s">
        <v>25</v>
      </c>
      <c r="D60" s="1" t="s">
        <v>26</v>
      </c>
      <c r="F60" s="3" t="s">
        <v>324</v>
      </c>
      <c r="G60" s="3" t="str">
        <f>IFERROR(__xludf.DUMMYFUNCTION("JOIN("", "", FILTER($D59:D1989, $B59:B1989 = F60))"),"journalist, adjunct-conservator, hoofdredacteur, redacteur, schrijver")</f>
        <v>journalist, adjunct-conservator, hoofdredacteur, redacteur, schrijver</v>
      </c>
    </row>
    <row r="61">
      <c r="A61" s="2" t="s">
        <v>20</v>
      </c>
      <c r="B61" s="1" t="s">
        <v>21</v>
      </c>
      <c r="C61" s="2" t="s">
        <v>116</v>
      </c>
      <c r="D61" s="1" t="s">
        <v>117</v>
      </c>
      <c r="E61" s="2" t="s">
        <v>24</v>
      </c>
      <c r="F61" s="3" t="s">
        <v>327</v>
      </c>
      <c r="G61" s="3" t="str">
        <f>IFERROR(__xludf.DUMMYFUNCTION("JOIN("", "", FILTER($D60:D1989, $B60:B1989 = F61))"),"rector, katholiek priester, prelaat, academisch docent, vicaris-generaal, kanunnik, parochievicaris")</f>
        <v>rector, katholiek priester, prelaat, academisch docent, vicaris-generaal, kanunnik, parochievicaris</v>
      </c>
    </row>
    <row r="62">
      <c r="A62" s="2" t="s">
        <v>45</v>
      </c>
      <c r="B62" s="1" t="s">
        <v>46</v>
      </c>
      <c r="C62" s="2" t="s">
        <v>22</v>
      </c>
      <c r="D62" s="1" t="s">
        <v>23</v>
      </c>
      <c r="F62" s="3" t="s">
        <v>331</v>
      </c>
      <c r="G62" s="3" t="str">
        <f>IFERROR(__xludf.DUMMYFUNCTION("JOIN("", "", FILTER($D61:D1989, $B61:B1989 = F62))"),"gewoon hoogleraar, buitengewoon hoogleraar, academisch docent")</f>
        <v>gewoon hoogleraar, buitengewoon hoogleraar, academisch docent</v>
      </c>
    </row>
    <row r="63">
      <c r="A63" s="2" t="s">
        <v>45</v>
      </c>
      <c r="B63" s="1" t="s">
        <v>46</v>
      </c>
      <c r="C63" s="2" t="s">
        <v>25</v>
      </c>
      <c r="D63" s="1" t="s">
        <v>26</v>
      </c>
      <c r="F63" s="3" t="s">
        <v>336</v>
      </c>
      <c r="G63" s="3" t="str">
        <f>IFERROR(__xludf.DUMMYFUNCTION("JOIN("", "", FILTER($D62:D1989, $B62:B1989 = F63))"),"vertaler, librettist, schrijver")</f>
        <v>vertaler, librettist, schrijver</v>
      </c>
    </row>
    <row r="64">
      <c r="A64" s="2" t="s">
        <v>45</v>
      </c>
      <c r="B64" s="1" t="s">
        <v>46</v>
      </c>
      <c r="C64" s="2" t="s">
        <v>118</v>
      </c>
      <c r="D64" s="1" t="s">
        <v>119</v>
      </c>
      <c r="F64" s="3" t="s">
        <v>344</v>
      </c>
      <c r="G64" s="3" t="str">
        <f>IFERROR(__xludf.DUMMYFUNCTION("JOIN("", "", FILTER($D63:D1989, $B63:B1989 = F64))"),"historicus, prediker, archivaris, predikant, schoolopziener")</f>
        <v>historicus, prediker, archivaris, predikant, schoolopziener</v>
      </c>
    </row>
    <row r="65">
      <c r="A65" s="2" t="s">
        <v>51</v>
      </c>
      <c r="B65" s="1" t="s">
        <v>52</v>
      </c>
      <c r="C65" s="2" t="s">
        <v>79</v>
      </c>
      <c r="D65" s="1" t="s">
        <v>80</v>
      </c>
      <c r="E65" s="2" t="s">
        <v>55</v>
      </c>
      <c r="F65" s="3" t="s">
        <v>356</v>
      </c>
      <c r="G65" s="3" t="str">
        <f>IFERROR(__xludf.DUMMYFUNCTION("JOIN("", "", FILTER($D64:D1989, $B64:B1989 = F65))"),"historicus")</f>
        <v>historicus</v>
      </c>
    </row>
    <row r="66">
      <c r="A66" s="2" t="s">
        <v>51</v>
      </c>
      <c r="B66" s="1" t="s">
        <v>52</v>
      </c>
      <c r="C66" s="2" t="s">
        <v>120</v>
      </c>
      <c r="D66" s="1" t="s">
        <v>121</v>
      </c>
      <c r="E66" s="2" t="s">
        <v>55</v>
      </c>
      <c r="F66" s="3" t="s">
        <v>358</v>
      </c>
      <c r="G66" s="3" t="str">
        <f>IFERROR(__xludf.DUMMYFUNCTION("JOIN("", "", FILTER($D65:D1989, $B65:B1989 = F66))"),"leerkracht")</f>
        <v>leerkracht</v>
      </c>
    </row>
    <row r="67">
      <c r="A67" s="2" t="s">
        <v>96</v>
      </c>
      <c r="B67" s="1" t="s">
        <v>97</v>
      </c>
      <c r="C67" s="2" t="s">
        <v>22</v>
      </c>
      <c r="D67" s="1" t="s">
        <v>23</v>
      </c>
      <c r="E67" s="2" t="s">
        <v>98</v>
      </c>
      <c r="F67" s="3" t="s">
        <v>366</v>
      </c>
      <c r="G67" s="3" t="str">
        <f>IFERROR(__xludf.DUMMYFUNCTION("JOIN("", "", FILTER($D66:D1989, $B66:B1989 = F67))"),"politicus, industrieel")</f>
        <v>politicus, industrieel</v>
      </c>
    </row>
    <row r="68">
      <c r="A68" s="2" t="s">
        <v>96</v>
      </c>
      <c r="B68" s="1" t="s">
        <v>97</v>
      </c>
      <c r="C68" s="2" t="s">
        <v>25</v>
      </c>
      <c r="D68" s="1" t="s">
        <v>26</v>
      </c>
      <c r="E68" s="2" t="s">
        <v>98</v>
      </c>
      <c r="F68" s="3" t="s">
        <v>369</v>
      </c>
      <c r="G68" s="3" t="str">
        <f>IFERROR(__xludf.DUMMYFUNCTION("JOIN("", "", FILTER($D67:D1989, $B67:B1989 = F68))"),"componist, pastoor, katholiek priester, leerkracht, parochievicaris")</f>
        <v>componist, pastoor, katholiek priester, leerkracht, parochievicaris</v>
      </c>
    </row>
    <row r="69">
      <c r="A69" s="2" t="s">
        <v>5</v>
      </c>
      <c r="B69" s="1" t="s">
        <v>6</v>
      </c>
      <c r="C69" s="2" t="s">
        <v>90</v>
      </c>
      <c r="D69" s="1" t="s">
        <v>91</v>
      </c>
      <c r="E69" s="2" t="s">
        <v>9</v>
      </c>
      <c r="F69" s="3" t="s">
        <v>373</v>
      </c>
      <c r="G69" s="3" t="str">
        <f>IFERROR(__xludf.DUMMYFUNCTION("JOIN("", "", FILTER($D68:D1989, $B68:B1989 = F69))"),"rector, pianist, academisch docent, componist")</f>
        <v>rector, pianist, academisch docent, componist</v>
      </c>
    </row>
    <row r="70">
      <c r="A70" s="2" t="s">
        <v>20</v>
      </c>
      <c r="B70" s="1" t="s">
        <v>21</v>
      </c>
      <c r="C70" s="2" t="s">
        <v>122</v>
      </c>
      <c r="D70" s="1" t="s">
        <v>123</v>
      </c>
      <c r="E70" s="2" t="s">
        <v>24</v>
      </c>
      <c r="F70" s="3" t="s">
        <v>376</v>
      </c>
      <c r="G70" s="3" t="str">
        <f>IFERROR(__xludf.DUMMYFUNCTION("JOIN("", "", FILTER($D69:D1989, $B69:B1989 = F70))"),"kunstcriticus, leerkracht, literatuurcriticus, conservator, studiemeester, journalist, schrijver, kunsthistoricus")</f>
        <v>kunstcriticus, leerkracht, literatuurcriticus, conservator, studiemeester, journalist, schrijver, kunsthistoricus</v>
      </c>
    </row>
    <row r="71">
      <c r="A71" s="2" t="s">
        <v>27</v>
      </c>
      <c r="B71" s="1" t="s">
        <v>28</v>
      </c>
      <c r="C71" s="2" t="s">
        <v>35</v>
      </c>
      <c r="D71" s="1" t="s">
        <v>36</v>
      </c>
      <c r="E71" s="2" t="s">
        <v>31</v>
      </c>
      <c r="F71" s="3" t="s">
        <v>383</v>
      </c>
      <c r="G71" s="3" t="str">
        <f>IFERROR(__xludf.DUMMYFUNCTION("JOIN("", "", FILTER($D70:D1989, $B70:B1989 = F71))"),"dichter, essayist, ambtenaar")</f>
        <v>dichter, essayist, ambtenaar</v>
      </c>
    </row>
    <row r="72">
      <c r="A72" s="2" t="s">
        <v>106</v>
      </c>
      <c r="B72" s="1" t="s">
        <v>107</v>
      </c>
      <c r="C72" s="2" t="s">
        <v>124</v>
      </c>
      <c r="D72" s="1" t="s">
        <v>125</v>
      </c>
      <c r="E72" s="2" t="s">
        <v>108</v>
      </c>
      <c r="F72" s="3" t="s">
        <v>386</v>
      </c>
      <c r="G72" s="3" t="str">
        <f>IFERROR(__xludf.DUMMYFUNCTION("JOIN("", "", FILTER($D71:D1989, $B71:B1989 = F72))"),"liturgist, katholiek bisschop, monnik, missionaris, rector, katholiek priester")</f>
        <v>liturgist, katholiek bisschop, monnik, missionaris, rector, katholiek priester</v>
      </c>
    </row>
    <row r="73">
      <c r="A73" s="2" t="s">
        <v>5</v>
      </c>
      <c r="B73" s="1" t="s">
        <v>6</v>
      </c>
      <c r="C73" s="2" t="s">
        <v>56</v>
      </c>
      <c r="D73" s="1" t="s">
        <v>57</v>
      </c>
      <c r="E73" s="2" t="s">
        <v>9</v>
      </c>
      <c r="F73" s="3" t="s">
        <v>391</v>
      </c>
      <c r="G73" s="3" t="str">
        <f>IFERROR(__xludf.DUMMYFUNCTION("JOIN("", "", FILTER($D72:D1989, $B72:B1989 = F73))"),"uitgever, kunstcriticus, literatuurcriticus, schrijver, dichter, academisch docent, kunsthistoricus")</f>
        <v>uitgever, kunstcriticus, literatuurcriticus, schrijver, dichter, academisch docent, kunsthistoricus</v>
      </c>
    </row>
    <row r="74">
      <c r="A74" s="2" t="s">
        <v>106</v>
      </c>
      <c r="B74" s="1" t="s">
        <v>107</v>
      </c>
      <c r="C74" s="2" t="s">
        <v>126</v>
      </c>
      <c r="D74" s="1" t="s">
        <v>127</v>
      </c>
      <c r="E74" s="2" t="s">
        <v>108</v>
      </c>
      <c r="F74" s="3" t="s">
        <v>394</v>
      </c>
      <c r="G74" s="3" t="str">
        <f>IFERROR(__xludf.DUMMYFUNCTION("JOIN("", "", FILTER($D73:D1989, $B73:B1989 = F74))"),"bibliofiel, politicus, bibliothecaris, historicus, bibliograaf")</f>
        <v>bibliofiel, politicus, bibliothecaris, historicus, bibliograaf</v>
      </c>
    </row>
    <row r="75">
      <c r="A75" s="2" t="s">
        <v>96</v>
      </c>
      <c r="B75" s="1" t="s">
        <v>97</v>
      </c>
      <c r="C75" s="2" t="s">
        <v>79</v>
      </c>
      <c r="D75" s="1" t="s">
        <v>80</v>
      </c>
      <c r="E75" s="2" t="s">
        <v>98</v>
      </c>
      <c r="F75" s="3" t="s">
        <v>399</v>
      </c>
      <c r="G75" s="3" t="str">
        <f>IFERROR(__xludf.DUMMYFUNCTION("JOIN("", "", FILTER($D74:D1989, $B74:B1989 = F75))"),"historicus, archivaris, uitgever, boekhandelaar, taalkundige")</f>
        <v>historicus, archivaris, uitgever, boekhandelaar, taalkundige</v>
      </c>
    </row>
    <row r="76">
      <c r="A76" s="2" t="s">
        <v>106</v>
      </c>
      <c r="B76" s="1" t="s">
        <v>107</v>
      </c>
      <c r="C76" s="2" t="s">
        <v>128</v>
      </c>
      <c r="D76" s="1" t="s">
        <v>129</v>
      </c>
      <c r="E76" s="2" t="s">
        <v>108</v>
      </c>
      <c r="F76" s="3" t="s">
        <v>401</v>
      </c>
      <c r="G76" s="3" t="str">
        <f>IFERROR(__xludf.DUMMYFUNCTION("JOIN("", "", FILTER($D75:D1989, $B75:B1989 = F76))"),"directeur, boekhouder, dichter, ambtenaar")</f>
        <v>directeur, boekhouder, dichter, ambtenaar</v>
      </c>
    </row>
    <row r="77">
      <c r="A77" s="2" t="s">
        <v>51</v>
      </c>
      <c r="B77" s="1" t="s">
        <v>52</v>
      </c>
      <c r="C77" s="2" t="s">
        <v>7</v>
      </c>
      <c r="D77" s="1" t="s">
        <v>8</v>
      </c>
      <c r="E77" s="2" t="s">
        <v>55</v>
      </c>
      <c r="F77" s="3" t="s">
        <v>404</v>
      </c>
      <c r="G77" s="3" t="str">
        <f>IFERROR(__xludf.DUMMYFUNCTION("JOIN("", "", FILTER($D76:D1989, $B76:B1989 = F77))"),"politicus, bibliothecaris, vertaler, hoofdredacteur, journalist, taalkundige, schrijver, dichter")</f>
        <v>politicus, bibliothecaris, vertaler, hoofdredacteur, journalist, taalkundige, schrijver, dichter</v>
      </c>
    </row>
    <row r="78">
      <c r="A78" s="2" t="s">
        <v>111</v>
      </c>
      <c r="B78" s="1" t="s">
        <v>112</v>
      </c>
      <c r="C78" s="2" t="s">
        <v>84</v>
      </c>
      <c r="D78" s="1" t="s">
        <v>85</v>
      </c>
      <c r="E78" s="2" t="s">
        <v>113</v>
      </c>
      <c r="F78" s="3" t="s">
        <v>410</v>
      </c>
      <c r="G78" s="3" t="str">
        <f>IFERROR(__xludf.DUMMYFUNCTION("JOIN("", "", FILTER($D77:D1989, $B77:B1989 = F78))"),"pastoor, directeur, leerkracht, rector, katholiek priester, schrijver, dichter")</f>
        <v>pastoor, directeur, leerkracht, rector, katholiek priester, schrijver, dichter</v>
      </c>
    </row>
    <row r="79">
      <c r="A79" s="2" t="s">
        <v>111</v>
      </c>
      <c r="B79" s="1" t="s">
        <v>112</v>
      </c>
      <c r="C79" s="2" t="s">
        <v>77</v>
      </c>
      <c r="D79" s="1" t="s">
        <v>78</v>
      </c>
      <c r="E79" s="2" t="s">
        <v>113</v>
      </c>
      <c r="F79" s="3" t="s">
        <v>413</v>
      </c>
      <c r="G79" s="3" t="str">
        <f>IFERROR(__xludf.DUMMYFUNCTION("JOIN("", "", FILTER($D78:D1989, $B78:B1989 = F79))"),"landmeter")</f>
        <v>landmeter</v>
      </c>
    </row>
    <row r="80">
      <c r="A80" s="2" t="s">
        <v>130</v>
      </c>
      <c r="B80" s="1" t="s">
        <v>131</v>
      </c>
      <c r="C80" s="2" t="s">
        <v>12</v>
      </c>
      <c r="D80" s="1" t="s">
        <v>13</v>
      </c>
      <c r="E80" s="2" t="s">
        <v>132</v>
      </c>
      <c r="F80" s="3" t="s">
        <v>417</v>
      </c>
      <c r="G80" s="3" t="str">
        <f>IFERROR(__xludf.DUMMYFUNCTION("JOIN("", "", FILTER($D79:D1989, $B79:B1989 = F80))"),"pastoor, politicus, leerkracht, rector, taalkundige, pedagoog, schrijver, priester")</f>
        <v>pastoor, politicus, leerkracht, rector, taalkundige, pedagoog, schrijver, priester</v>
      </c>
    </row>
    <row r="81">
      <c r="A81" s="2" t="s">
        <v>5</v>
      </c>
      <c r="B81" s="1" t="s">
        <v>6</v>
      </c>
      <c r="C81" s="2" t="s">
        <v>133</v>
      </c>
      <c r="D81" s="1" t="s">
        <v>134</v>
      </c>
      <c r="E81" s="2" t="s">
        <v>9</v>
      </c>
      <c r="F81" s="3" t="s">
        <v>420</v>
      </c>
      <c r="G81" s="3" t="str">
        <f>IFERROR(__xludf.DUMMYFUNCTION("JOIN("", "", FILTER($D80:D1989, $B80:B1989 = F81))"),"politicus, historicus, kunsthistoricus, advocaat")</f>
        <v>politicus, historicus, kunsthistoricus, advocaat</v>
      </c>
    </row>
    <row r="82">
      <c r="A82" s="2" t="s">
        <v>67</v>
      </c>
      <c r="B82" s="1" t="s">
        <v>68</v>
      </c>
      <c r="C82" s="2" t="s">
        <v>135</v>
      </c>
      <c r="D82" s="1" t="s">
        <v>136</v>
      </c>
      <c r="F82" s="3" t="s">
        <v>424</v>
      </c>
      <c r="G82" s="3" t="str">
        <f>IFERROR(__xludf.DUMMYFUNCTION("JOIN("", "", FILTER($D81:D1989, $B81:B1989 = F82))"),"katholiek bisschop, katholiek priester, filosoof, rector, pedagoog, academisch docent")</f>
        <v>katholiek bisschop, katholiek priester, filosoof, rector, pedagoog, academisch docent</v>
      </c>
    </row>
    <row r="83">
      <c r="A83" s="2" t="s">
        <v>67</v>
      </c>
      <c r="B83" s="1" t="s">
        <v>68</v>
      </c>
      <c r="C83" s="2" t="s">
        <v>137</v>
      </c>
      <c r="D83" s="1" t="s">
        <v>138</v>
      </c>
      <c r="F83" s="3" t="s">
        <v>427</v>
      </c>
      <c r="G83" s="3" t="str">
        <f>IFERROR(__xludf.DUMMYFUNCTION("JOIN("", "", FILTER($D82:D1989, $B82:B1989 = F83))"),"politicus, hoofdredacteur, journalist, uitgever, schrijver")</f>
        <v>politicus, hoofdredacteur, journalist, uitgever, schrijver</v>
      </c>
    </row>
    <row r="84">
      <c r="A84" s="2" t="s">
        <v>5</v>
      </c>
      <c r="B84" s="1" t="s">
        <v>6</v>
      </c>
      <c r="C84" s="2" t="s">
        <v>43</v>
      </c>
      <c r="D84" s="1" t="s">
        <v>44</v>
      </c>
      <c r="E84" s="2" t="s">
        <v>9</v>
      </c>
      <c r="F84" s="3" t="s">
        <v>429</v>
      </c>
      <c r="G84" s="3" t="str">
        <f>IFERROR(__xludf.DUMMYFUNCTION("JOIN("", "", FILTER($D83:D1989, $B83:B1989 = F84))"),"politicus, ontwerper, handwerker, architect")</f>
        <v>politicus, ontwerper, handwerker, architect</v>
      </c>
    </row>
    <row r="85">
      <c r="A85" s="2" t="s">
        <v>67</v>
      </c>
      <c r="B85" s="1" t="s">
        <v>68</v>
      </c>
      <c r="C85" s="2" t="s">
        <v>139</v>
      </c>
      <c r="D85" s="1" t="s">
        <v>140</v>
      </c>
      <c r="F85" s="3" t="s">
        <v>438</v>
      </c>
      <c r="G85" s="3" t="str">
        <f>IFERROR(__xludf.DUMMYFUNCTION("JOIN("", "", FILTER($D84:D1989, $B84:B1989 = F85))"),"historicus, rector, katholiek priester, leerkracht, inspecteur")</f>
        <v>historicus, rector, katholiek priester, leerkracht, inspecteur</v>
      </c>
    </row>
    <row r="86">
      <c r="A86" s="2" t="s">
        <v>20</v>
      </c>
      <c r="B86" s="1" t="s">
        <v>21</v>
      </c>
      <c r="C86" s="2" t="s">
        <v>12</v>
      </c>
      <c r="D86" s="1" t="s">
        <v>13</v>
      </c>
      <c r="E86" s="2" t="s">
        <v>24</v>
      </c>
      <c r="F86" s="3" t="s">
        <v>446</v>
      </c>
      <c r="G86" s="3" t="str">
        <f>IFERROR(__xludf.DUMMYFUNCTION("JOIN("", "", FILTER($D85:D1989, $B85:B1989 = F86))"),"pastoor, directeur, missionaris, katholiek priester, parochievicaris")</f>
        <v>pastoor, directeur, missionaris, katholiek priester, parochievicaris</v>
      </c>
    </row>
    <row r="87">
      <c r="A87" s="2" t="s">
        <v>106</v>
      </c>
      <c r="B87" s="1" t="s">
        <v>107</v>
      </c>
      <c r="C87" s="2" t="s">
        <v>22</v>
      </c>
      <c r="D87" s="1" t="s">
        <v>23</v>
      </c>
      <c r="E87" s="2" t="s">
        <v>108</v>
      </c>
      <c r="F87" s="3" t="s">
        <v>448</v>
      </c>
      <c r="G87" s="3" t="str">
        <f>IFERROR(__xludf.DUMMYFUNCTION("JOIN("", "", FILTER($D86:D1989, $B86:B1989 = F87))"),"diplomaat, vertaler, schrijver")</f>
        <v>diplomaat, vertaler, schrijver</v>
      </c>
    </row>
    <row r="88">
      <c r="A88" s="2" t="s">
        <v>67</v>
      </c>
      <c r="B88" s="1" t="s">
        <v>68</v>
      </c>
      <c r="C88" s="2" t="s">
        <v>141</v>
      </c>
      <c r="D88" s="1" t="s">
        <v>142</v>
      </c>
      <c r="F88" s="3" t="s">
        <v>452</v>
      </c>
      <c r="G88" s="3" t="str">
        <f>IFERROR(__xludf.DUMMYFUNCTION("JOIN("", "", FILTER($D87:D1989, $B87:B1989 = F88))"),"historicus, schrijver, consul, handelaar")</f>
        <v>historicus, schrijver, consul, handelaar</v>
      </c>
    </row>
    <row r="89">
      <c r="A89" s="2" t="s">
        <v>5</v>
      </c>
      <c r="B89" s="1" t="s">
        <v>6</v>
      </c>
      <c r="C89" s="2" t="s">
        <v>143</v>
      </c>
      <c r="D89" s="1" t="s">
        <v>144</v>
      </c>
      <c r="E89" s="2" t="s">
        <v>9</v>
      </c>
      <c r="F89" s="3" t="s">
        <v>455</v>
      </c>
      <c r="G89" s="3" t="str">
        <f>IFERROR(__xludf.DUMMYFUNCTION("JOIN("", "", FILTER($D88:D1989, $B88:B1989 = F89))"),"pastoor, directeur, katholiek priester, leerkracht, aalmoezenier, financieel beheerder")</f>
        <v>pastoor, directeur, katholiek priester, leerkracht, aalmoezenier, financieel beheerder</v>
      </c>
    </row>
    <row r="90">
      <c r="A90" s="2" t="s">
        <v>27</v>
      </c>
      <c r="B90" s="1" t="s">
        <v>28</v>
      </c>
      <c r="C90" s="2" t="s">
        <v>22</v>
      </c>
      <c r="D90" s="1" t="s">
        <v>23</v>
      </c>
      <c r="E90" s="2" t="s">
        <v>31</v>
      </c>
      <c r="F90" s="3" t="s">
        <v>457</v>
      </c>
      <c r="G90" s="3" t="str">
        <f>IFERROR(__xludf.DUMMYFUNCTION("JOIN("", "", FILTER($D89:D1989, $B89:B1989 = F90))"),"journalist, advocaat, schrijver")</f>
        <v>journalist, advocaat, schrijver</v>
      </c>
    </row>
    <row r="91">
      <c r="A91" s="2" t="s">
        <v>67</v>
      </c>
      <c r="B91" s="1" t="s">
        <v>68</v>
      </c>
      <c r="C91" s="2" t="s">
        <v>145</v>
      </c>
      <c r="D91" s="1" t="s">
        <v>146</v>
      </c>
      <c r="F91" s="3" t="s">
        <v>459</v>
      </c>
      <c r="G91" s="3" t="str">
        <f>IFERROR(__xludf.DUMMYFUNCTION("JOIN("", "", FILTER($D90:D1989, $B90:B1989 = F91))"),"pastoor, Anglicaans priester, rentenier")</f>
        <v>pastoor, Anglicaans priester, rentenier</v>
      </c>
    </row>
    <row r="92">
      <c r="A92" s="2" t="s">
        <v>111</v>
      </c>
      <c r="B92" s="1" t="s">
        <v>112</v>
      </c>
      <c r="C92" s="2" t="s">
        <v>147</v>
      </c>
      <c r="D92" s="1" t="s">
        <v>148</v>
      </c>
      <c r="E92" s="2" t="s">
        <v>113</v>
      </c>
      <c r="F92" s="3" t="s">
        <v>461</v>
      </c>
      <c r="G92" s="3" t="str">
        <f>IFERROR(__xludf.DUMMYFUNCTION("JOIN("", "", FILTER($D91:D1989, $B91:B1989 = F92))"),"deservitor, professor, missionaris, leerkracht, diocesaan administrator, overste, priester")</f>
        <v>deservitor, professor, missionaris, leerkracht, diocesaan administrator, overste, priester</v>
      </c>
    </row>
    <row r="93">
      <c r="A93" s="2" t="s">
        <v>5</v>
      </c>
      <c r="B93" s="1" t="s">
        <v>6</v>
      </c>
      <c r="C93" s="2" t="s">
        <v>79</v>
      </c>
      <c r="D93" s="1" t="s">
        <v>80</v>
      </c>
      <c r="E93" s="2" t="s">
        <v>9</v>
      </c>
      <c r="F93" s="3" t="s">
        <v>465</v>
      </c>
      <c r="G93" s="3" t="str">
        <f>IFERROR(__xludf.DUMMYFUNCTION("JOIN("", "", FILTER($D92:D1989, $B92:B1989 = F93))"),"coadjutor, pastoor, katholiek priester, parochievicaris")</f>
        <v>coadjutor, pastoor, katholiek priester, parochievicaris</v>
      </c>
    </row>
    <row r="94">
      <c r="A94" s="2" t="s">
        <v>5</v>
      </c>
      <c r="B94" s="1" t="s">
        <v>6</v>
      </c>
      <c r="C94" s="2" t="s">
        <v>120</v>
      </c>
      <c r="D94" s="1" t="s">
        <v>121</v>
      </c>
      <c r="E94" s="2" t="s">
        <v>9</v>
      </c>
      <c r="F94" s="3" t="s">
        <v>467</v>
      </c>
      <c r="G94" s="3" t="str">
        <f>IFERROR(__xludf.DUMMYFUNCTION("JOIN("", "", FILTER($D93:D1989, $B93:B1989 = F94))"),"pastoor-deken, pastoor, katholiek priester, kapelaan, parochievicaris, dichter")</f>
        <v>pastoor-deken, pastoor, katholiek priester, kapelaan, parochievicaris, dichter</v>
      </c>
    </row>
    <row r="95">
      <c r="A95" s="2" t="s">
        <v>111</v>
      </c>
      <c r="B95" s="1" t="s">
        <v>112</v>
      </c>
      <c r="C95" s="2" t="s">
        <v>43</v>
      </c>
      <c r="D95" s="1" t="s">
        <v>44</v>
      </c>
      <c r="E95" s="2" t="s">
        <v>113</v>
      </c>
      <c r="F95" s="3" t="s">
        <v>469</v>
      </c>
      <c r="G95" s="3" t="str">
        <f>IFERROR(__xludf.DUMMYFUNCTION("JOIN("", "", FILTER($D94:D1989, $B94:B1989 = F95))"),"muzikant, katholiek priester, leerkracht, geestelijk leidsman")</f>
        <v>muzikant, katholiek priester, leerkracht, geestelijk leidsman</v>
      </c>
    </row>
    <row r="96">
      <c r="A96" s="2" t="s">
        <v>149</v>
      </c>
      <c r="B96" s="1" t="s">
        <v>150</v>
      </c>
      <c r="C96" s="2" t="s">
        <v>151</v>
      </c>
      <c r="D96" s="1" t="s">
        <v>152</v>
      </c>
      <c r="E96" s="2" t="s">
        <v>153</v>
      </c>
      <c r="F96" s="3" t="s">
        <v>473</v>
      </c>
      <c r="G96" s="3" t="str">
        <f>IFERROR(__xludf.DUMMYFUNCTION("JOIN("", "", FILTER($D95:D1989, $B95:B1989 = F96))"),"schrijver, dichter, historicus, letterkundige, gemeentesecretaris, griffier")</f>
        <v>schrijver, dichter, historicus, letterkundige, gemeentesecretaris, griffier</v>
      </c>
    </row>
    <row r="97">
      <c r="A97" s="2" t="s">
        <v>154</v>
      </c>
      <c r="B97" s="1" t="s">
        <v>155</v>
      </c>
      <c r="C97" s="2" t="s">
        <v>22</v>
      </c>
      <c r="D97" s="1" t="s">
        <v>23</v>
      </c>
      <c r="E97" s="2" t="s">
        <v>156</v>
      </c>
      <c r="F97" s="3" t="s">
        <v>475</v>
      </c>
      <c r="G97" s="3" t="str">
        <f>IFERROR(__xludf.DUMMYFUNCTION("JOIN("", "", FILTER($D96:D1989, $B96:B1989 = F97))"),"katholiek priester, leerkracht, pater")</f>
        <v>katholiek priester, leerkracht, pater</v>
      </c>
    </row>
    <row r="98">
      <c r="A98" s="2" t="s">
        <v>154</v>
      </c>
      <c r="B98" s="1" t="s">
        <v>155</v>
      </c>
      <c r="C98" s="2" t="s">
        <v>25</v>
      </c>
      <c r="D98" s="1" t="s">
        <v>26</v>
      </c>
      <c r="E98" s="2" t="s">
        <v>156</v>
      </c>
      <c r="F98" s="3" t="s">
        <v>477</v>
      </c>
      <c r="G98" s="3" t="str">
        <f>IFERROR(__xludf.DUMMYFUNCTION("JOIN("", "", FILTER($D97:D1989, $B97:B1989 = F98))"),"bestuurder, vertaler, lector, parochievicaris, pater, priester")</f>
        <v>bestuurder, vertaler, lector, parochievicaris, pater, priester</v>
      </c>
    </row>
    <row r="99">
      <c r="A99" s="2" t="s">
        <v>157</v>
      </c>
      <c r="B99" s="1" t="s">
        <v>158</v>
      </c>
      <c r="C99" s="2" t="s">
        <v>41</v>
      </c>
      <c r="D99" s="1" t="s">
        <v>42</v>
      </c>
      <c r="E99" s="2" t="s">
        <v>159</v>
      </c>
      <c r="F99" s="3" t="s">
        <v>479</v>
      </c>
      <c r="G99" s="3" t="str">
        <f>IFERROR(__xludf.DUMMYFUNCTION("JOIN("", "", FILTER($D98:D1989, $B98:B1989 = F99))"),"directeur, rector, katholiek priester, academisch docent, leerkracht, inspecteur")</f>
        <v>directeur, rector, katholiek priester, academisch docent, leerkracht, inspecteur</v>
      </c>
    </row>
    <row r="100">
      <c r="A100" s="2" t="s">
        <v>160</v>
      </c>
      <c r="B100" s="1" t="s">
        <v>161</v>
      </c>
      <c r="C100" s="2" t="s">
        <v>162</v>
      </c>
      <c r="D100" s="1" t="s">
        <v>163</v>
      </c>
      <c r="E100" s="2" t="s">
        <v>164</v>
      </c>
      <c r="F100" s="3" t="s">
        <v>481</v>
      </c>
      <c r="G100" s="3" t="str">
        <f>IFERROR(__xludf.DUMMYFUNCTION("JOIN("", "", FILTER($D99:D1989, $B99:B1989 = F100))"),"schrijver, vertaler, katholiek priester, leerkracht, schoolopziener")</f>
        <v>schrijver, vertaler, katholiek priester, leerkracht, schoolopziener</v>
      </c>
    </row>
    <row r="101">
      <c r="A101" s="2" t="s">
        <v>160</v>
      </c>
      <c r="B101" s="1" t="s">
        <v>161</v>
      </c>
      <c r="C101" s="2" t="s">
        <v>165</v>
      </c>
      <c r="D101" s="1" t="s">
        <v>166</v>
      </c>
      <c r="E101" s="2" t="s">
        <v>164</v>
      </c>
      <c r="F101" s="3" t="s">
        <v>485</v>
      </c>
      <c r="G101" s="3" t="str">
        <f>IFERROR(__xludf.DUMMYFUNCTION("JOIN("", "", FILTER($D100:D1989, $B100:B1989 = F101))"),"drukker-boekverkoper, drukker, uitgever, boekhandelaar")</f>
        <v>drukker-boekverkoper, drukker, uitgever, boekhandelaar</v>
      </c>
    </row>
    <row r="102">
      <c r="A102" s="2" t="s">
        <v>167</v>
      </c>
      <c r="B102" s="1" t="s">
        <v>168</v>
      </c>
      <c r="C102" s="2" t="s">
        <v>60</v>
      </c>
      <c r="D102" s="1" t="s">
        <v>61</v>
      </c>
      <c r="F102" s="3" t="s">
        <v>489</v>
      </c>
      <c r="G102" s="3" t="str">
        <f>IFERROR(__xludf.DUMMYFUNCTION("JOIN("", "", FILTER($D101:D1989, $B101:B1989 = F102))"),"coadjutor, pastoor, katholiek priester, parochievicaris")</f>
        <v>coadjutor, pastoor, katholiek priester, parochievicaris</v>
      </c>
    </row>
    <row r="103">
      <c r="A103" s="2" t="s">
        <v>167</v>
      </c>
      <c r="B103" s="1" t="s">
        <v>168</v>
      </c>
      <c r="C103" s="2" t="s">
        <v>169</v>
      </c>
      <c r="D103" s="1" t="s">
        <v>170</v>
      </c>
      <c r="F103" s="3" t="s">
        <v>499</v>
      </c>
      <c r="G103" s="3" t="str">
        <f>IFERROR(__xludf.DUMMYFUNCTION("JOIN("", "", FILTER($D102:D1989, $B102:B1989 = F103))"),"pastoor, missionaris, katholiek priester, aalmoezenier, parochievicaris")</f>
        <v>pastoor, missionaris, katholiek priester, aalmoezenier, parochievicaris</v>
      </c>
    </row>
    <row r="104">
      <c r="A104" s="2" t="s">
        <v>171</v>
      </c>
      <c r="B104" s="1" t="s">
        <v>172</v>
      </c>
      <c r="C104" s="2" t="s">
        <v>173</v>
      </c>
      <c r="D104" s="1" t="s">
        <v>174</v>
      </c>
      <c r="F104" s="3" t="s">
        <v>501</v>
      </c>
      <c r="G104" s="3" t="str">
        <f>IFERROR(__xludf.DUMMYFUNCTION("JOIN("", "", FILTER($D103:D1989, $B103:B1989 = F104))"),"pastoor, directeur, leerkracht, rooms-katholiek priester")</f>
        <v>pastoor, directeur, leerkracht, rooms-katholiek priester</v>
      </c>
    </row>
    <row r="105">
      <c r="A105" s="2" t="s">
        <v>171</v>
      </c>
      <c r="B105" s="1" t="s">
        <v>172</v>
      </c>
      <c r="C105" s="2" t="s">
        <v>25</v>
      </c>
      <c r="D105" s="1" t="s">
        <v>26</v>
      </c>
      <c r="F105" s="3" t="s">
        <v>503</v>
      </c>
      <c r="G105" s="3" t="str">
        <f>IFERROR(__xludf.DUMMYFUNCTION("JOIN("", "", FILTER($D104:D1989, $B104:B1989 = F105))"),"katholiek priester, pastoor, rector, leerkracht, parochievicaris")</f>
        <v>katholiek priester, pastoor, rector, leerkracht, parochievicaris</v>
      </c>
    </row>
    <row r="106">
      <c r="A106" s="2" t="s">
        <v>175</v>
      </c>
      <c r="B106" s="1" t="s">
        <v>176</v>
      </c>
      <c r="C106" s="2" t="s">
        <v>133</v>
      </c>
      <c r="D106" s="1" t="s">
        <v>134</v>
      </c>
      <c r="E106" s="2" t="s">
        <v>177</v>
      </c>
      <c r="F106" s="3" t="s">
        <v>505</v>
      </c>
      <c r="G106" s="3" t="str">
        <f>IFERROR(__xludf.DUMMYFUNCTION("JOIN("", "", FILTER($D105:D1989, $B105:B1989 = F106))"),"")</f>
        <v/>
      </c>
    </row>
    <row r="107">
      <c r="A107" s="2" t="s">
        <v>157</v>
      </c>
      <c r="B107" s="1" t="s">
        <v>158</v>
      </c>
      <c r="C107" s="2" t="s">
        <v>77</v>
      </c>
      <c r="D107" s="1" t="s">
        <v>78</v>
      </c>
      <c r="E107" s="2" t="s">
        <v>159</v>
      </c>
      <c r="F107" s="3" t="s">
        <v>511</v>
      </c>
      <c r="G107" s="3" t="str">
        <f>IFERROR(__xludf.DUMMYFUNCTION("JOIN("", "", FILTER($D106:D1989, $B106:B1989 = F107))"),"pastoor, rector, archeoloog, leerkracht, rooms-katholiek priester, parochievicaris")</f>
        <v>pastoor, rector, archeoloog, leerkracht, rooms-katholiek priester, parochievicaris</v>
      </c>
    </row>
    <row r="108">
      <c r="A108" s="2" t="s">
        <v>154</v>
      </c>
      <c r="B108" s="1" t="s">
        <v>155</v>
      </c>
      <c r="C108" s="2" t="s">
        <v>79</v>
      </c>
      <c r="D108" s="1" t="s">
        <v>80</v>
      </c>
      <c r="E108" s="2" t="s">
        <v>156</v>
      </c>
      <c r="F108" s="3" t="s">
        <v>513</v>
      </c>
      <c r="G108" s="3" t="str">
        <f>IFERROR(__xludf.DUMMYFUNCTION("JOIN("", "", FILTER($D107:D1989, $B107:B1989 = F108))"),"advocaat")</f>
        <v>advocaat</v>
      </c>
    </row>
    <row r="109">
      <c r="A109" s="2" t="s">
        <v>157</v>
      </c>
      <c r="B109" s="1" t="s">
        <v>158</v>
      </c>
      <c r="C109" s="2" t="s">
        <v>49</v>
      </c>
      <c r="D109" s="1" t="s">
        <v>50</v>
      </c>
      <c r="E109" s="2" t="s">
        <v>159</v>
      </c>
      <c r="F109" s="3" t="s">
        <v>515</v>
      </c>
      <c r="G109" s="3" t="str">
        <f>IFERROR(__xludf.DUMMYFUNCTION("JOIN("", "", FILTER($D108:D1989, $B108:B1989 = F109))"),"notaris, schrijver")</f>
        <v>notaris, schrijver</v>
      </c>
    </row>
    <row r="110">
      <c r="A110" s="2" t="s">
        <v>175</v>
      </c>
      <c r="B110" s="1" t="s">
        <v>176</v>
      </c>
      <c r="C110" s="2" t="s">
        <v>22</v>
      </c>
      <c r="D110" s="1" t="s">
        <v>23</v>
      </c>
      <c r="E110" s="2" t="s">
        <v>177</v>
      </c>
      <c r="F110" s="3" t="s">
        <v>525</v>
      </c>
      <c r="G110" s="3" t="str">
        <f>IFERROR(__xludf.DUMMYFUNCTION("JOIN("", "", FILTER($D109:D1989, $B109:B1989 = F110))"),"leerkracht, hoofdredacteur, journalist, rector, katholiek priester, schrijver, letterkundige, pastoor, historicus")</f>
        <v>leerkracht, hoofdredacteur, journalist, rector, katholiek priester, schrijver, letterkundige, pastoor, historicus</v>
      </c>
    </row>
    <row r="111">
      <c r="A111" s="2" t="s">
        <v>175</v>
      </c>
      <c r="B111" s="1" t="s">
        <v>176</v>
      </c>
      <c r="C111" s="2" t="s">
        <v>151</v>
      </c>
      <c r="D111" s="1" t="s">
        <v>152</v>
      </c>
      <c r="E111" s="2" t="s">
        <v>177</v>
      </c>
      <c r="F111" s="3" t="s">
        <v>528</v>
      </c>
      <c r="G111" s="3" t="str">
        <f>IFERROR(__xludf.DUMMYFUNCTION("JOIN("", "", FILTER($D110:D1989, $B110:B1989 = F111))"),"Huisprelaat van Zijne Heiligheid, rector, katholiek priester, academisch docent, vicaris-generaal, leerkracht, kanunnik, schoolopziener")</f>
        <v>Huisprelaat van Zijne Heiligheid, rector, katholiek priester, academisch docent, vicaris-generaal, leerkracht, kanunnik, schoolopziener</v>
      </c>
    </row>
    <row r="112">
      <c r="A112" s="2" t="s">
        <v>178</v>
      </c>
      <c r="B112" s="1" t="s">
        <v>179</v>
      </c>
      <c r="C112" s="2" t="s">
        <v>12</v>
      </c>
      <c r="D112" s="1" t="s">
        <v>13</v>
      </c>
      <c r="F112" s="3" t="s">
        <v>532</v>
      </c>
      <c r="G112" s="3" t="str">
        <f>IFERROR(__xludf.DUMMYFUNCTION("JOIN("", "", FILTER($D111:D1989, $B111:B1989 = F112))"),"missionaris, katholiek priester")</f>
        <v>missionaris, katholiek priester</v>
      </c>
    </row>
    <row r="113">
      <c r="A113" s="2" t="s">
        <v>149</v>
      </c>
      <c r="B113" s="1" t="s">
        <v>150</v>
      </c>
      <c r="C113" s="2" t="s">
        <v>180</v>
      </c>
      <c r="D113" s="1" t="s">
        <v>181</v>
      </c>
      <c r="E113" s="2" t="s">
        <v>153</v>
      </c>
      <c r="F113" s="3" t="s">
        <v>534</v>
      </c>
      <c r="G113" s="3" t="str">
        <f>IFERROR(__xludf.DUMMYFUNCTION("JOIN("", "", FILTER($D112:D1989, $B112:B1989 = F113))"),"missionaris, katholiek priester, leerkracht, pater")</f>
        <v>missionaris, katholiek priester, leerkracht, pater</v>
      </c>
    </row>
    <row r="114">
      <c r="A114" s="2" t="s">
        <v>149</v>
      </c>
      <c r="B114" s="1" t="s">
        <v>150</v>
      </c>
      <c r="C114" s="2" t="s">
        <v>182</v>
      </c>
      <c r="D114" s="1" t="s">
        <v>183</v>
      </c>
      <c r="E114" s="2" t="s">
        <v>153</v>
      </c>
      <c r="F114" s="3" t="s">
        <v>536</v>
      </c>
      <c r="G114" s="3" t="str">
        <f>IFERROR(__xludf.DUMMYFUNCTION("JOIN("", "", FILTER($D113:D1989, $B113:B1989 = F114))"),"coadjutor, katholiek priester, leerkracht, parochievicaris")</f>
        <v>coadjutor, katholiek priester, leerkracht, parochievicaris</v>
      </c>
    </row>
    <row r="115">
      <c r="A115" s="2" t="s">
        <v>184</v>
      </c>
      <c r="B115" s="1" t="s">
        <v>185</v>
      </c>
      <c r="C115" s="2" t="s">
        <v>186</v>
      </c>
      <c r="D115" s="1" t="s">
        <v>187</v>
      </c>
      <c r="E115" s="2" t="s">
        <v>188</v>
      </c>
      <c r="F115" s="3" t="s">
        <v>538</v>
      </c>
      <c r="G115" s="3" t="str">
        <f>IFERROR(__xludf.DUMMYFUNCTION("JOIN("", "", FILTER($D114:D1989, $B114:B1989 = F115))"),"parochievicaris, historicus, katholiek priester, vicaris-generaal, kanunnik")</f>
        <v>parochievicaris, historicus, katholiek priester, vicaris-generaal, kanunnik</v>
      </c>
    </row>
    <row r="116">
      <c r="A116" s="2" t="s">
        <v>189</v>
      </c>
      <c r="B116" s="1" t="s">
        <v>190</v>
      </c>
      <c r="C116" s="2" t="s">
        <v>22</v>
      </c>
      <c r="D116" s="1" t="s">
        <v>23</v>
      </c>
      <c r="F116" s="3" t="s">
        <v>540</v>
      </c>
      <c r="G116" s="3" t="str">
        <f>IFERROR(__xludf.DUMMYFUNCTION("JOIN("", "", FILTER($D115:D1989, $B115:B1989 = F116))"),"advocaat, politicus")</f>
        <v>advocaat, politicus</v>
      </c>
    </row>
    <row r="117">
      <c r="A117" s="2" t="s">
        <v>191</v>
      </c>
      <c r="B117" s="1" t="s">
        <v>192</v>
      </c>
      <c r="C117" s="2" t="s">
        <v>193</v>
      </c>
      <c r="D117" s="1" t="s">
        <v>194</v>
      </c>
      <c r="E117" s="2" t="s">
        <v>195</v>
      </c>
      <c r="F117" s="3" t="s">
        <v>542</v>
      </c>
      <c r="G117" s="3" t="str">
        <f>IFERROR(__xludf.DUMMYFUNCTION("JOIN("", "", FILTER($D116:D1989, $B116:B1989 = F117))"),"coadjutor, pastoor, katholiek priester, leerkracht, parochievicaris")</f>
        <v>coadjutor, pastoor, katholiek priester, leerkracht, parochievicaris</v>
      </c>
    </row>
    <row r="118">
      <c r="A118" s="2" t="s">
        <v>196</v>
      </c>
      <c r="B118" s="1" t="s">
        <v>197</v>
      </c>
      <c r="C118" s="2" t="s">
        <v>22</v>
      </c>
      <c r="D118" s="1" t="s">
        <v>23</v>
      </c>
      <c r="F118" s="3" t="s">
        <v>544</v>
      </c>
      <c r="G118" s="3" t="str">
        <f>IFERROR(__xludf.DUMMYFUNCTION("JOIN("", "", FILTER($D117:D1989, $B117:B1989 = F118))"),"pastoor, rooms-katholiek priester, parochievicaris")</f>
        <v>pastoor, rooms-katholiek priester, parochievicaris</v>
      </c>
    </row>
    <row r="119">
      <c r="A119" s="2" t="s">
        <v>198</v>
      </c>
      <c r="B119" s="1" t="s">
        <v>199</v>
      </c>
      <c r="C119" s="2" t="s">
        <v>22</v>
      </c>
      <c r="D119" s="1" t="s">
        <v>23</v>
      </c>
      <c r="F119" s="3" t="s">
        <v>546</v>
      </c>
      <c r="G119" s="3" t="str">
        <f>IFERROR(__xludf.DUMMYFUNCTION("JOIN("", "", FILTER($D118:D1989, $B118:B1989 = F119))"),"pastoor, katholiek priester, parochievicaris")</f>
        <v>pastoor, katholiek priester, parochievicaris</v>
      </c>
    </row>
    <row r="120">
      <c r="A120" s="2" t="s">
        <v>157</v>
      </c>
      <c r="B120" s="1" t="s">
        <v>158</v>
      </c>
      <c r="C120" s="2" t="s">
        <v>133</v>
      </c>
      <c r="D120" s="1" t="s">
        <v>134</v>
      </c>
      <c r="E120" s="2" t="s">
        <v>159</v>
      </c>
      <c r="F120" s="3" t="s">
        <v>548</v>
      </c>
      <c r="G120" s="3" t="str">
        <f>IFERROR(__xludf.DUMMYFUNCTION("JOIN("", "", FILTER($D119:D1989, $B119:B1989 = F120))"),"katholiek priester, leerkracht, schoolopziener")</f>
        <v>katholiek priester, leerkracht, schoolopziener</v>
      </c>
    </row>
    <row r="121">
      <c r="A121" s="2" t="s">
        <v>200</v>
      </c>
      <c r="B121" s="1" t="s">
        <v>201</v>
      </c>
      <c r="C121" s="2" t="s">
        <v>84</v>
      </c>
      <c r="D121" s="1" t="s">
        <v>85</v>
      </c>
      <c r="F121" s="3" t="s">
        <v>550</v>
      </c>
      <c r="G121" s="3" t="str">
        <f>IFERROR(__xludf.DUMMYFUNCTION("JOIN("", "", FILTER($D120:D1989, $B120:B1989 = F121))"),"politicus, notaris, advocaat")</f>
        <v>politicus, notaris, advocaat</v>
      </c>
    </row>
    <row r="122">
      <c r="A122" s="2" t="s">
        <v>200</v>
      </c>
      <c r="B122" s="1" t="s">
        <v>201</v>
      </c>
      <c r="C122" s="2" t="s">
        <v>77</v>
      </c>
      <c r="D122" s="1" t="s">
        <v>78</v>
      </c>
      <c r="F122" s="3" t="s">
        <v>552</v>
      </c>
      <c r="G122" s="3" t="str">
        <f>IFERROR(__xludf.DUMMYFUNCTION("JOIN("", "", FILTER($D121:D1989, $B121:B1989 = F122))"),"slager, volkskundige, schrijver")</f>
        <v>slager, volkskundige, schrijver</v>
      </c>
    </row>
    <row r="123">
      <c r="A123" s="2" t="s">
        <v>200</v>
      </c>
      <c r="B123" s="1" t="s">
        <v>201</v>
      </c>
      <c r="C123" s="2" t="s">
        <v>133</v>
      </c>
      <c r="D123" s="1" t="s">
        <v>134</v>
      </c>
      <c r="F123" s="3" t="s">
        <v>556</v>
      </c>
      <c r="G123" s="3" t="str">
        <f>IFERROR(__xludf.DUMMYFUNCTION("JOIN("", "", FILTER($D122:D1989, $B122:B1989 = F123))"),"pastoor, katholiek priester, leerkracht")</f>
        <v>pastoor, katholiek priester, leerkracht</v>
      </c>
    </row>
    <row r="124">
      <c r="A124" s="2" t="s">
        <v>200</v>
      </c>
      <c r="B124" s="1" t="s">
        <v>201</v>
      </c>
      <c r="C124" s="2" t="s">
        <v>43</v>
      </c>
      <c r="D124" s="1" t="s">
        <v>44</v>
      </c>
      <c r="F124" s="3" t="s">
        <v>558</v>
      </c>
      <c r="G124" s="3" t="str">
        <f>IFERROR(__xludf.DUMMYFUNCTION("JOIN("", "", FILTER($D123:D1989, $B123:B1989 = F124))"),"pastoor, directeur, katholiek priester, leerkracht, adjunct-directeur")</f>
        <v>pastoor, directeur, katholiek priester, leerkracht, adjunct-directeur</v>
      </c>
    </row>
    <row r="125">
      <c r="A125" s="2" t="s">
        <v>157</v>
      </c>
      <c r="B125" s="1" t="s">
        <v>158</v>
      </c>
      <c r="C125" s="2" t="s">
        <v>43</v>
      </c>
      <c r="D125" s="1" t="s">
        <v>44</v>
      </c>
      <c r="E125" s="2" t="s">
        <v>159</v>
      </c>
      <c r="F125" s="3" t="s">
        <v>560</v>
      </c>
      <c r="G125" s="3" t="str">
        <f>IFERROR(__xludf.DUMMYFUNCTION("JOIN("", "", FILTER($D124:D1989, $B124:B1989 = F125))"),"pastoor, katholiek priester, leerkracht, parochievicaris")</f>
        <v>pastoor, katholiek priester, leerkracht, parochievicaris</v>
      </c>
    </row>
    <row r="126">
      <c r="A126" s="2" t="s">
        <v>160</v>
      </c>
      <c r="B126" s="1" t="s">
        <v>161</v>
      </c>
      <c r="C126" s="2" t="s">
        <v>49</v>
      </c>
      <c r="D126" s="1" t="s">
        <v>50</v>
      </c>
      <c r="E126" s="2" t="s">
        <v>164</v>
      </c>
      <c r="F126" s="3" t="s">
        <v>562</v>
      </c>
      <c r="G126" s="3" t="str">
        <f>IFERROR(__xludf.DUMMYFUNCTION("JOIN("", "", FILTER($D125:D1989, $B125:B1989 = F126))"),"pastoor, katholiek priester, parochievicaris, leerkracht")</f>
        <v>pastoor, katholiek priester, parochievicaris, leerkracht</v>
      </c>
    </row>
    <row r="127">
      <c r="A127" s="2" t="s">
        <v>160</v>
      </c>
      <c r="B127" s="1" t="s">
        <v>161</v>
      </c>
      <c r="C127" s="2" t="s">
        <v>35</v>
      </c>
      <c r="D127" s="1" t="s">
        <v>36</v>
      </c>
      <c r="E127" s="2" t="s">
        <v>164</v>
      </c>
      <c r="F127" s="3" t="s">
        <v>564</v>
      </c>
      <c r="G127" s="3" t="str">
        <f>IFERROR(__xludf.DUMMYFUNCTION("JOIN("", "", FILTER($D126:D1989, $B126:B1989 = F127))"),"pastoor, katholiek priester, leerkracht, aalmoezenier")</f>
        <v>pastoor, katholiek priester, leerkracht, aalmoezenier</v>
      </c>
    </row>
    <row r="128">
      <c r="A128" s="2" t="s">
        <v>200</v>
      </c>
      <c r="B128" s="1" t="s">
        <v>201</v>
      </c>
      <c r="C128" s="2" t="s">
        <v>49</v>
      </c>
      <c r="D128" s="1" t="s">
        <v>50</v>
      </c>
      <c r="F128" s="3" t="s">
        <v>566</v>
      </c>
      <c r="G128" s="3" t="str">
        <f>IFERROR(__xludf.DUMMYFUNCTION("JOIN("", "", FILTER($D127:D1989, $B127:B1989 = F128))"),"heraldicus, kunstschilder, uitgever, topograaf, schrijver, architect")</f>
        <v>heraldicus, kunstschilder, uitgever, topograaf, schrijver, architect</v>
      </c>
    </row>
    <row r="129">
      <c r="A129" s="2" t="s">
        <v>157</v>
      </c>
      <c r="B129" s="1" t="s">
        <v>158</v>
      </c>
      <c r="C129" s="2" t="s">
        <v>202</v>
      </c>
      <c r="D129" s="1" t="s">
        <v>203</v>
      </c>
      <c r="E129" s="2" t="s">
        <v>159</v>
      </c>
      <c r="F129" s="3" t="s">
        <v>572</v>
      </c>
      <c r="G129" s="3" t="str">
        <f>IFERROR(__xludf.DUMMYFUNCTION("JOIN("", "", FILTER($D128:D1989, $B128:B1989 = F129))"),"pastoor, hoofdredacteur, katholiek priester, leerkracht, parochievicaris")</f>
        <v>pastoor, hoofdredacteur, katholiek priester, leerkracht, parochievicaris</v>
      </c>
    </row>
    <row r="130">
      <c r="A130" s="2" t="s">
        <v>204</v>
      </c>
      <c r="B130" s="1" t="s">
        <v>205</v>
      </c>
      <c r="C130" s="2" t="s">
        <v>86</v>
      </c>
      <c r="D130" s="1" t="s">
        <v>87</v>
      </c>
      <c r="E130" s="2" t="s">
        <v>206</v>
      </c>
      <c r="F130" s="3" t="s">
        <v>574</v>
      </c>
      <c r="G130" s="3" t="str">
        <f>IFERROR(__xludf.DUMMYFUNCTION("JOIN("", "", FILTER($D129:D1989, $B129:B1989 = F130))"),"leerkracht, architect")</f>
        <v>leerkracht, architect</v>
      </c>
    </row>
    <row r="131">
      <c r="A131" s="2" t="s">
        <v>207</v>
      </c>
      <c r="B131" s="1" t="s">
        <v>208</v>
      </c>
      <c r="C131" s="2" t="s">
        <v>209</v>
      </c>
      <c r="D131" s="1" t="s">
        <v>210</v>
      </c>
      <c r="E131" s="2" t="s">
        <v>211</v>
      </c>
      <c r="F131" s="3" t="s">
        <v>581</v>
      </c>
      <c r="G131" s="3" t="str">
        <f>IFERROR(__xludf.DUMMYFUNCTION("JOIN("", "", FILTER($D130:D1989, $B130:B1989 = F131))"),"directeur, katholiek priester, leerkracht, aalmoezenier, inspecteur")</f>
        <v>directeur, katholiek priester, leerkracht, aalmoezenier, inspecteur</v>
      </c>
    </row>
    <row r="132">
      <c r="A132" s="2" t="s">
        <v>157</v>
      </c>
      <c r="B132" s="1" t="s">
        <v>158</v>
      </c>
      <c r="C132" s="2" t="s">
        <v>22</v>
      </c>
      <c r="D132" s="1" t="s">
        <v>23</v>
      </c>
      <c r="E132" s="2" t="s">
        <v>159</v>
      </c>
      <c r="F132" s="3" t="s">
        <v>583</v>
      </c>
      <c r="G132" s="3" t="str">
        <f>IFERROR(__xludf.DUMMYFUNCTION("JOIN("", "", FILTER($D131:D1989, $B131:B1989 = F132))"),"katholiek bisschop, katholiek priester")</f>
        <v>katholiek bisschop, katholiek priester</v>
      </c>
    </row>
    <row r="133">
      <c r="A133" s="2" t="s">
        <v>191</v>
      </c>
      <c r="B133" s="1" t="s">
        <v>192</v>
      </c>
      <c r="C133" s="2" t="s">
        <v>103</v>
      </c>
      <c r="D133" s="1" t="s">
        <v>104</v>
      </c>
      <c r="E133" s="2" t="s">
        <v>195</v>
      </c>
      <c r="F133" s="3" t="s">
        <v>585</v>
      </c>
      <c r="G133" s="3" t="str">
        <f>IFERROR(__xludf.DUMMYFUNCTION("JOIN("", "", FILTER($D132:D1989, $B132:B1989 = F133))"),"academisch docent, leerkracht, filoloog")</f>
        <v>academisch docent, leerkracht, filoloog</v>
      </c>
    </row>
    <row r="134">
      <c r="A134" s="2" t="s">
        <v>212</v>
      </c>
      <c r="B134" s="1" t="s">
        <v>213</v>
      </c>
      <c r="C134" s="2" t="s">
        <v>116</v>
      </c>
      <c r="D134" s="1" t="s">
        <v>117</v>
      </c>
      <c r="F134" s="3" t="s">
        <v>587</v>
      </c>
      <c r="G134" s="3" t="str">
        <f>IFERROR(__xludf.DUMMYFUNCTION("JOIN("", "", FILTER($D133:D1989, $B133:B1989 = F134))"),"")</f>
        <v/>
      </c>
    </row>
    <row r="135">
      <c r="A135" s="2" t="s">
        <v>212</v>
      </c>
      <c r="B135" s="1" t="s">
        <v>213</v>
      </c>
      <c r="C135" s="2" t="s">
        <v>84</v>
      </c>
      <c r="D135" s="1" t="s">
        <v>85</v>
      </c>
      <c r="F135" s="3" t="s">
        <v>589</v>
      </c>
      <c r="G135" s="3" t="str">
        <f>IFERROR(__xludf.DUMMYFUNCTION("JOIN("", "", FILTER($D134:D1989, $B134:B1989 = F135))"),"drukker, bibliothecaris, uitgever")</f>
        <v>drukker, bibliothecaris, uitgever</v>
      </c>
    </row>
    <row r="136">
      <c r="A136" s="2" t="s">
        <v>214</v>
      </c>
      <c r="B136" s="1" t="s">
        <v>215</v>
      </c>
      <c r="C136" s="2" t="s">
        <v>41</v>
      </c>
      <c r="D136" s="1" t="s">
        <v>42</v>
      </c>
      <c r="F136" s="3" t="s">
        <v>591</v>
      </c>
      <c r="G136" s="3" t="str">
        <f>IFERROR(__xludf.DUMMYFUNCTION("JOIN("", "", FILTER($D135:D1989, $B135:B1989 = F136))"),"missionaris, rector, katholiek priester")</f>
        <v>missionaris, rector, katholiek priester</v>
      </c>
    </row>
    <row r="137">
      <c r="A137" s="2" t="s">
        <v>214</v>
      </c>
      <c r="B137" s="1" t="s">
        <v>215</v>
      </c>
      <c r="C137" s="2" t="s">
        <v>56</v>
      </c>
      <c r="D137" s="1" t="s">
        <v>57</v>
      </c>
      <c r="F137" s="3" t="s">
        <v>593</v>
      </c>
      <c r="G137" s="3" t="str">
        <f>IFERROR(__xludf.DUMMYFUNCTION("JOIN("", "", FILTER($D136:D1989, $B136:B1989 = F137))"),"huisvrouw, winkelbediende")</f>
        <v>huisvrouw, winkelbediende</v>
      </c>
    </row>
    <row r="138">
      <c r="A138" s="2" t="s">
        <v>214</v>
      </c>
      <c r="B138" s="1" t="s">
        <v>215</v>
      </c>
      <c r="C138" s="2" t="s">
        <v>216</v>
      </c>
      <c r="D138" s="1" t="s">
        <v>217</v>
      </c>
      <c r="F138" s="3" t="s">
        <v>597</v>
      </c>
      <c r="G138" s="3" t="str">
        <f>IFERROR(__xludf.DUMMYFUNCTION("JOIN("", "", FILTER($D137:D1989, $B137:B1989 = F138))"),"rooms-katholiek priester, parochievicaris, pastoor")</f>
        <v>rooms-katholiek priester, parochievicaris, pastoor</v>
      </c>
    </row>
    <row r="139">
      <c r="A139" s="2" t="s">
        <v>214</v>
      </c>
      <c r="B139" s="1" t="s">
        <v>215</v>
      </c>
      <c r="C139" s="2" t="s">
        <v>43</v>
      </c>
      <c r="D139" s="1" t="s">
        <v>44</v>
      </c>
      <c r="F139" s="3" t="s">
        <v>599</v>
      </c>
      <c r="G139" s="3" t="str">
        <f>IFERROR(__xludf.DUMMYFUNCTION("JOIN("", "", FILTER($D138:D1989, $B138:B1989 = F139))"),"ingenieur, manager")</f>
        <v>ingenieur, manager</v>
      </c>
    </row>
    <row r="140">
      <c r="A140" s="2" t="s">
        <v>218</v>
      </c>
      <c r="B140" s="1" t="s">
        <v>219</v>
      </c>
      <c r="C140" s="2" t="s">
        <v>60</v>
      </c>
      <c r="D140" s="1" t="s">
        <v>61</v>
      </c>
      <c r="E140" s="2" t="s">
        <v>220</v>
      </c>
      <c r="F140" s="3" t="s">
        <v>603</v>
      </c>
      <c r="G140" s="3" t="str">
        <f>IFERROR(__xludf.DUMMYFUNCTION("JOIN("", "", FILTER($D139:D1989, $B139:B1989 = F140))"),"non, onderwijzer")</f>
        <v>non, onderwijzer</v>
      </c>
    </row>
    <row r="141">
      <c r="A141" s="2" t="s">
        <v>191</v>
      </c>
      <c r="B141" s="1" t="s">
        <v>192</v>
      </c>
      <c r="C141" s="2" t="s">
        <v>221</v>
      </c>
      <c r="D141" s="1" t="s">
        <v>222</v>
      </c>
      <c r="E141" s="2" t="s">
        <v>195</v>
      </c>
      <c r="F141" s="3" t="s">
        <v>610</v>
      </c>
      <c r="G141" s="3" t="str">
        <f>IFERROR(__xludf.DUMMYFUNCTION("JOIN("", "", FILTER($D140:D1989, $B140:B1989 = F141))"),"coadjutor, katholiek priester, parochievicaris")</f>
        <v>coadjutor, katholiek priester, parochievicaris</v>
      </c>
    </row>
    <row r="142">
      <c r="A142" s="2" t="s">
        <v>207</v>
      </c>
      <c r="B142" s="1" t="s">
        <v>208</v>
      </c>
      <c r="C142" s="2" t="s">
        <v>116</v>
      </c>
      <c r="D142" s="1" t="s">
        <v>117</v>
      </c>
      <c r="E142" s="2" t="s">
        <v>211</v>
      </c>
      <c r="F142" s="3" t="s">
        <v>612</v>
      </c>
      <c r="G142" s="3" t="str">
        <f>IFERROR(__xludf.DUMMYFUNCTION("JOIN("", "", FILTER($D141:D1989, $B141:B1989 = F142))"),"pastoor, missionaris, katholiek priester, leerkracht, pater, schrijver")</f>
        <v>pastoor, missionaris, katholiek priester, leerkracht, pater, schrijver</v>
      </c>
    </row>
    <row r="143">
      <c r="A143" s="2" t="s">
        <v>184</v>
      </c>
      <c r="B143" s="1" t="s">
        <v>185</v>
      </c>
      <c r="C143" s="2" t="s">
        <v>22</v>
      </c>
      <c r="D143" s="1" t="s">
        <v>23</v>
      </c>
      <c r="E143" s="2" t="s">
        <v>188</v>
      </c>
      <c r="F143" s="3" t="s">
        <v>614</v>
      </c>
      <c r="G143" s="3" t="str">
        <f>IFERROR(__xludf.DUMMYFUNCTION("JOIN("", "", FILTER($D142:D1989, $B142:B1989 = F143))"),"schrijver, gerechtsdeurwaarder")</f>
        <v>schrijver, gerechtsdeurwaarder</v>
      </c>
    </row>
    <row r="144">
      <c r="A144" s="2" t="s">
        <v>200</v>
      </c>
      <c r="B144" s="1" t="s">
        <v>201</v>
      </c>
      <c r="C144" s="2" t="s">
        <v>223</v>
      </c>
      <c r="D144" s="1" t="s">
        <v>224</v>
      </c>
      <c r="F144" s="3" t="s">
        <v>616</v>
      </c>
      <c r="G144" s="3" t="str">
        <f>IFERROR(__xludf.DUMMYFUNCTION("JOIN("", "", FILTER($D143:D1989, $B143:B1989 = F144))"),"vertaler, katholiek priester, pater, schrijver")</f>
        <v>vertaler, katholiek priester, pater, schrijver</v>
      </c>
    </row>
    <row r="145">
      <c r="A145" s="2" t="s">
        <v>218</v>
      </c>
      <c r="B145" s="1" t="s">
        <v>219</v>
      </c>
      <c r="C145" s="2" t="s">
        <v>49</v>
      </c>
      <c r="D145" s="1" t="s">
        <v>50</v>
      </c>
      <c r="E145" s="2" t="s">
        <v>220</v>
      </c>
      <c r="F145" s="3" t="s">
        <v>618</v>
      </c>
      <c r="G145" s="3" t="str">
        <f>IFERROR(__xludf.DUMMYFUNCTION("JOIN("", "", FILTER($D144:D1989, $B144:B1989 = F145))"),"missionaris, rooms-katholiek priester")</f>
        <v>missionaris, rooms-katholiek priester</v>
      </c>
    </row>
    <row r="146">
      <c r="A146" s="2" t="s">
        <v>160</v>
      </c>
      <c r="B146" s="1" t="s">
        <v>161</v>
      </c>
      <c r="C146" s="2" t="s">
        <v>225</v>
      </c>
      <c r="D146" s="1" t="s">
        <v>226</v>
      </c>
      <c r="E146" s="2" t="s">
        <v>164</v>
      </c>
      <c r="F146" s="3" t="s">
        <v>620</v>
      </c>
      <c r="G146" s="3" t="str">
        <f>IFERROR(__xludf.DUMMYFUNCTION("JOIN("", "", FILTER($D145:D1989, $B145:B1989 = F146))"),"pastoor, rector, katholiek priester, leerkracht")</f>
        <v>pastoor, rector, katholiek priester, leerkracht</v>
      </c>
    </row>
    <row r="147">
      <c r="A147" s="2" t="s">
        <v>227</v>
      </c>
      <c r="B147" s="1" t="s">
        <v>228</v>
      </c>
      <c r="C147" s="2" t="s">
        <v>49</v>
      </c>
      <c r="D147" s="1" t="s">
        <v>50</v>
      </c>
      <c r="E147" s="2" t="s">
        <v>229</v>
      </c>
      <c r="F147" s="3" t="s">
        <v>622</v>
      </c>
      <c r="G147" s="3" t="str">
        <f>IFERROR(__xludf.DUMMYFUNCTION("JOIN("", "", FILTER($D146:D1989, $B146:B1989 = F147))"),"onderwijzer, secretaris")</f>
        <v>onderwijzer, secretaris</v>
      </c>
    </row>
    <row r="148">
      <c r="A148" s="2" t="s">
        <v>191</v>
      </c>
      <c r="B148" s="1" t="s">
        <v>192</v>
      </c>
      <c r="C148" s="2" t="s">
        <v>230</v>
      </c>
      <c r="D148" s="1" t="s">
        <v>231</v>
      </c>
      <c r="E148" s="2" t="s">
        <v>195</v>
      </c>
      <c r="F148" s="3" t="s">
        <v>624</v>
      </c>
      <c r="G148" s="3" t="str">
        <f>IFERROR(__xludf.DUMMYFUNCTION("JOIN("", "", FILTER($D147:D1989, $B147:B1989 = F148))"),"pastoor, katholiek priester, uitgever, leerkracht, proost")</f>
        <v>pastoor, katholiek priester, uitgever, leerkracht, proost</v>
      </c>
    </row>
    <row r="149">
      <c r="A149" s="2" t="s">
        <v>204</v>
      </c>
      <c r="B149" s="1" t="s">
        <v>205</v>
      </c>
      <c r="C149" s="2" t="s">
        <v>49</v>
      </c>
      <c r="D149" s="1" t="s">
        <v>50</v>
      </c>
      <c r="E149" s="2" t="s">
        <v>206</v>
      </c>
      <c r="F149" s="3" t="s">
        <v>626</v>
      </c>
      <c r="G149" s="3" t="str">
        <f>IFERROR(__xludf.DUMMYFUNCTION("JOIN("", "", FILTER($D148:D1989, $B148:B1989 = F149))"),"non")</f>
        <v>non</v>
      </c>
    </row>
    <row r="150">
      <c r="A150" s="2" t="s">
        <v>149</v>
      </c>
      <c r="B150" s="1" t="s">
        <v>150</v>
      </c>
      <c r="C150" s="2" t="s">
        <v>232</v>
      </c>
      <c r="D150" s="1" t="s">
        <v>233</v>
      </c>
      <c r="E150" s="2" t="s">
        <v>153</v>
      </c>
      <c r="F150" s="3" t="s">
        <v>628</v>
      </c>
      <c r="G150" s="3" t="str">
        <f>IFERROR(__xludf.DUMMYFUNCTION("JOIN("", "", FILTER($D149:D1989, $B149:B1989 = F150))"),"volkskundige, schrijver")</f>
        <v>volkskundige, schrijver</v>
      </c>
    </row>
    <row r="151">
      <c r="A151" s="2" t="s">
        <v>149</v>
      </c>
      <c r="B151" s="1" t="s">
        <v>150</v>
      </c>
      <c r="C151" s="2" t="s">
        <v>116</v>
      </c>
      <c r="D151" s="1" t="s">
        <v>117</v>
      </c>
      <c r="E151" s="2" t="s">
        <v>153</v>
      </c>
      <c r="F151" s="3" t="s">
        <v>631</v>
      </c>
      <c r="G151" s="3" t="str">
        <f>IFERROR(__xludf.DUMMYFUNCTION("JOIN("", "", FILTER($D150:D1989, $B150:B1989 = F151))"),"rentenier")</f>
        <v>rentenier</v>
      </c>
    </row>
    <row r="152">
      <c r="A152" s="2" t="s">
        <v>160</v>
      </c>
      <c r="B152" s="1" t="s">
        <v>161</v>
      </c>
      <c r="C152" s="2" t="s">
        <v>79</v>
      </c>
      <c r="D152" s="1" t="s">
        <v>80</v>
      </c>
      <c r="E152" s="2" t="s">
        <v>164</v>
      </c>
      <c r="F152" s="3" t="s">
        <v>633</v>
      </c>
      <c r="G152" s="3" t="str">
        <f>IFERROR(__xludf.DUMMYFUNCTION("JOIN("", "", FILTER($D151:D1989, $B151:B1989 = F152))"),"pastoor-deken, katholiek priester, academisch docent, overste")</f>
        <v>pastoor-deken, katholiek priester, academisch docent, overste</v>
      </c>
    </row>
    <row r="153">
      <c r="A153" s="2" t="s">
        <v>227</v>
      </c>
      <c r="B153" s="1" t="s">
        <v>228</v>
      </c>
      <c r="C153" s="2" t="s">
        <v>147</v>
      </c>
      <c r="D153" s="1" t="s">
        <v>148</v>
      </c>
      <c r="E153" s="2" t="s">
        <v>229</v>
      </c>
      <c r="F153" s="3" t="s">
        <v>635</v>
      </c>
      <c r="G153" s="3" t="str">
        <f>IFERROR(__xludf.DUMMYFUNCTION("JOIN("", "", FILTER($D152:D1989, $B152:B1989 = F153))"),"winkelier")</f>
        <v>winkelier</v>
      </c>
    </row>
    <row r="154">
      <c r="A154" s="2" t="s">
        <v>207</v>
      </c>
      <c r="B154" s="1" t="s">
        <v>208</v>
      </c>
      <c r="C154" s="2" t="s">
        <v>12</v>
      </c>
      <c r="D154" s="1" t="s">
        <v>13</v>
      </c>
      <c r="E154" s="2" t="s">
        <v>211</v>
      </c>
      <c r="F154" s="3" t="s">
        <v>640</v>
      </c>
      <c r="G154" s="3" t="str">
        <f>IFERROR(__xludf.DUMMYFUNCTION("JOIN("", "", FILTER($D153:D1989, $B153:B1989 = F154))"),"missionaris, katholiek priester")</f>
        <v>missionaris, katholiek priester</v>
      </c>
    </row>
    <row r="155">
      <c r="A155" s="2" t="s">
        <v>178</v>
      </c>
      <c r="B155" s="1" t="s">
        <v>179</v>
      </c>
      <c r="C155" s="2" t="s">
        <v>173</v>
      </c>
      <c r="D155" s="1" t="s">
        <v>174</v>
      </c>
      <c r="F155" s="3" t="s">
        <v>644</v>
      </c>
      <c r="G155" s="3" t="str">
        <f>IFERROR(__xludf.DUMMYFUNCTION("JOIN("", "", FILTER($D154:D1989, $B154:B1989 = F155))"),"vuurwerkmaker, taxidermist")</f>
        <v>vuurwerkmaker, taxidermist</v>
      </c>
    </row>
    <row r="156">
      <c r="A156" s="2" t="s">
        <v>184</v>
      </c>
      <c r="B156" s="1" t="s">
        <v>185</v>
      </c>
      <c r="C156" s="2" t="s">
        <v>234</v>
      </c>
      <c r="D156" s="1" t="s">
        <v>235</v>
      </c>
      <c r="E156" s="2" t="s">
        <v>188</v>
      </c>
      <c r="F156" s="3" t="s">
        <v>650</v>
      </c>
      <c r="G156" s="3" t="str">
        <f>IFERROR(__xludf.DUMMYFUNCTION("JOIN("", "", FILTER($D155:D1989, $B155:B1989 = F156))"),"grondeigenaar")</f>
        <v>grondeigenaar</v>
      </c>
    </row>
    <row r="157">
      <c r="A157" s="2" t="s">
        <v>218</v>
      </c>
      <c r="B157" s="1" t="s">
        <v>219</v>
      </c>
      <c r="C157" s="2" t="s">
        <v>225</v>
      </c>
      <c r="D157" s="1" t="s">
        <v>226</v>
      </c>
      <c r="E157" s="2" t="s">
        <v>220</v>
      </c>
      <c r="F157" s="3" t="s">
        <v>654</v>
      </c>
      <c r="G157" s="3" t="str">
        <f>IFERROR(__xludf.DUMMYFUNCTION("JOIN("", "", FILTER($D156:D1989, $B156:B1989 = F157))"),"rentenier")</f>
        <v>rentenier</v>
      </c>
    </row>
    <row r="158">
      <c r="A158" s="2" t="s">
        <v>207</v>
      </c>
      <c r="B158" s="1" t="s">
        <v>208</v>
      </c>
      <c r="C158" s="2" t="s">
        <v>103</v>
      </c>
      <c r="D158" s="1" t="s">
        <v>104</v>
      </c>
      <c r="E158" s="2" t="s">
        <v>211</v>
      </c>
      <c r="F158" s="3" t="s">
        <v>656</v>
      </c>
      <c r="G158" s="3" t="str">
        <f>IFERROR(__xludf.DUMMYFUNCTION("JOIN("", "", FILTER($D157:D1989, $B157:B1989 = F158))"),"coadjutor, pastoor-deken, pastoor, katholiek priester, deken, leerkracht")</f>
        <v>coadjutor, pastoor-deken, pastoor, katholiek priester, deken, leerkracht</v>
      </c>
    </row>
    <row r="159">
      <c r="A159" s="2" t="s">
        <v>207</v>
      </c>
      <c r="B159" s="1" t="s">
        <v>208</v>
      </c>
      <c r="C159" s="2" t="s">
        <v>77</v>
      </c>
      <c r="D159" s="1" t="s">
        <v>78</v>
      </c>
      <c r="E159" s="2" t="s">
        <v>211</v>
      </c>
      <c r="F159" s="3" t="s">
        <v>658</v>
      </c>
      <c r="G159" s="3" t="str">
        <f>IFERROR(__xludf.DUMMYFUNCTION("JOIN("", "", FILTER($D158:D1989, $B158:B1989 = F159))"),"pastoor-deken, pastoor, rector, katholiek priester, deken, leerkracht")</f>
        <v>pastoor-deken, pastoor, rector, katholiek priester, deken, leerkracht</v>
      </c>
    </row>
    <row r="160">
      <c r="A160" s="2" t="s">
        <v>214</v>
      </c>
      <c r="B160" s="1" t="s">
        <v>215</v>
      </c>
      <c r="C160" s="2" t="s">
        <v>221</v>
      </c>
      <c r="D160" s="1" t="s">
        <v>222</v>
      </c>
      <c r="F160" s="3" t="s">
        <v>660</v>
      </c>
      <c r="G160" s="3" t="str">
        <f>IFERROR(__xludf.DUMMYFUNCTION("JOIN("", "", FILTER($D159:D1989, $B159:B1989 = F160))"),"manager")</f>
        <v>manager</v>
      </c>
    </row>
    <row r="161">
      <c r="A161" s="2" t="s">
        <v>227</v>
      </c>
      <c r="B161" s="1" t="s">
        <v>228</v>
      </c>
      <c r="C161" s="2" t="s">
        <v>43</v>
      </c>
      <c r="D161" s="1" t="s">
        <v>44</v>
      </c>
      <c r="E161" s="2" t="s">
        <v>229</v>
      </c>
      <c r="F161" s="3" t="s">
        <v>662</v>
      </c>
      <c r="G161" s="3" t="str">
        <f>IFERROR(__xludf.DUMMYFUNCTION("JOIN("", "", FILTER($D160:D1989, $B160:B1989 = F161))"),"pastoor, katholiek priester, parochievicaris")</f>
        <v>pastoor, katholiek priester, parochievicaris</v>
      </c>
    </row>
    <row r="162">
      <c r="A162" s="2" t="s">
        <v>204</v>
      </c>
      <c r="B162" s="1" t="s">
        <v>205</v>
      </c>
      <c r="C162" s="2" t="s">
        <v>43</v>
      </c>
      <c r="D162" s="1" t="s">
        <v>44</v>
      </c>
      <c r="E162" s="2" t="s">
        <v>206</v>
      </c>
      <c r="F162" s="3" t="s">
        <v>664</v>
      </c>
      <c r="G162" s="3" t="str">
        <f>IFERROR(__xludf.DUMMYFUNCTION("JOIN("", "", FILTER($D161:D1989, $B161:B1989 = F162))"),"beeldhouwer, houtsnijder")</f>
        <v>beeldhouwer, houtsnijder</v>
      </c>
    </row>
    <row r="163">
      <c r="A163" s="2" t="s">
        <v>149</v>
      </c>
      <c r="B163" s="1" t="s">
        <v>150</v>
      </c>
      <c r="C163" s="2" t="s">
        <v>236</v>
      </c>
      <c r="D163" s="1" t="s">
        <v>237</v>
      </c>
      <c r="E163" s="2" t="s">
        <v>153</v>
      </c>
      <c r="F163" s="3" t="s">
        <v>668</v>
      </c>
      <c r="G163" s="3" t="str">
        <f>IFERROR(__xludf.DUMMYFUNCTION("JOIN("", "", FILTER($D162:D1989, $B162:B1989 = F163))"),"pastoor, bestuurder, katholiek priester, leerkracht, aalmoezenier, parochievicaris")</f>
        <v>pastoor, bestuurder, katholiek priester, leerkracht, aalmoezenier, parochievicaris</v>
      </c>
    </row>
    <row r="164">
      <c r="A164" s="2" t="s">
        <v>204</v>
      </c>
      <c r="B164" s="1" t="s">
        <v>205</v>
      </c>
      <c r="C164" s="2" t="s">
        <v>202</v>
      </c>
      <c r="D164" s="1" t="s">
        <v>203</v>
      </c>
      <c r="E164" s="2" t="s">
        <v>206</v>
      </c>
      <c r="F164" s="3" t="s">
        <v>670</v>
      </c>
      <c r="G164" s="3" t="str">
        <f>IFERROR(__xludf.DUMMYFUNCTION("JOIN("", "", FILTER($D163:D1989, $B163:B1989 = F164))"),"pastoor, bestuurder, katholiek priester, leerkracht, parochievicaris")</f>
        <v>pastoor, bestuurder, katholiek priester, leerkracht, parochievicaris</v>
      </c>
    </row>
    <row r="165">
      <c r="A165" s="2" t="s">
        <v>227</v>
      </c>
      <c r="B165" s="1" t="s">
        <v>228</v>
      </c>
      <c r="C165" s="2" t="s">
        <v>22</v>
      </c>
      <c r="D165" s="1" t="s">
        <v>23</v>
      </c>
      <c r="E165" s="2" t="s">
        <v>229</v>
      </c>
      <c r="F165" s="3" t="s">
        <v>672</v>
      </c>
      <c r="G165" s="3" t="str">
        <f>IFERROR(__xludf.DUMMYFUNCTION("JOIN("", "", FILTER($D164:D1989, $B164:B1989 = F165))"),"pastoor, katholiek priester, leerkracht, parochievicaris")</f>
        <v>pastoor, katholiek priester, leerkracht, parochievicaris</v>
      </c>
    </row>
    <row r="166">
      <c r="A166" s="2" t="s">
        <v>189</v>
      </c>
      <c r="B166" s="1" t="s">
        <v>190</v>
      </c>
      <c r="C166" s="2" t="s">
        <v>12</v>
      </c>
      <c r="D166" s="1" t="s">
        <v>13</v>
      </c>
      <c r="F166" s="3" t="s">
        <v>680</v>
      </c>
      <c r="G166" s="3" t="str">
        <f>IFERROR(__xludf.DUMMYFUNCTION("JOIN("", "", FILTER($D165:D1989, $B165:B1989 = F166))"),"griffier")</f>
        <v>griffier</v>
      </c>
    </row>
    <row r="167">
      <c r="A167" s="2" t="s">
        <v>189</v>
      </c>
      <c r="B167" s="1" t="s">
        <v>190</v>
      </c>
      <c r="C167" s="2" t="s">
        <v>49</v>
      </c>
      <c r="D167" s="1" t="s">
        <v>50</v>
      </c>
      <c r="F167" s="3" t="s">
        <v>684</v>
      </c>
      <c r="G167" s="3" t="str">
        <f>IFERROR(__xludf.DUMMYFUNCTION("JOIN("", "", FILTER($D166:D1989, $B166:B1989 = F167))"),"")</f>
        <v/>
      </c>
    </row>
    <row r="168">
      <c r="A168" s="2" t="s">
        <v>207</v>
      </c>
      <c r="B168" s="1" t="s">
        <v>208</v>
      </c>
      <c r="C168" s="2" t="s">
        <v>124</v>
      </c>
      <c r="D168" s="1" t="s">
        <v>125</v>
      </c>
      <c r="E168" s="2" t="s">
        <v>211</v>
      </c>
      <c r="F168" s="3" t="s">
        <v>686</v>
      </c>
      <c r="G168" s="3" t="str">
        <f>IFERROR(__xludf.DUMMYFUNCTION("JOIN("", "", FILTER($D167:D1989, $B167:B1989 = F168))"),"")</f>
        <v/>
      </c>
    </row>
    <row r="169">
      <c r="A169" s="2" t="s">
        <v>218</v>
      </c>
      <c r="B169" s="1" t="s">
        <v>219</v>
      </c>
      <c r="C169" s="2" t="s">
        <v>79</v>
      </c>
      <c r="D169" s="1" t="s">
        <v>80</v>
      </c>
      <c r="E169" s="2" t="s">
        <v>220</v>
      </c>
      <c r="F169" s="3" t="s">
        <v>688</v>
      </c>
      <c r="G169" s="3" t="str">
        <f>IFERROR(__xludf.DUMMYFUNCTION("JOIN("", "", FILTER($D168:D1989, $B168:B1989 = F169))"),"")</f>
        <v/>
      </c>
    </row>
    <row r="170">
      <c r="A170" s="2" t="s">
        <v>189</v>
      </c>
      <c r="B170" s="1" t="s">
        <v>190</v>
      </c>
      <c r="C170" s="2" t="s">
        <v>141</v>
      </c>
      <c r="D170" s="1" t="s">
        <v>142</v>
      </c>
      <c r="F170" s="3" t="s">
        <v>690</v>
      </c>
      <c r="G170" s="3" t="str">
        <f>IFERROR(__xludf.DUMMYFUNCTION("JOIN("", "", FILTER($D169:D1989, $B169:B1989 = F170))"),"parochievicaris, pastoor-deken, pastoor, katholiek priester, leerkracht")</f>
        <v>parochievicaris, pastoor-deken, pastoor, katholiek priester, leerkracht</v>
      </c>
    </row>
    <row r="171">
      <c r="A171" s="2" t="s">
        <v>198</v>
      </c>
      <c r="B171" s="1" t="s">
        <v>199</v>
      </c>
      <c r="C171" s="2" t="s">
        <v>103</v>
      </c>
      <c r="D171" s="1" t="s">
        <v>104</v>
      </c>
      <c r="F171" s="3" t="s">
        <v>692</v>
      </c>
      <c r="G171" s="3" t="str">
        <f>IFERROR(__xludf.DUMMYFUNCTION("JOIN("", "", FILTER($D170:D1989, $B170:B1989 = F171))"),"parochievicaris, pastoor, katholiek priester, leerkracht, aalmoezenier")</f>
        <v>parochievicaris, pastoor, katholiek priester, leerkracht, aalmoezenier</v>
      </c>
    </row>
    <row r="172">
      <c r="A172" s="2" t="s">
        <v>198</v>
      </c>
      <c r="B172" s="1" t="s">
        <v>199</v>
      </c>
      <c r="C172" s="2" t="s">
        <v>77</v>
      </c>
      <c r="D172" s="1" t="s">
        <v>78</v>
      </c>
      <c r="F172" s="3" t="s">
        <v>694</v>
      </c>
      <c r="G172" s="3" t="str">
        <f>IFERROR(__xludf.DUMMYFUNCTION("JOIN("", "", FILTER($D171:D1989, $B171:B1989 = F172))"),"pastoor, leerkracht, rooms-katholiek priester, parochievicaris")</f>
        <v>pastoor, leerkracht, rooms-katholiek priester, parochievicaris</v>
      </c>
    </row>
    <row r="173">
      <c r="A173" s="2" t="s">
        <v>160</v>
      </c>
      <c r="B173" s="1" t="s">
        <v>161</v>
      </c>
      <c r="C173" s="2" t="s">
        <v>238</v>
      </c>
      <c r="D173" s="1" t="s">
        <v>239</v>
      </c>
      <c r="E173" s="2" t="s">
        <v>164</v>
      </c>
      <c r="F173" s="3" t="s">
        <v>696</v>
      </c>
      <c r="G173" s="3" t="str">
        <f>IFERROR(__xludf.DUMMYFUNCTION("JOIN("", "", FILTER($D172:D1989, $B172:B1989 = F173))"),"onderwijzer, redacteur")</f>
        <v>onderwijzer, redacteur</v>
      </c>
    </row>
    <row r="174">
      <c r="A174" s="2" t="s">
        <v>198</v>
      </c>
      <c r="B174" s="1" t="s">
        <v>199</v>
      </c>
      <c r="C174" s="2" t="s">
        <v>133</v>
      </c>
      <c r="D174" s="1" t="s">
        <v>134</v>
      </c>
      <c r="F174" s="3" t="s">
        <v>698</v>
      </c>
      <c r="G174" s="3" t="str">
        <f>IFERROR(__xludf.DUMMYFUNCTION("JOIN("", "", FILTER($D173:D1989, $B173:B1989 = F174))"),"parochievicaris, katholiek priester, leerkracht")</f>
        <v>parochievicaris, katholiek priester, leerkracht</v>
      </c>
    </row>
    <row r="175">
      <c r="A175" s="2" t="s">
        <v>240</v>
      </c>
      <c r="B175" s="1" t="s">
        <v>241</v>
      </c>
      <c r="C175" s="2" t="s">
        <v>99</v>
      </c>
      <c r="D175" s="1" t="s">
        <v>100</v>
      </c>
      <c r="E175" s="2" t="s">
        <v>242</v>
      </c>
      <c r="F175" s="3" t="s">
        <v>700</v>
      </c>
      <c r="G175" s="3" t="str">
        <f>IFERROR(__xludf.DUMMYFUNCTION("JOIN("", "", FILTER($D174:D1989, $B174:B1989 = F175))"),"professor, rector, leerkracht, onderwijzer")</f>
        <v>professor, rector, leerkracht, onderwijzer</v>
      </c>
    </row>
    <row r="176">
      <c r="A176" s="2" t="s">
        <v>154</v>
      </c>
      <c r="B176" s="1" t="s">
        <v>155</v>
      </c>
      <c r="C176" s="2" t="s">
        <v>77</v>
      </c>
      <c r="D176" s="1" t="s">
        <v>78</v>
      </c>
      <c r="E176" s="2" t="s">
        <v>156</v>
      </c>
      <c r="F176" s="3" t="s">
        <v>702</v>
      </c>
      <c r="G176" s="3" t="str">
        <f>IFERROR(__xludf.DUMMYFUNCTION("JOIN("", "", FILTER($D175:D1989, $B175:B1989 = F176))"),"naaier")</f>
        <v>naaier</v>
      </c>
    </row>
    <row r="177">
      <c r="A177" s="2" t="s">
        <v>184</v>
      </c>
      <c r="B177" s="1" t="s">
        <v>185</v>
      </c>
      <c r="C177" s="2" t="s">
        <v>243</v>
      </c>
      <c r="D177" s="1" t="s">
        <v>244</v>
      </c>
      <c r="E177" s="2" t="s">
        <v>188</v>
      </c>
      <c r="F177" s="3" t="s">
        <v>706</v>
      </c>
      <c r="G177" s="3" t="str">
        <f>IFERROR(__xludf.DUMMYFUNCTION("JOIN("", "", FILTER($D176:D1989, $B176:B1989 = F177))"),"winkelbediende, rentenier")</f>
        <v>winkelbediende, rentenier</v>
      </c>
    </row>
    <row r="178">
      <c r="A178" s="2" t="s">
        <v>245</v>
      </c>
      <c r="B178" s="1" t="s">
        <v>246</v>
      </c>
      <c r="C178" s="2" t="s">
        <v>247</v>
      </c>
      <c r="D178" s="1" t="s">
        <v>248</v>
      </c>
      <c r="E178" s="2" t="s">
        <v>249</v>
      </c>
      <c r="F178" s="3" t="s">
        <v>708</v>
      </c>
      <c r="G178" s="3" t="str">
        <f>IFERROR(__xludf.DUMMYFUNCTION("JOIN("", "", FILTER($D177:D1989, $B177:B1989 = F178))"),"schrijver, handelaar, leerkracht, ontwerper")</f>
        <v>schrijver, handelaar, leerkracht, ontwerper</v>
      </c>
    </row>
    <row r="179">
      <c r="A179" s="2" t="s">
        <v>204</v>
      </c>
      <c r="B179" s="1" t="s">
        <v>205</v>
      </c>
      <c r="C179" s="2" t="s">
        <v>79</v>
      </c>
      <c r="D179" s="1" t="s">
        <v>80</v>
      </c>
      <c r="E179" s="2" t="s">
        <v>206</v>
      </c>
      <c r="F179" s="3" t="s">
        <v>710</v>
      </c>
      <c r="G179" s="3" t="str">
        <f>IFERROR(__xludf.DUMMYFUNCTION("JOIN("", "", FILTER($D178:D1989, $B178:B1989 = F179))"),"scribent, schrijver, dichter, ambtenaar, bibliothecaris, archivaris, redacteur, kantoorbediende, boekhandelaar, koster")</f>
        <v>scribent, schrijver, dichter, ambtenaar, bibliothecaris, archivaris, redacteur, kantoorbediende, boekhandelaar, koster</v>
      </c>
    </row>
    <row r="180">
      <c r="A180" s="2" t="s">
        <v>198</v>
      </c>
      <c r="B180" s="1" t="s">
        <v>199</v>
      </c>
      <c r="C180" s="2" t="s">
        <v>49</v>
      </c>
      <c r="D180" s="1" t="s">
        <v>50</v>
      </c>
      <c r="F180" s="3" t="s">
        <v>714</v>
      </c>
      <c r="G180" s="3" t="str">
        <f>IFERROR(__xludf.DUMMYFUNCTION("JOIN("", "", FILTER($D179:D1989, $B179:B1989 = F180))"),"geestelijk leidsman, pastoor, rector, leerkracht, aalmoezenier, rooms-katholiek priester")</f>
        <v>geestelijk leidsman, pastoor, rector, leerkracht, aalmoezenier, rooms-katholiek priester</v>
      </c>
    </row>
    <row r="181">
      <c r="A181" s="2" t="s">
        <v>245</v>
      </c>
      <c r="B181" s="1" t="s">
        <v>246</v>
      </c>
      <c r="C181" s="2" t="s">
        <v>225</v>
      </c>
      <c r="D181" s="1" t="s">
        <v>226</v>
      </c>
      <c r="E181" s="2" t="s">
        <v>249</v>
      </c>
      <c r="F181" s="3" t="s">
        <v>716</v>
      </c>
      <c r="G181" s="3" t="str">
        <f>IFERROR(__xludf.DUMMYFUNCTION("JOIN("", "", FILTER($D180:D1989, $B180:B1989 = F181))"),"wijnhandelaar, onderwijzer")</f>
        <v>wijnhandelaar, onderwijzer</v>
      </c>
    </row>
    <row r="182">
      <c r="A182" s="2" t="s">
        <v>196</v>
      </c>
      <c r="B182" s="1" t="s">
        <v>197</v>
      </c>
      <c r="C182" s="2" t="s">
        <v>250</v>
      </c>
      <c r="D182" s="1" t="s">
        <v>251</v>
      </c>
      <c r="F182" s="3" t="s">
        <v>720</v>
      </c>
      <c r="G182" s="3" t="str">
        <f>IFERROR(__xludf.DUMMYFUNCTION("JOIN("", "", FILTER($D181:D1989, $B181:B1989 = F182))"),"pastoor, rector, katholiek priester, leerkracht, kanunnik")</f>
        <v>pastoor, rector, katholiek priester, leerkracht, kanunnik</v>
      </c>
    </row>
    <row r="183">
      <c r="A183" s="2" t="s">
        <v>198</v>
      </c>
      <c r="B183" s="1" t="s">
        <v>199</v>
      </c>
      <c r="C183" s="2" t="s">
        <v>252</v>
      </c>
      <c r="D183" s="1" t="s">
        <v>253</v>
      </c>
      <c r="F183" s="3" t="s">
        <v>722</v>
      </c>
      <c r="G183" s="3" t="str">
        <f>IFERROR(__xludf.DUMMYFUNCTION("JOIN("", "", FILTER($D182:D1989, $B182:B1989 = F183))"),"priester, kapelaan")</f>
        <v>priester, kapelaan</v>
      </c>
    </row>
    <row r="184">
      <c r="A184" s="2" t="s">
        <v>212</v>
      </c>
      <c r="B184" s="1" t="s">
        <v>213</v>
      </c>
      <c r="C184" s="2" t="s">
        <v>25</v>
      </c>
      <c r="D184" s="1" t="s">
        <v>26</v>
      </c>
      <c r="F184" s="3" t="s">
        <v>724</v>
      </c>
      <c r="G184" s="3" t="str">
        <f>IFERROR(__xludf.DUMMYFUNCTION("JOIN("", "", FILTER($D183:D1989, $B183:B1989 = F184))"),"pastoor, rector, katholiek priester, leerkracht, parochievicaris")</f>
        <v>pastoor, rector, katholiek priester, leerkracht, parochievicaris</v>
      </c>
    </row>
    <row r="185">
      <c r="A185" s="2" t="s">
        <v>149</v>
      </c>
      <c r="B185" s="1" t="s">
        <v>150</v>
      </c>
      <c r="C185" s="2" t="s">
        <v>254</v>
      </c>
      <c r="D185" s="1" t="s">
        <v>255</v>
      </c>
      <c r="E185" s="2" t="s">
        <v>153</v>
      </c>
      <c r="F185" s="3" t="s">
        <v>726</v>
      </c>
      <c r="G185" s="3" t="str">
        <f>IFERROR(__xludf.DUMMYFUNCTION("JOIN("", "", FILTER($D184:D1989, $B184:B1989 = F185))"),"brouwer, onderwijzer")</f>
        <v>brouwer, onderwijzer</v>
      </c>
    </row>
    <row r="186">
      <c r="A186" s="2" t="s">
        <v>196</v>
      </c>
      <c r="B186" s="1" t="s">
        <v>197</v>
      </c>
      <c r="C186" s="2" t="s">
        <v>256</v>
      </c>
      <c r="D186" s="1" t="s">
        <v>257</v>
      </c>
      <c r="F186" s="3" t="s">
        <v>730</v>
      </c>
      <c r="G186" s="3" t="str">
        <f>IFERROR(__xludf.DUMMYFUNCTION("JOIN("", "", FILTER($D185:D1989, $B185:B1989 = F186))"),"directeur, non")</f>
        <v>directeur, non</v>
      </c>
    </row>
    <row r="187">
      <c r="A187" s="2" t="s">
        <v>175</v>
      </c>
      <c r="B187" s="1" t="s">
        <v>176</v>
      </c>
      <c r="C187" s="2" t="s">
        <v>77</v>
      </c>
      <c r="D187" s="1" t="s">
        <v>78</v>
      </c>
      <c r="E187" s="2" t="s">
        <v>177</v>
      </c>
      <c r="F187" s="3" t="s">
        <v>732</v>
      </c>
      <c r="G187" s="3" t="str">
        <f>IFERROR(__xludf.DUMMYFUNCTION("JOIN("", "", FILTER($D186:D1989, $B186:B1989 = F187))"),"pastoor, katholiek priester, kleermaker, leerkracht, kanunnik, parochievicaris")</f>
        <v>pastoor, katholiek priester, kleermaker, leerkracht, kanunnik, parochievicaris</v>
      </c>
    </row>
    <row r="188">
      <c r="A188" s="2" t="s">
        <v>149</v>
      </c>
      <c r="B188" s="1" t="s">
        <v>150</v>
      </c>
      <c r="C188" s="2" t="s">
        <v>258</v>
      </c>
      <c r="D188" s="1" t="s">
        <v>259</v>
      </c>
      <c r="E188" s="2" t="s">
        <v>153</v>
      </c>
      <c r="F188" s="3" t="s">
        <v>734</v>
      </c>
      <c r="G188" s="3" t="str">
        <f>IFERROR(__xludf.DUMMYFUNCTION("JOIN("", "", FILTER($D187:D1989, $B187:B1989 = F188))"),"onderwijzer, dienstmeid, huisvrouw")</f>
        <v>onderwijzer, dienstmeid, huisvrouw</v>
      </c>
    </row>
    <row r="189">
      <c r="A189" s="2" t="s">
        <v>240</v>
      </c>
      <c r="B189" s="1" t="s">
        <v>241</v>
      </c>
      <c r="C189" s="2" t="s">
        <v>22</v>
      </c>
      <c r="D189" s="1" t="s">
        <v>23</v>
      </c>
      <c r="E189" s="2" t="s">
        <v>242</v>
      </c>
      <c r="F189" s="3" t="s">
        <v>737</v>
      </c>
      <c r="G189" s="3" t="str">
        <f>IFERROR(__xludf.DUMMYFUNCTION("JOIN("", "", FILTER($D188:D1989, $B188:B1989 = F189))"),"leerkracht, rector, katholiek priester, inspecteur, schoolopziener")</f>
        <v>leerkracht, rector, katholiek priester, inspecteur, schoolopziener</v>
      </c>
    </row>
    <row r="190">
      <c r="A190" s="2" t="s">
        <v>240</v>
      </c>
      <c r="B190" s="1" t="s">
        <v>241</v>
      </c>
      <c r="C190" s="2" t="s">
        <v>25</v>
      </c>
      <c r="D190" s="1" t="s">
        <v>26</v>
      </c>
      <c r="E190" s="2" t="s">
        <v>242</v>
      </c>
      <c r="F190" s="3" t="s">
        <v>742</v>
      </c>
      <c r="G190" s="3" t="str">
        <f>IFERROR(__xludf.DUMMYFUNCTION("JOIN("", "", FILTER($D189:D1989, $B189:B1989 = F190))"),"dienstmeid, kantwerker")</f>
        <v>dienstmeid, kantwerker</v>
      </c>
    </row>
    <row r="191">
      <c r="A191" s="2" t="s">
        <v>154</v>
      </c>
      <c r="B191" s="1" t="s">
        <v>155</v>
      </c>
      <c r="C191" s="2" t="s">
        <v>260</v>
      </c>
      <c r="D191" s="1" t="s">
        <v>261</v>
      </c>
      <c r="E191" s="2" t="s">
        <v>156</v>
      </c>
      <c r="F191" s="3" t="s">
        <v>748</v>
      </c>
      <c r="G191" s="3" t="str">
        <f>IFERROR(__xludf.DUMMYFUNCTION("JOIN("", "", FILTER($D190:D1989, $B190:B1989 = F191))"),"politicus, uitgever, boekhandelaar, letterkundige")</f>
        <v>politicus, uitgever, boekhandelaar, letterkundige</v>
      </c>
    </row>
    <row r="192">
      <c r="A192" s="2" t="s">
        <v>167</v>
      </c>
      <c r="B192" s="1" t="s">
        <v>168</v>
      </c>
      <c r="C192" s="2" t="s">
        <v>116</v>
      </c>
      <c r="D192" s="1" t="s">
        <v>117</v>
      </c>
      <c r="F192" s="3" t="s">
        <v>750</v>
      </c>
      <c r="G192" s="3" t="str">
        <f>IFERROR(__xludf.DUMMYFUNCTION("JOIN("", "", FILTER($D191:D1989, $B191:B1989 = F192))"),"missionaris, rector")</f>
        <v>missionaris, rector</v>
      </c>
    </row>
    <row r="193">
      <c r="A193" s="2" t="s">
        <v>167</v>
      </c>
      <c r="B193" s="1" t="s">
        <v>168</v>
      </c>
      <c r="C193" s="2" t="s">
        <v>103</v>
      </c>
      <c r="D193" s="1" t="s">
        <v>104</v>
      </c>
      <c r="F193" s="3" t="s">
        <v>752</v>
      </c>
      <c r="G193" s="3" t="str">
        <f>IFERROR(__xludf.DUMMYFUNCTION("JOIN("", "", FILTER($D192:D1989, $B192:B1989 = F193))"),"pater, onderwijzer, priester")</f>
        <v>pater, onderwijzer, priester</v>
      </c>
    </row>
    <row r="194">
      <c r="A194" s="2" t="s">
        <v>167</v>
      </c>
      <c r="B194" s="1" t="s">
        <v>168</v>
      </c>
      <c r="C194" s="2" t="s">
        <v>77</v>
      </c>
      <c r="D194" s="1" t="s">
        <v>78</v>
      </c>
      <c r="F194" s="3" t="s">
        <v>756</v>
      </c>
      <c r="G194" s="3" t="str">
        <f>IFERROR(__xludf.DUMMYFUNCTION("JOIN("", "", FILTER($D193:D1989, $B193:B1989 = F194))"),"brouwer")</f>
        <v>brouwer</v>
      </c>
    </row>
    <row r="195">
      <c r="A195" s="2" t="s">
        <v>184</v>
      </c>
      <c r="B195" s="1" t="s">
        <v>185</v>
      </c>
      <c r="C195" s="2" t="s">
        <v>116</v>
      </c>
      <c r="D195" s="1" t="s">
        <v>117</v>
      </c>
      <c r="E195" s="2" t="s">
        <v>188</v>
      </c>
      <c r="F195" s="3" t="s">
        <v>760</v>
      </c>
      <c r="G195" s="3" t="str">
        <f>IFERROR(__xludf.DUMMYFUNCTION("JOIN("", "", FILTER($D194:D1989, $B194:B1989 = F195))"),"dienstmeid, butler")</f>
        <v>dienstmeid, butler</v>
      </c>
    </row>
    <row r="196">
      <c r="A196" s="2" t="s">
        <v>262</v>
      </c>
      <c r="B196" s="1" t="s">
        <v>263</v>
      </c>
      <c r="C196" s="2" t="s">
        <v>252</v>
      </c>
      <c r="D196" s="1" t="s">
        <v>253</v>
      </c>
      <c r="F196" s="3" t="s">
        <v>764</v>
      </c>
      <c r="G196" s="3" t="str">
        <f>IFERROR(__xludf.DUMMYFUNCTION("JOIN("", "", FILTER($D195:D1989, $B195:B1989 = F196))"),"")</f>
        <v/>
      </c>
    </row>
    <row r="197">
      <c r="A197" s="2" t="s">
        <v>262</v>
      </c>
      <c r="B197" s="1" t="s">
        <v>263</v>
      </c>
      <c r="C197" s="2" t="s">
        <v>209</v>
      </c>
      <c r="D197" s="1" t="s">
        <v>210</v>
      </c>
      <c r="F197" s="3" t="s">
        <v>766</v>
      </c>
      <c r="G197" s="3" t="str">
        <f>IFERROR(__xludf.DUMMYFUNCTION("JOIN("", "", FILTER($D196:D1989, $B196:B1989 = F197))"),"")</f>
        <v/>
      </c>
    </row>
    <row r="198">
      <c r="A198" s="2" t="s">
        <v>264</v>
      </c>
      <c r="B198" s="1" t="s">
        <v>265</v>
      </c>
      <c r="C198" s="2" t="s">
        <v>53</v>
      </c>
      <c r="D198" s="1" t="s">
        <v>54</v>
      </c>
      <c r="F198" s="3" t="s">
        <v>768</v>
      </c>
      <c r="G198" s="3" t="str">
        <f>IFERROR(__xludf.DUMMYFUNCTION("JOIN("", "", FILTER($D197:D1989, $B197:B1989 = F198))"),"")</f>
        <v/>
      </c>
    </row>
    <row r="199">
      <c r="A199" s="2" t="s">
        <v>262</v>
      </c>
      <c r="B199" s="1" t="s">
        <v>263</v>
      </c>
      <c r="C199" s="2" t="s">
        <v>266</v>
      </c>
      <c r="D199" s="1" t="s">
        <v>267</v>
      </c>
      <c r="F199" s="3" t="s">
        <v>770</v>
      </c>
      <c r="G199" s="3" t="str">
        <f>IFERROR(__xludf.DUMMYFUNCTION("JOIN("", "", FILTER($D198:D1989, $B198:B1989 = F199))"),"")</f>
        <v/>
      </c>
    </row>
    <row r="200">
      <c r="A200" s="2" t="s">
        <v>268</v>
      </c>
      <c r="B200" s="1" t="s">
        <v>269</v>
      </c>
      <c r="C200" s="2" t="s">
        <v>43</v>
      </c>
      <c r="D200" s="1" t="s">
        <v>44</v>
      </c>
      <c r="F200" s="3" t="s">
        <v>772</v>
      </c>
      <c r="G200" s="3" t="str">
        <f>IFERROR(__xludf.DUMMYFUNCTION("JOIN("", "", FILTER($D199:D1989, $B199:B1989 = F200))"),"")</f>
        <v/>
      </c>
    </row>
    <row r="201">
      <c r="A201" s="2" t="s">
        <v>270</v>
      </c>
      <c r="B201" s="1" t="s">
        <v>271</v>
      </c>
      <c r="C201" s="2" t="s">
        <v>53</v>
      </c>
      <c r="D201" s="1" t="s">
        <v>54</v>
      </c>
      <c r="F201" s="3" t="s">
        <v>774</v>
      </c>
      <c r="G201" s="3" t="str">
        <f>IFERROR(__xludf.DUMMYFUNCTION("JOIN("", "", FILTER($D200:D1989, $B200:B1989 = F201))"),"")</f>
        <v/>
      </c>
    </row>
    <row r="202">
      <c r="A202" s="2" t="s">
        <v>262</v>
      </c>
      <c r="B202" s="1" t="s">
        <v>263</v>
      </c>
      <c r="C202" s="2" t="s">
        <v>65</v>
      </c>
      <c r="D202" s="1" t="s">
        <v>66</v>
      </c>
      <c r="F202" s="3" t="s">
        <v>776</v>
      </c>
      <c r="G202" s="3" t="str">
        <f>IFERROR(__xludf.DUMMYFUNCTION("JOIN("", "", FILTER($D201:D1989, $B201:B1989 = F202))"),"")</f>
        <v/>
      </c>
    </row>
    <row r="203">
      <c r="A203" s="2" t="s">
        <v>268</v>
      </c>
      <c r="B203" s="1" t="s">
        <v>269</v>
      </c>
      <c r="C203" s="2" t="s">
        <v>49</v>
      </c>
      <c r="D203" s="1" t="s">
        <v>50</v>
      </c>
      <c r="F203" s="3" t="s">
        <v>778</v>
      </c>
      <c r="G203" s="3" t="str">
        <f>IFERROR(__xludf.DUMMYFUNCTION("JOIN("", "", FILTER($D202:D1989, $B202:B1989 = F203))"),"boekbinder, boekhandelaar")</f>
        <v>boekbinder, boekhandelaar</v>
      </c>
    </row>
    <row r="204">
      <c r="A204" s="2" t="s">
        <v>272</v>
      </c>
      <c r="B204" s="1" t="s">
        <v>273</v>
      </c>
      <c r="C204" s="2" t="s">
        <v>274</v>
      </c>
      <c r="D204" s="1" t="s">
        <v>275</v>
      </c>
      <c r="F204" s="3" t="s">
        <v>782</v>
      </c>
      <c r="G204" s="3" t="str">
        <f>IFERROR(__xludf.DUMMYFUNCTION("JOIN("", "", FILTER($D203:D1989, $B203:B1989 = F204))"),"")</f>
        <v/>
      </c>
    </row>
    <row r="205">
      <c r="A205" s="2" t="s">
        <v>276</v>
      </c>
      <c r="B205" s="1" t="s">
        <v>277</v>
      </c>
      <c r="C205" s="2" t="s">
        <v>22</v>
      </c>
      <c r="D205" s="1" t="s">
        <v>23</v>
      </c>
      <c r="F205" s="3" t="s">
        <v>784</v>
      </c>
      <c r="G205" s="3" t="str">
        <f>IFERROR(__xludf.DUMMYFUNCTION("JOIN("", "", FILTER($D204:D1989, $B204:B1989 = F205))"),"onderwijzer, kantoorbediende, schaapherder, magazijnmedewerker")</f>
        <v>onderwijzer, kantoorbediende, schaapherder, magazijnmedewerker</v>
      </c>
    </row>
    <row r="206">
      <c r="A206" s="2" t="s">
        <v>276</v>
      </c>
      <c r="B206" s="1" t="s">
        <v>277</v>
      </c>
      <c r="C206" s="2" t="s">
        <v>25</v>
      </c>
      <c r="D206" s="1" t="s">
        <v>26</v>
      </c>
      <c r="F206" s="3" t="s">
        <v>786</v>
      </c>
      <c r="G206" s="3" t="str">
        <f>IFERROR(__xludf.DUMMYFUNCTION("JOIN("", "", FILTER($D205:D1989, $B205:B1989 = F206))"),"parochievicaris, pastoor, directeur, katholiek priester, leerkracht")</f>
        <v>parochievicaris, pastoor, directeur, katholiek priester, leerkracht</v>
      </c>
    </row>
    <row r="207">
      <c r="A207" s="2" t="s">
        <v>278</v>
      </c>
      <c r="B207" s="1" t="s">
        <v>279</v>
      </c>
      <c r="C207" s="2" t="s">
        <v>22</v>
      </c>
      <c r="D207" s="1" t="s">
        <v>23</v>
      </c>
      <c r="F207" s="3" t="s">
        <v>788</v>
      </c>
      <c r="G207" s="3" t="str">
        <f>IFERROR(__xludf.DUMMYFUNCTION("JOIN("", "", FILTER($D206:D1989, $B206:B1989 = F207))"),"onderwijzer")</f>
        <v>onderwijzer</v>
      </c>
    </row>
    <row r="208">
      <c r="A208" s="2" t="s">
        <v>278</v>
      </c>
      <c r="B208" s="1" t="s">
        <v>279</v>
      </c>
      <c r="C208" s="2" t="s">
        <v>25</v>
      </c>
      <c r="D208" s="1" t="s">
        <v>26</v>
      </c>
      <c r="F208" s="3" t="s">
        <v>790</v>
      </c>
      <c r="G208" s="3" t="str">
        <f>IFERROR(__xludf.DUMMYFUNCTION("JOIN("", "", FILTER($D207:D1989, $B207:B1989 = F208))"),"toneelschrijver, journalist, leerkracht, boekhouder, schrijver")</f>
        <v>toneelschrijver, journalist, leerkracht, boekhouder, schrijver</v>
      </c>
    </row>
    <row r="209">
      <c r="A209" s="2" t="s">
        <v>264</v>
      </c>
      <c r="B209" s="1" t="s">
        <v>265</v>
      </c>
      <c r="C209" s="2" t="s">
        <v>41</v>
      </c>
      <c r="D209" s="1" t="s">
        <v>42</v>
      </c>
      <c r="F209" s="3" t="s">
        <v>792</v>
      </c>
      <c r="G209" s="3" t="str">
        <f>IFERROR(__xludf.DUMMYFUNCTION("JOIN("", "", FILTER($D208:D1989, $B208:B1989 = F209))"),"fabrikant, manager")</f>
        <v>fabrikant, manager</v>
      </c>
    </row>
    <row r="210">
      <c r="A210" s="2" t="s">
        <v>264</v>
      </c>
      <c r="B210" s="1" t="s">
        <v>265</v>
      </c>
      <c r="C210" s="2" t="s">
        <v>43</v>
      </c>
      <c r="D210" s="1" t="s">
        <v>44</v>
      </c>
      <c r="F210" s="3" t="s">
        <v>796</v>
      </c>
      <c r="G210" s="3" t="str">
        <f>IFERROR(__xludf.DUMMYFUNCTION("JOIN("", "", FILTER($D209:D1989, $B209:B1989 = F210))"),"directeur, leerkracht")</f>
        <v>directeur, leerkracht</v>
      </c>
    </row>
    <row r="211">
      <c r="A211" s="2" t="s">
        <v>262</v>
      </c>
      <c r="B211" s="1" t="s">
        <v>263</v>
      </c>
      <c r="C211" s="2" t="s">
        <v>280</v>
      </c>
      <c r="D211" s="1" t="s">
        <v>281</v>
      </c>
      <c r="F211" s="3" t="s">
        <v>798</v>
      </c>
      <c r="G211" s="3" t="str">
        <f>IFERROR(__xludf.DUMMYFUNCTION("JOIN("", "", FILTER($D210:D1989, $B210:B1989 = F211))"),"parochievicaris, pastoor, katholiek priester, leerkracht")</f>
        <v>parochievicaris, pastoor, katholiek priester, leerkracht</v>
      </c>
    </row>
    <row r="212">
      <c r="A212" s="2" t="s">
        <v>272</v>
      </c>
      <c r="B212" s="1" t="s">
        <v>273</v>
      </c>
      <c r="C212" s="2" t="s">
        <v>282</v>
      </c>
      <c r="D212" s="1" t="s">
        <v>283</v>
      </c>
      <c r="F212" s="3" t="s">
        <v>800</v>
      </c>
      <c r="G212" s="3" t="str">
        <f>IFERROR(__xludf.DUMMYFUNCTION("JOIN("", "", FILTER($D211:D1989, $B211:B1989 = F212))"),"historicus, grondeigenaar")</f>
        <v>historicus, grondeigenaar</v>
      </c>
    </row>
    <row r="213">
      <c r="A213" s="2" t="s">
        <v>284</v>
      </c>
      <c r="B213" s="1" t="s">
        <v>285</v>
      </c>
      <c r="C213" s="2" t="s">
        <v>216</v>
      </c>
      <c r="D213" s="1" t="s">
        <v>217</v>
      </c>
      <c r="F213" s="3" t="s">
        <v>802</v>
      </c>
      <c r="G213" s="3" t="str">
        <f>IFERROR(__xludf.DUMMYFUNCTION("JOIN("", "", FILTER($D212:D1989, $B212:B1989 = F213))"),"verkoper, handelaar")</f>
        <v>verkoper, handelaar</v>
      </c>
    </row>
    <row r="214">
      <c r="A214" s="2" t="s">
        <v>284</v>
      </c>
      <c r="B214" s="1" t="s">
        <v>285</v>
      </c>
      <c r="C214" s="2" t="s">
        <v>43</v>
      </c>
      <c r="D214" s="1" t="s">
        <v>44</v>
      </c>
      <c r="F214" s="3" t="s">
        <v>804</v>
      </c>
      <c r="G214" s="3" t="str">
        <f>IFERROR(__xludf.DUMMYFUNCTION("JOIN("", "", FILTER($D213:D1989, $B213:B1989 = F214))"),"schrijver, vertaler, toneelschrijver")</f>
        <v>schrijver, vertaler, toneelschrijver</v>
      </c>
    </row>
    <row r="215">
      <c r="A215" s="2" t="s">
        <v>286</v>
      </c>
      <c r="B215" s="1" t="s">
        <v>287</v>
      </c>
      <c r="C215" s="2" t="s">
        <v>41</v>
      </c>
      <c r="D215" s="1" t="s">
        <v>42</v>
      </c>
      <c r="F215" s="3" t="s">
        <v>806</v>
      </c>
      <c r="G215" s="3" t="str">
        <f>IFERROR(__xludf.DUMMYFUNCTION("JOIN("", "", FILTER($D214:D1989, $B214:B1989 = F215))"),"muzikant, muziekleraar")</f>
        <v>muzikant, muziekleraar</v>
      </c>
    </row>
    <row r="216">
      <c r="A216" s="2" t="s">
        <v>286</v>
      </c>
      <c r="B216" s="1" t="s">
        <v>287</v>
      </c>
      <c r="C216" s="2" t="s">
        <v>288</v>
      </c>
      <c r="D216" s="1" t="s">
        <v>289</v>
      </c>
      <c r="F216" s="3" t="s">
        <v>810</v>
      </c>
      <c r="G216" s="3" t="str">
        <f>IFERROR(__xludf.DUMMYFUNCTION("JOIN("", "", FILTER($D215:D1989, $B215:B1989 = F216))"),"non, overste, onderwijzer")</f>
        <v>non, overste, onderwijzer</v>
      </c>
    </row>
    <row r="217">
      <c r="A217" s="2" t="s">
        <v>264</v>
      </c>
      <c r="B217" s="1" t="s">
        <v>265</v>
      </c>
      <c r="C217" s="2" t="s">
        <v>49</v>
      </c>
      <c r="D217" s="1" t="s">
        <v>50</v>
      </c>
      <c r="F217" s="3" t="s">
        <v>812</v>
      </c>
      <c r="G217" s="3" t="str">
        <f>IFERROR(__xludf.DUMMYFUNCTION("JOIN("", "", FILTER($D216:D1989, $B216:B1989 = F217))"),"schrijver, dichter, leerkracht")</f>
        <v>schrijver, dichter, leerkracht</v>
      </c>
    </row>
    <row r="218">
      <c r="A218" s="2" t="s">
        <v>270</v>
      </c>
      <c r="B218" s="1" t="s">
        <v>271</v>
      </c>
      <c r="C218" s="2" t="s">
        <v>41</v>
      </c>
      <c r="D218" s="1" t="s">
        <v>42</v>
      </c>
      <c r="F218" s="3" t="s">
        <v>814</v>
      </c>
      <c r="G218" s="3" t="str">
        <f>IFERROR(__xludf.DUMMYFUNCTION("JOIN("", "", FILTER($D217:D1989, $B217:B1989 = F218))"),"behanger, winkelier")</f>
        <v>behanger, winkelier</v>
      </c>
    </row>
    <row r="219">
      <c r="A219" s="2" t="s">
        <v>286</v>
      </c>
      <c r="B219" s="1" t="s">
        <v>287</v>
      </c>
      <c r="C219" s="2" t="s">
        <v>43</v>
      </c>
      <c r="D219" s="1" t="s">
        <v>44</v>
      </c>
      <c r="F219" s="3" t="s">
        <v>818</v>
      </c>
      <c r="G219" s="3" t="str">
        <f>IFERROR(__xludf.DUMMYFUNCTION("JOIN("", "", FILTER($D218:D1989, $B218:B1989 = F219))"),"journalist, handelaar, schrijver")</f>
        <v>journalist, handelaar, schrijver</v>
      </c>
    </row>
    <row r="220">
      <c r="A220" s="2" t="s">
        <v>290</v>
      </c>
      <c r="B220" s="1" t="s">
        <v>291</v>
      </c>
      <c r="C220" s="2" t="s">
        <v>41</v>
      </c>
      <c r="D220" s="1" t="s">
        <v>42</v>
      </c>
      <c r="F220" s="3" t="s">
        <v>820</v>
      </c>
      <c r="G220" s="3" t="str">
        <f>IFERROR(__xludf.DUMMYFUNCTION("JOIN("", "", FILTER($D219:D1989, $B219:B1989 = F220))"),"bakker, conciërge, winkelier")</f>
        <v>bakker, conciërge, winkelier</v>
      </c>
    </row>
    <row r="221">
      <c r="A221" s="2" t="s">
        <v>292</v>
      </c>
      <c r="B221" s="1" t="s">
        <v>293</v>
      </c>
      <c r="C221" s="2" t="s">
        <v>103</v>
      </c>
      <c r="D221" s="1" t="s">
        <v>104</v>
      </c>
      <c r="F221" s="3" t="s">
        <v>823</v>
      </c>
      <c r="G221" s="3" t="str">
        <f>IFERROR(__xludf.DUMMYFUNCTION("JOIN("", "", FILTER($D220:D1989, $B220:B1989 = F221))"),"schrijver, katholiek priester, leerkracht, kapelaan")</f>
        <v>schrijver, katholiek priester, leerkracht, kapelaan</v>
      </c>
    </row>
    <row r="222">
      <c r="A222" s="2" t="s">
        <v>286</v>
      </c>
      <c r="B222" s="1" t="s">
        <v>287</v>
      </c>
      <c r="C222" s="2" t="s">
        <v>49</v>
      </c>
      <c r="D222" s="1" t="s">
        <v>50</v>
      </c>
      <c r="F222" s="3" t="s">
        <v>825</v>
      </c>
      <c r="G222" s="3" t="str">
        <f>IFERROR(__xludf.DUMMYFUNCTION("JOIN("", "", FILTER($D221:D1989, $B221:B1989 = F222))"),"onderwijzer")</f>
        <v>onderwijzer</v>
      </c>
    </row>
    <row r="223">
      <c r="A223" s="2" t="s">
        <v>270</v>
      </c>
      <c r="B223" s="1" t="s">
        <v>271</v>
      </c>
      <c r="C223" s="2" t="s">
        <v>49</v>
      </c>
      <c r="D223" s="1" t="s">
        <v>50</v>
      </c>
      <c r="F223" s="3" t="s">
        <v>827</v>
      </c>
      <c r="G223" s="3" t="str">
        <f>IFERROR(__xludf.DUMMYFUNCTION("JOIN("", "", FILTER($D222:D1989, $B222:B1989 = F223))"),"hoedenmaker")</f>
        <v>hoedenmaker</v>
      </c>
    </row>
    <row r="224">
      <c r="A224" s="2" t="s">
        <v>268</v>
      </c>
      <c r="B224" s="1" t="s">
        <v>269</v>
      </c>
      <c r="C224" s="2" t="s">
        <v>69</v>
      </c>
      <c r="D224" s="1" t="s">
        <v>70</v>
      </c>
      <c r="F224" s="3" t="s">
        <v>831</v>
      </c>
      <c r="G224" s="3" t="str">
        <f>IFERROR(__xludf.DUMMYFUNCTION("JOIN("", "", FILTER($D223:D1989, $B223:B1989 = F224))"),"koopman")</f>
        <v>koopman</v>
      </c>
    </row>
    <row r="225">
      <c r="A225" s="2" t="s">
        <v>290</v>
      </c>
      <c r="B225" s="1" t="s">
        <v>291</v>
      </c>
      <c r="C225" s="2" t="s">
        <v>49</v>
      </c>
      <c r="D225" s="1" t="s">
        <v>50</v>
      </c>
      <c r="F225" s="3" t="s">
        <v>835</v>
      </c>
      <c r="G225" s="3" t="str">
        <f>IFERROR(__xludf.DUMMYFUNCTION("JOIN("", "", FILTER($D224:D1989, $B224:B1989 = F225))"),"pastoor, missionaris, katholiek priester, aalmoezenier, pater")</f>
        <v>pastoor, missionaris, katholiek priester, aalmoezenier, pater</v>
      </c>
    </row>
    <row r="226">
      <c r="A226" s="2" t="s">
        <v>294</v>
      </c>
      <c r="B226" s="1" t="s">
        <v>295</v>
      </c>
      <c r="C226" s="2" t="s">
        <v>79</v>
      </c>
      <c r="D226" s="1" t="s">
        <v>80</v>
      </c>
      <c r="F226" s="3" t="s">
        <v>839</v>
      </c>
      <c r="G226" s="3" t="str">
        <f>IFERROR(__xludf.DUMMYFUNCTION("JOIN("", "", FILTER($D225:D1989, $B225:B1989 = F226))"),"non, overste, onderwijzer")</f>
        <v>non, overste, onderwijzer</v>
      </c>
    </row>
    <row r="227">
      <c r="A227" s="2" t="s">
        <v>292</v>
      </c>
      <c r="B227" s="1" t="s">
        <v>293</v>
      </c>
      <c r="C227" s="2" t="s">
        <v>141</v>
      </c>
      <c r="D227" s="1" t="s">
        <v>142</v>
      </c>
      <c r="F227" s="3" t="s">
        <v>841</v>
      </c>
      <c r="G227" s="3" t="str">
        <f>IFERROR(__xludf.DUMMYFUNCTION("JOIN("", "", FILTER($D226:D1989, $B226:B1989 = F227))"),"")</f>
        <v/>
      </c>
    </row>
    <row r="228">
      <c r="A228" s="2" t="s">
        <v>268</v>
      </c>
      <c r="B228" s="1" t="s">
        <v>269</v>
      </c>
      <c r="C228" s="2" t="s">
        <v>296</v>
      </c>
      <c r="D228" s="1" t="s">
        <v>297</v>
      </c>
      <c r="F228" s="3" t="s">
        <v>844</v>
      </c>
      <c r="G228" s="3" t="str">
        <f>IFERROR(__xludf.DUMMYFUNCTION("JOIN("", "", FILTER($D227:D1989, $B227:B1989 = F228))"),"pastoor, katholiek priester, leerkracht, parochievicaris")</f>
        <v>pastoor, katholiek priester, leerkracht, parochievicaris</v>
      </c>
    </row>
    <row r="229">
      <c r="A229" s="2" t="s">
        <v>298</v>
      </c>
      <c r="B229" s="1" t="s">
        <v>299</v>
      </c>
      <c r="C229" s="2" t="s">
        <v>300</v>
      </c>
      <c r="D229" s="1" t="s">
        <v>301</v>
      </c>
      <c r="F229" s="3" t="s">
        <v>846</v>
      </c>
      <c r="G229" s="3" t="str">
        <f>IFERROR(__xludf.DUMMYFUNCTION("JOIN("", "", FILTER($D228:D1989, $B228:B1989 = F229))"),"brouwer")</f>
        <v>brouwer</v>
      </c>
    </row>
    <row r="230">
      <c r="A230" s="2" t="s">
        <v>292</v>
      </c>
      <c r="B230" s="1" t="s">
        <v>293</v>
      </c>
      <c r="C230" s="2" t="s">
        <v>302</v>
      </c>
      <c r="D230" s="1" t="s">
        <v>303</v>
      </c>
      <c r="F230" s="3" t="s">
        <v>848</v>
      </c>
      <c r="G230" s="3" t="str">
        <f>IFERROR(__xludf.DUMMYFUNCTION("JOIN("", "", FILTER($D229:D1989, $B229:B1989 = F230))"),"burgerlijk ingenieur")</f>
        <v>burgerlijk ingenieur</v>
      </c>
    </row>
    <row r="231">
      <c r="A231" s="2" t="s">
        <v>304</v>
      </c>
      <c r="B231" s="1" t="s">
        <v>305</v>
      </c>
      <c r="C231" s="2" t="s">
        <v>306</v>
      </c>
      <c r="D231" s="1" t="s">
        <v>307</v>
      </c>
      <c r="E231" s="2" t="s">
        <v>308</v>
      </c>
      <c r="F231" s="3" t="s">
        <v>852</v>
      </c>
      <c r="G231" s="3" t="str">
        <f>IFERROR(__xludf.DUMMYFUNCTION("JOIN("", "", FILTER($D230:D1989, $B230:B1989 = F231))"),"juwelier")</f>
        <v>juwelier</v>
      </c>
    </row>
    <row r="232">
      <c r="A232" s="2" t="s">
        <v>309</v>
      </c>
      <c r="B232" s="1" t="s">
        <v>310</v>
      </c>
      <c r="C232" s="2" t="s">
        <v>311</v>
      </c>
      <c r="D232" s="1" t="s">
        <v>312</v>
      </c>
      <c r="F232" s="3" t="s">
        <v>856</v>
      </c>
      <c r="G232" s="3" t="str">
        <f>IFERROR(__xludf.DUMMYFUNCTION("JOIN("", "", FILTER($D231:D1989, $B231:B1989 = F232))"),"non")</f>
        <v>non</v>
      </c>
    </row>
    <row r="233">
      <c r="A233" s="2" t="s">
        <v>313</v>
      </c>
      <c r="B233" s="1" t="s">
        <v>314</v>
      </c>
      <c r="C233" s="2" t="s">
        <v>41</v>
      </c>
      <c r="D233" s="1" t="s">
        <v>42</v>
      </c>
      <c r="F233" s="3" t="s">
        <v>858</v>
      </c>
      <c r="G233" s="3" t="str">
        <f>IFERROR(__xludf.DUMMYFUNCTION("JOIN("", "", FILTER($D232:D1989, $B232:B1989 = F233))"),"arts")</f>
        <v>arts</v>
      </c>
    </row>
    <row r="234">
      <c r="A234" s="2" t="s">
        <v>313</v>
      </c>
      <c r="B234" s="1" t="s">
        <v>314</v>
      </c>
      <c r="C234" s="2" t="s">
        <v>84</v>
      </c>
      <c r="D234" s="1" t="s">
        <v>85</v>
      </c>
      <c r="F234" s="3" t="s">
        <v>860</v>
      </c>
      <c r="G234" s="3" t="str">
        <f>IFERROR(__xludf.DUMMYFUNCTION("JOIN("", "", FILTER($D233:D1989, $B233:B1989 = F234))"),"pianist")</f>
        <v>pianist</v>
      </c>
    </row>
    <row r="235">
      <c r="A235" s="2" t="s">
        <v>290</v>
      </c>
      <c r="B235" s="1" t="s">
        <v>291</v>
      </c>
      <c r="C235" s="2" t="s">
        <v>92</v>
      </c>
      <c r="D235" s="1" t="s">
        <v>93</v>
      </c>
      <c r="F235" s="3" t="s">
        <v>862</v>
      </c>
      <c r="G235" s="3" t="str">
        <f>IFERROR(__xludf.DUMMYFUNCTION("JOIN("", "", FILTER($D234:D1989, $B234:B1989 = F235))"),"arts")</f>
        <v>arts</v>
      </c>
    </row>
    <row r="236">
      <c r="A236" s="2" t="s">
        <v>304</v>
      </c>
      <c r="B236" s="1" t="s">
        <v>305</v>
      </c>
      <c r="C236" s="2" t="s">
        <v>315</v>
      </c>
      <c r="D236" s="1" t="s">
        <v>316</v>
      </c>
      <c r="E236" s="2" t="s">
        <v>308</v>
      </c>
      <c r="F236" s="3" t="s">
        <v>864</v>
      </c>
      <c r="G236" s="3" t="str">
        <f>IFERROR(__xludf.DUMMYFUNCTION("JOIN("", "", FILTER($D235:D1989, $B235:B1989 = F236))"),"ambtenaar")</f>
        <v>ambtenaar</v>
      </c>
    </row>
    <row r="237">
      <c r="A237" s="2" t="s">
        <v>313</v>
      </c>
      <c r="B237" s="1" t="s">
        <v>314</v>
      </c>
      <c r="C237" s="2" t="s">
        <v>43</v>
      </c>
      <c r="D237" s="1" t="s">
        <v>44</v>
      </c>
      <c r="F237" s="3" t="s">
        <v>870</v>
      </c>
      <c r="G237" s="3" t="str">
        <f>IFERROR(__xludf.DUMMYFUNCTION("JOIN("", "", FILTER($D236:D1989, $B236:B1989 = F237))"),"bibliothecaris, archivaris, secretaris")</f>
        <v>bibliothecaris, archivaris, secretaris</v>
      </c>
    </row>
    <row r="238">
      <c r="A238" s="2" t="s">
        <v>317</v>
      </c>
      <c r="B238" s="1" t="s">
        <v>318</v>
      </c>
      <c r="C238" s="2" t="s">
        <v>41</v>
      </c>
      <c r="D238" s="1" t="s">
        <v>42</v>
      </c>
      <c r="F238" s="3" t="s">
        <v>873</v>
      </c>
      <c r="G238" s="3" t="str">
        <f>IFERROR(__xludf.DUMMYFUNCTION("JOIN("", "", FILTER($D237:D1989, $B237:B1989 = F238))"),"pastoor, katholiek priester, leerkracht, parochievicaris")</f>
        <v>pastoor, katholiek priester, leerkracht, parochievicaris</v>
      </c>
    </row>
    <row r="239">
      <c r="A239" s="2" t="s">
        <v>286</v>
      </c>
      <c r="B239" s="1" t="s">
        <v>287</v>
      </c>
      <c r="C239" s="2" t="s">
        <v>69</v>
      </c>
      <c r="D239" s="1" t="s">
        <v>70</v>
      </c>
      <c r="F239" s="3" t="s">
        <v>875</v>
      </c>
      <c r="G239" s="3" t="str">
        <f>IFERROR(__xludf.DUMMYFUNCTION("JOIN("", "", FILTER($D238:D1989, $B238:B1989 = F239))"),"pastoor, katholiek priester, leerkracht, parochievicaris")</f>
        <v>pastoor, katholiek priester, leerkracht, parochievicaris</v>
      </c>
    </row>
    <row r="240">
      <c r="A240" s="2" t="s">
        <v>317</v>
      </c>
      <c r="B240" s="1" t="s">
        <v>318</v>
      </c>
      <c r="C240" s="2" t="s">
        <v>43</v>
      </c>
      <c r="D240" s="1" t="s">
        <v>44</v>
      </c>
      <c r="F240" s="3" t="s">
        <v>877</v>
      </c>
      <c r="G240" s="3" t="str">
        <f>IFERROR(__xludf.DUMMYFUNCTION("JOIN("", "", FILTER($D239:D1989, $B239:B1989 = F240))"),"arts")</f>
        <v>arts</v>
      </c>
    </row>
    <row r="241">
      <c r="A241" s="2" t="s">
        <v>294</v>
      </c>
      <c r="B241" s="1" t="s">
        <v>295</v>
      </c>
      <c r="C241" s="2" t="s">
        <v>319</v>
      </c>
      <c r="D241" s="1" t="s">
        <v>320</v>
      </c>
      <c r="F241" s="3" t="s">
        <v>879</v>
      </c>
      <c r="G241" s="3" t="str">
        <f>IFERROR(__xludf.DUMMYFUNCTION("JOIN("", "", FILTER($D240:D1989, $B240:B1989 = F241))"),"politicus, handelaar")</f>
        <v>politicus, handelaar</v>
      </c>
    </row>
    <row r="242">
      <c r="A242" s="2" t="s">
        <v>304</v>
      </c>
      <c r="B242" s="1" t="s">
        <v>305</v>
      </c>
      <c r="C242" s="2" t="s">
        <v>321</v>
      </c>
      <c r="D242" s="1" t="s">
        <v>322</v>
      </c>
      <c r="E242" s="2" t="s">
        <v>308</v>
      </c>
      <c r="F242" s="3" t="s">
        <v>881</v>
      </c>
      <c r="G242" s="3" t="str">
        <f>IFERROR(__xludf.DUMMYFUNCTION("JOIN("", "", FILTER($D241:D1989, $B241:B1989 = F242))"),"")</f>
        <v/>
      </c>
    </row>
    <row r="243">
      <c r="A243" s="2" t="s">
        <v>270</v>
      </c>
      <c r="B243" s="1" t="s">
        <v>271</v>
      </c>
      <c r="C243" s="2" t="s">
        <v>69</v>
      </c>
      <c r="D243" s="1" t="s">
        <v>70</v>
      </c>
      <c r="F243" s="3" t="s">
        <v>883</v>
      </c>
      <c r="G243" s="3" t="str">
        <f>IFERROR(__xludf.DUMMYFUNCTION("JOIN("", "", FILTER($D242:D1989, $B242:B1989 = F243))"),"")</f>
        <v/>
      </c>
    </row>
    <row r="244">
      <c r="A244" s="2" t="s">
        <v>323</v>
      </c>
      <c r="B244" s="1" t="s">
        <v>324</v>
      </c>
      <c r="C244" s="2" t="s">
        <v>128</v>
      </c>
      <c r="D244" s="1" t="s">
        <v>129</v>
      </c>
      <c r="E244" s="2" t="s">
        <v>325</v>
      </c>
      <c r="F244" s="3" t="s">
        <v>885</v>
      </c>
      <c r="G244" s="3" t="str">
        <f>IFERROR(__xludf.DUMMYFUNCTION("JOIN("", "", FILTER($D243:D1989, $B243:B1989 = F244))"),"")</f>
        <v/>
      </c>
    </row>
    <row r="245">
      <c r="A245" s="2" t="s">
        <v>326</v>
      </c>
      <c r="B245" s="1" t="s">
        <v>327</v>
      </c>
      <c r="C245" s="2" t="s">
        <v>133</v>
      </c>
      <c r="D245" s="1" t="s">
        <v>134</v>
      </c>
      <c r="F245" s="3" t="s">
        <v>887</v>
      </c>
      <c r="G245" s="3" t="str">
        <f>IFERROR(__xludf.DUMMYFUNCTION("JOIN("", "", FILTER($D244:D1989, $B244:B1989 = F245))"),"")</f>
        <v/>
      </c>
    </row>
    <row r="246">
      <c r="A246" s="2" t="s">
        <v>326</v>
      </c>
      <c r="B246" s="1" t="s">
        <v>327</v>
      </c>
      <c r="C246" s="2" t="s">
        <v>43</v>
      </c>
      <c r="D246" s="1" t="s">
        <v>44</v>
      </c>
      <c r="F246" s="3" t="s">
        <v>889</v>
      </c>
      <c r="G246" s="3" t="str">
        <f>IFERROR(__xludf.DUMMYFUNCTION("JOIN("", "", FILTER($D245:D1989, $B245:B1989 = F246))"),"")</f>
        <v/>
      </c>
    </row>
    <row r="247">
      <c r="A247" s="2" t="s">
        <v>326</v>
      </c>
      <c r="B247" s="1" t="s">
        <v>327</v>
      </c>
      <c r="C247" s="2" t="s">
        <v>328</v>
      </c>
      <c r="D247" s="1" t="s">
        <v>329</v>
      </c>
      <c r="F247" s="3" t="s">
        <v>891</v>
      </c>
      <c r="G247" s="3" t="str">
        <f>IFERROR(__xludf.DUMMYFUNCTION("JOIN("", "", FILTER($D246:D1989, $B246:B1989 = F247))"),"")</f>
        <v/>
      </c>
    </row>
    <row r="248">
      <c r="A248" s="2" t="s">
        <v>326</v>
      </c>
      <c r="B248" s="1" t="s">
        <v>327</v>
      </c>
      <c r="C248" s="2" t="s">
        <v>79</v>
      </c>
      <c r="D248" s="1" t="s">
        <v>80</v>
      </c>
      <c r="F248" s="3" t="s">
        <v>893</v>
      </c>
      <c r="G248" s="3" t="str">
        <f>IFERROR(__xludf.DUMMYFUNCTION("JOIN("", "", FILTER($D247:D1989, $B247:B1989 = F248))"),"leerkracht, beeldhouwer, beeldend kunstenaar")</f>
        <v>leerkracht, beeldhouwer, beeldend kunstenaar</v>
      </c>
    </row>
    <row r="249">
      <c r="A249" s="2" t="s">
        <v>326</v>
      </c>
      <c r="B249" s="1" t="s">
        <v>327</v>
      </c>
      <c r="C249" s="2" t="s">
        <v>7</v>
      </c>
      <c r="D249" s="1" t="s">
        <v>8</v>
      </c>
      <c r="F249" s="3" t="s">
        <v>896</v>
      </c>
      <c r="G249" s="3" t="str">
        <f>IFERROR(__xludf.DUMMYFUNCTION("JOIN("", "", FILTER($D248:D1989, $B248:B1989 = F249))"),"parochievicaris, schrijver, dichter, pastoor, liedtekstschrijver, katholiek priester, aalmoezenier")</f>
        <v>parochievicaris, schrijver, dichter, pastoor, liedtekstschrijver, katholiek priester, aalmoezenier</v>
      </c>
    </row>
    <row r="250">
      <c r="A250" s="2" t="s">
        <v>292</v>
      </c>
      <c r="B250" s="1" t="s">
        <v>293</v>
      </c>
      <c r="C250" s="2" t="s">
        <v>243</v>
      </c>
      <c r="D250" s="1" t="s">
        <v>244</v>
      </c>
      <c r="F250" s="3" t="s">
        <v>898</v>
      </c>
      <c r="G250" s="3" t="str">
        <f>IFERROR(__xludf.DUMMYFUNCTION("JOIN("", "", FILTER($D249:D1989, $B249:B1989 = F250))"),"pater, priester, pastoor, academisch docent, theoloog, parochievicaris, definitor")</f>
        <v>pater, priester, pastoor, academisch docent, theoloog, parochievicaris, definitor</v>
      </c>
    </row>
    <row r="251">
      <c r="A251" s="2" t="s">
        <v>284</v>
      </c>
      <c r="B251" s="1" t="s">
        <v>285</v>
      </c>
      <c r="C251" s="2" t="s">
        <v>221</v>
      </c>
      <c r="D251" s="1" t="s">
        <v>222</v>
      </c>
      <c r="F251" s="3" t="s">
        <v>900</v>
      </c>
      <c r="G251" s="3" t="str">
        <f>IFERROR(__xludf.DUMMYFUNCTION("JOIN("", "", FILTER($D250:D1989, $B250:B1989 = F251))"),"advocaat, rechter, schrijver, dichter")</f>
        <v>advocaat, rechter, schrijver, dichter</v>
      </c>
    </row>
    <row r="252">
      <c r="A252" s="2" t="s">
        <v>262</v>
      </c>
      <c r="B252" s="1" t="s">
        <v>263</v>
      </c>
      <c r="C252" s="2" t="s">
        <v>22</v>
      </c>
      <c r="D252" s="1" t="s">
        <v>23</v>
      </c>
      <c r="F252" s="3" t="s">
        <v>905</v>
      </c>
      <c r="G252" s="3" t="str">
        <f>IFERROR(__xludf.DUMMYFUNCTION("JOIN("", "", FILTER($D251:D1989, $B251:B1989 = F252))"),"kunstenaar, priester")</f>
        <v>kunstenaar, priester</v>
      </c>
    </row>
    <row r="253">
      <c r="A253" s="2" t="s">
        <v>326</v>
      </c>
      <c r="B253" s="1" t="s">
        <v>327</v>
      </c>
      <c r="C253" s="2" t="s">
        <v>90</v>
      </c>
      <c r="D253" s="1" t="s">
        <v>91</v>
      </c>
      <c r="F253" s="3" t="s">
        <v>909</v>
      </c>
      <c r="G253" s="3" t="str">
        <f>IFERROR(__xludf.DUMMYFUNCTION("JOIN("", "", FILTER($D252:D1989, $B252:B1989 = F253))"),"filoloog, bibliothecaris, redacteur, academisch docent")</f>
        <v>filoloog, bibliothecaris, redacteur, academisch docent</v>
      </c>
    </row>
    <row r="254">
      <c r="A254" s="2" t="s">
        <v>330</v>
      </c>
      <c r="B254" s="1" t="s">
        <v>331</v>
      </c>
      <c r="C254" s="2" t="s">
        <v>332</v>
      </c>
      <c r="D254" s="1" t="s">
        <v>333</v>
      </c>
      <c r="E254" s="2" t="s">
        <v>334</v>
      </c>
      <c r="F254" s="3" t="s">
        <v>912</v>
      </c>
      <c r="G254" s="3" t="str">
        <f>IFERROR(__xludf.DUMMYFUNCTION("JOIN("", "", FILTER($D253:D1989, $B253:B1989 = F254))"),"schrijver, onderwijzer")</f>
        <v>schrijver, onderwijzer</v>
      </c>
    </row>
    <row r="255">
      <c r="A255" s="2" t="s">
        <v>335</v>
      </c>
      <c r="B255" s="1" t="s">
        <v>336</v>
      </c>
      <c r="C255" s="2" t="s">
        <v>35</v>
      </c>
      <c r="D255" s="1" t="s">
        <v>36</v>
      </c>
      <c r="F255" s="3" t="s">
        <v>914</v>
      </c>
      <c r="G255" s="3" t="str">
        <f>IFERROR(__xludf.DUMMYFUNCTION("JOIN("", "", FILTER($D254:D1989, $B254:B1989 = F255))"),"ambtenaar, hoofdredacteur, muziekleraar, schrijver, onderwijzer, dichter")</f>
        <v>ambtenaar, hoofdredacteur, muziekleraar, schrijver, onderwijzer, dichter</v>
      </c>
    </row>
    <row r="256">
      <c r="A256" s="2" t="s">
        <v>330</v>
      </c>
      <c r="B256" s="1" t="s">
        <v>331</v>
      </c>
      <c r="C256" s="2" t="s">
        <v>337</v>
      </c>
      <c r="D256" s="1" t="s">
        <v>338</v>
      </c>
      <c r="E256" s="2" t="s">
        <v>334</v>
      </c>
      <c r="F256" s="3" t="s">
        <v>916</v>
      </c>
      <c r="G256" s="3" t="str">
        <f>IFERROR(__xludf.DUMMYFUNCTION("JOIN("", "", FILTER($D255:D1989, $B255:B1989 = F256))"),"financieel beheerder, historicus, katholiek priester, academisch docent, kanunnik")</f>
        <v>financieel beheerder, historicus, katholiek priester, academisch docent, kanunnik</v>
      </c>
    </row>
    <row r="257">
      <c r="A257" s="2" t="s">
        <v>313</v>
      </c>
      <c r="B257" s="1" t="s">
        <v>314</v>
      </c>
      <c r="C257" s="2" t="s">
        <v>69</v>
      </c>
      <c r="D257" s="1" t="s">
        <v>70</v>
      </c>
      <c r="F257" s="3" t="s">
        <v>918</v>
      </c>
      <c r="G257" s="3" t="str">
        <f>IFERROR(__xludf.DUMMYFUNCTION("JOIN("", "", FILTER($D256:D1989, $B256:B1989 = F257))"),"filoloog, etymoloog, taalkundige, schrijver, academisch docent")</f>
        <v>filoloog, etymoloog, taalkundige, schrijver, academisch docent</v>
      </c>
    </row>
    <row r="258">
      <c r="A258" s="2" t="s">
        <v>335</v>
      </c>
      <c r="B258" s="1" t="s">
        <v>336</v>
      </c>
      <c r="C258" s="2" t="s">
        <v>339</v>
      </c>
      <c r="D258" s="1" t="s">
        <v>340</v>
      </c>
      <c r="F258" s="3" t="s">
        <v>921</v>
      </c>
      <c r="G258" s="3" t="str">
        <f>IFERROR(__xludf.DUMMYFUNCTION("JOIN("", "", FILTER($D257:D1989, $B257:B1989 = F258))"),"politicus, redacteur, advocaat")</f>
        <v>politicus, redacteur, advocaat</v>
      </c>
    </row>
    <row r="259">
      <c r="A259" s="2" t="s">
        <v>330</v>
      </c>
      <c r="B259" s="1" t="s">
        <v>331</v>
      </c>
      <c r="C259" s="2" t="s">
        <v>79</v>
      </c>
      <c r="D259" s="1" t="s">
        <v>80</v>
      </c>
      <c r="E259" s="2" t="s">
        <v>334</v>
      </c>
      <c r="F259" s="3" t="s">
        <v>923</v>
      </c>
      <c r="G259" s="3" t="str">
        <f>IFERROR(__xludf.DUMMYFUNCTION("JOIN("", "", FILTER($D258:D1989, $B258:B1989 = F259))"),"politicus, boekhandelaar, schrijver, uitgever, drukker")</f>
        <v>politicus, boekhandelaar, schrijver, uitgever, drukker</v>
      </c>
    </row>
    <row r="260">
      <c r="A260" s="2" t="s">
        <v>326</v>
      </c>
      <c r="B260" s="1" t="s">
        <v>327</v>
      </c>
      <c r="C260" s="2" t="s">
        <v>69</v>
      </c>
      <c r="D260" s="1" t="s">
        <v>70</v>
      </c>
      <c r="F260" s="3" t="s">
        <v>926</v>
      </c>
      <c r="G260" s="3" t="str">
        <f>IFERROR(__xludf.DUMMYFUNCTION("JOIN("", "", FILTER($D259:D1989, $B259:B1989 = F260))"),"advocaat, politicus")</f>
        <v>advocaat, politicus</v>
      </c>
    </row>
    <row r="261">
      <c r="A261" s="2" t="s">
        <v>276</v>
      </c>
      <c r="B261" s="1" t="s">
        <v>277</v>
      </c>
      <c r="C261" s="2" t="s">
        <v>135</v>
      </c>
      <c r="D261" s="1" t="s">
        <v>136</v>
      </c>
      <c r="F261" s="3" t="s">
        <v>929</v>
      </c>
      <c r="G261" s="3" t="str">
        <f>IFERROR(__xludf.DUMMYFUNCTION("JOIN("", "", FILTER($D260:D1989, $B260:B1989 = F261))"),"pastoor, katholiek priester, schrijver, leerkracht, parochievicaris")</f>
        <v>pastoor, katholiek priester, schrijver, leerkracht, parochievicaris</v>
      </c>
    </row>
    <row r="262">
      <c r="A262" s="2" t="s">
        <v>276</v>
      </c>
      <c r="B262" s="1" t="s">
        <v>277</v>
      </c>
      <c r="C262" s="2" t="s">
        <v>43</v>
      </c>
      <c r="D262" s="1" t="s">
        <v>44</v>
      </c>
      <c r="F262" s="3" t="s">
        <v>931</v>
      </c>
      <c r="G262" s="3" t="str">
        <f>IFERROR(__xludf.DUMMYFUNCTION("JOIN("", "", FILTER($D261:D1989, $B261:B1989 = F262))"),"politicus, advocaat")</f>
        <v>politicus, advocaat</v>
      </c>
    </row>
    <row r="263">
      <c r="A263" s="2" t="s">
        <v>276</v>
      </c>
      <c r="B263" s="1" t="s">
        <v>277</v>
      </c>
      <c r="C263" s="2" t="s">
        <v>120</v>
      </c>
      <c r="D263" s="1" t="s">
        <v>121</v>
      </c>
      <c r="F263" s="3" t="s">
        <v>935</v>
      </c>
      <c r="G263" s="3" t="str">
        <f>IFERROR(__xludf.DUMMYFUNCTION("JOIN("", "", FILTER($D262:D1989, $B262:B1989 = F263))"),"schrijver, dichter, politicus, directeur, katholiek priester, leerkracht, aalmoezenier, parochievicaris")</f>
        <v>schrijver, dichter, politicus, directeur, katholiek priester, leerkracht, aalmoezenier, parochievicaris</v>
      </c>
    </row>
    <row r="264">
      <c r="A264" s="2" t="s">
        <v>278</v>
      </c>
      <c r="B264" s="1" t="s">
        <v>279</v>
      </c>
      <c r="C264" s="2" t="s">
        <v>43</v>
      </c>
      <c r="D264" s="1" t="s">
        <v>44</v>
      </c>
      <c r="F264" s="3" t="s">
        <v>937</v>
      </c>
      <c r="G264" s="3" t="str">
        <f>IFERROR(__xludf.DUMMYFUNCTION("JOIN("", "", FILTER($D263:D1989, $B263:B1989 = F264))"),"godsdienstleraar, politicus, hoofdredacteur, leerkracht, parochievicaris, priester")</f>
        <v>godsdienstleraar, politicus, hoofdredacteur, leerkracht, parochievicaris, priester</v>
      </c>
    </row>
    <row r="265">
      <c r="A265" s="2" t="s">
        <v>298</v>
      </c>
      <c r="B265" s="1" t="s">
        <v>299</v>
      </c>
      <c r="C265" s="2" t="s">
        <v>114</v>
      </c>
      <c r="D265" s="1" t="s">
        <v>115</v>
      </c>
      <c r="F265" s="3" t="s">
        <v>941</v>
      </c>
      <c r="G265" s="3" t="str">
        <f>IFERROR(__xludf.DUMMYFUNCTION("JOIN("", "", FILTER($D264:D1989, $B264:B1989 = F265))"),"politicus, advocaat")</f>
        <v>politicus, advocaat</v>
      </c>
    </row>
    <row r="266">
      <c r="A266" s="2" t="s">
        <v>276</v>
      </c>
      <c r="B266" s="1" t="s">
        <v>277</v>
      </c>
      <c r="C266" s="2" t="s">
        <v>49</v>
      </c>
      <c r="D266" s="1" t="s">
        <v>50</v>
      </c>
      <c r="F266" s="3" t="s">
        <v>944</v>
      </c>
      <c r="G266" s="3" t="str">
        <f>IFERROR(__xludf.DUMMYFUNCTION("JOIN("", "", FILTER($D265:D1989, $B265:B1989 = F266))"),"politicus, archivaris, uitgever")</f>
        <v>politicus, archivaris, uitgever</v>
      </c>
    </row>
    <row r="267">
      <c r="A267" s="2" t="s">
        <v>268</v>
      </c>
      <c r="B267" s="1" t="s">
        <v>269</v>
      </c>
      <c r="C267" s="2" t="s">
        <v>143</v>
      </c>
      <c r="D267" s="1" t="s">
        <v>144</v>
      </c>
      <c r="F267" s="3" t="s">
        <v>946</v>
      </c>
      <c r="G267" s="3" t="str">
        <f>IFERROR(__xludf.DUMMYFUNCTION("JOIN("", "", FILTER($D266:D1989, $B266:B1989 = F267))"),"politicus, leerkracht, parochievicaris, dichter, componist, priester")</f>
        <v>politicus, leerkracht, parochievicaris, dichter, componist, priester</v>
      </c>
    </row>
    <row r="268">
      <c r="A268" s="2" t="s">
        <v>278</v>
      </c>
      <c r="B268" s="1" t="s">
        <v>279</v>
      </c>
      <c r="C268" s="2" t="s">
        <v>49</v>
      </c>
      <c r="D268" s="1" t="s">
        <v>50</v>
      </c>
      <c r="F268" s="3" t="s">
        <v>948</v>
      </c>
      <c r="G268" s="3" t="str">
        <f>IFERROR(__xludf.DUMMYFUNCTION("JOIN("", "", FILTER($D267:D1989, $B267:B1989 = F268))"),"ambtenaar, leerkracht, archivaris")</f>
        <v>ambtenaar, leerkracht, archivaris</v>
      </c>
    </row>
    <row r="269">
      <c r="A269" s="2" t="s">
        <v>270</v>
      </c>
      <c r="B269" s="1" t="s">
        <v>271</v>
      </c>
      <c r="C269" s="2" t="s">
        <v>118</v>
      </c>
      <c r="D269" s="1" t="s">
        <v>119</v>
      </c>
      <c r="F269" s="3" t="s">
        <v>951</v>
      </c>
      <c r="G269" s="3" t="str">
        <f>IFERROR(__xludf.DUMMYFUNCTION("JOIN("", "", FILTER($D268:D1989, $B268:B1989 = F269))"),"botanicus, leerkracht, volkskundige, schrijver")</f>
        <v>botanicus, leerkracht, volkskundige, schrijver</v>
      </c>
    </row>
    <row r="270">
      <c r="A270" s="2" t="s">
        <v>290</v>
      </c>
      <c r="B270" s="1" t="s">
        <v>291</v>
      </c>
      <c r="C270" s="2" t="s">
        <v>22</v>
      </c>
      <c r="D270" s="1" t="s">
        <v>23</v>
      </c>
      <c r="F270" s="3" t="s">
        <v>955</v>
      </c>
      <c r="G270" s="3" t="str">
        <f>IFERROR(__xludf.DUMMYFUNCTION("JOIN("", "", FILTER($D269:D1989, $B269:B1989 = F270))"),"arts, schrijver, dichter, publicist")</f>
        <v>arts, schrijver, dichter, publicist</v>
      </c>
    </row>
    <row r="271">
      <c r="A271" s="2" t="s">
        <v>290</v>
      </c>
      <c r="B271" s="1" t="s">
        <v>291</v>
      </c>
      <c r="C271" s="2" t="s">
        <v>118</v>
      </c>
      <c r="D271" s="1" t="s">
        <v>119</v>
      </c>
      <c r="F271" s="3" t="s">
        <v>958</v>
      </c>
      <c r="G271" s="3" t="str">
        <f>IFERROR(__xludf.DUMMYFUNCTION("JOIN("", "", FILTER($D270:D1989, $B270:B1989 = F271))"),"politicus, vertaler, chirurg, arts")</f>
        <v>politicus, vertaler, chirurg, arts</v>
      </c>
    </row>
    <row r="272">
      <c r="A272" s="2" t="s">
        <v>278</v>
      </c>
      <c r="B272" s="1" t="s">
        <v>279</v>
      </c>
      <c r="C272" s="2" t="s">
        <v>252</v>
      </c>
      <c r="D272" s="1" t="s">
        <v>253</v>
      </c>
      <c r="F272" s="3" t="s">
        <v>969</v>
      </c>
      <c r="G272" s="3" t="str">
        <f>IFERROR(__xludf.DUMMYFUNCTION("JOIN("", "", FILTER($D271:D1989, $B271:B1989 = F272))"),"agrariër, schrijver")</f>
        <v>agrariër, schrijver</v>
      </c>
    </row>
    <row r="273">
      <c r="A273" s="2" t="s">
        <v>294</v>
      </c>
      <c r="B273" s="1" t="s">
        <v>295</v>
      </c>
      <c r="C273" s="2" t="s">
        <v>22</v>
      </c>
      <c r="D273" s="1" t="s">
        <v>23</v>
      </c>
      <c r="F273" s="3" t="s">
        <v>974</v>
      </c>
      <c r="G273" s="3" t="str">
        <f>IFERROR(__xludf.DUMMYFUNCTION("JOIN("", "", FILTER($D272:D1989, $B272:B1989 = F273))"),"pastoor, politicus, historicus, leerkracht, studiemeester, parochievicaris, katholiek priester")</f>
        <v>pastoor, politicus, historicus, leerkracht, studiemeester, parochievicaris, katholiek priester</v>
      </c>
    </row>
    <row r="274">
      <c r="A274" s="2" t="s">
        <v>272</v>
      </c>
      <c r="B274" s="1" t="s">
        <v>273</v>
      </c>
      <c r="C274" s="2" t="s">
        <v>341</v>
      </c>
      <c r="D274" s="1" t="s">
        <v>342</v>
      </c>
      <c r="F274" s="3" t="s">
        <v>977</v>
      </c>
      <c r="G274" s="3" t="str">
        <f>IFERROR(__xludf.DUMMYFUNCTION("JOIN("", "", FILTER($D273:D1989, $B273:B1989 = F274))"),"schrijver, pastoor, katholiek priester, leerkracht, parochievicaris")</f>
        <v>schrijver, pastoor, katholiek priester, leerkracht, parochievicaris</v>
      </c>
    </row>
    <row r="275">
      <c r="A275" s="2" t="s">
        <v>343</v>
      </c>
      <c r="B275" s="1" t="s">
        <v>344</v>
      </c>
      <c r="C275" s="2" t="s">
        <v>77</v>
      </c>
      <c r="D275" s="1" t="s">
        <v>78</v>
      </c>
      <c r="F275" s="3" t="s">
        <v>979</v>
      </c>
      <c r="G275" s="3" t="str">
        <f>IFERROR(__xludf.DUMMYFUNCTION("JOIN("", "", FILTER($D274:D1989, $B274:B1989 = F275))"),"politicus")</f>
        <v>politicus</v>
      </c>
    </row>
    <row r="276">
      <c r="A276" s="2" t="s">
        <v>272</v>
      </c>
      <c r="B276" s="1" t="s">
        <v>273</v>
      </c>
      <c r="C276" s="2" t="s">
        <v>345</v>
      </c>
      <c r="D276" s="1" t="s">
        <v>346</v>
      </c>
      <c r="F276" s="3" t="s">
        <v>981</v>
      </c>
      <c r="G276" s="3" t="str">
        <f>IFERROR(__xludf.DUMMYFUNCTION("JOIN("", "", FILTER($D275:D1989, $B275:B1989 = F276))"),"leerkracht, katholiek priester, schrijver, coadjutor")</f>
        <v>leerkracht, katholiek priester, schrijver, coadjutor</v>
      </c>
    </row>
    <row r="277">
      <c r="A277" s="2" t="s">
        <v>343</v>
      </c>
      <c r="B277" s="1" t="s">
        <v>344</v>
      </c>
      <c r="C277" s="2" t="s">
        <v>347</v>
      </c>
      <c r="D277" s="1" t="s">
        <v>348</v>
      </c>
      <c r="F277" s="3" t="s">
        <v>984</v>
      </c>
      <c r="G277" s="3" t="str">
        <f>IFERROR(__xludf.DUMMYFUNCTION("JOIN("", "", FILTER($D276:D1989, $B276:B1989 = F277))"),"historicus, filoloog")</f>
        <v>historicus, filoloog</v>
      </c>
    </row>
    <row r="278">
      <c r="A278" s="2" t="s">
        <v>343</v>
      </c>
      <c r="B278" s="1" t="s">
        <v>344</v>
      </c>
      <c r="C278" s="2" t="s">
        <v>124</v>
      </c>
      <c r="D278" s="1" t="s">
        <v>125</v>
      </c>
      <c r="F278" s="3" t="s">
        <v>986</v>
      </c>
      <c r="G278" s="3" t="str">
        <f>IFERROR(__xludf.DUMMYFUNCTION("JOIN("", "", FILTER($D277:D1989, $B277:B1989 = F278))"),"ambtenaar, academisch docent, activist")</f>
        <v>ambtenaar, academisch docent, activist</v>
      </c>
    </row>
    <row r="279">
      <c r="A279" s="2" t="s">
        <v>272</v>
      </c>
      <c r="B279" s="1" t="s">
        <v>273</v>
      </c>
      <c r="C279" s="2" t="s">
        <v>349</v>
      </c>
      <c r="D279" s="1" t="s">
        <v>350</v>
      </c>
      <c r="F279" s="3" t="s">
        <v>988</v>
      </c>
      <c r="G279" s="3" t="str">
        <f>IFERROR(__xludf.DUMMYFUNCTION("JOIN("", "", FILTER($D278:D1989, $B278:B1989 = F279))"),"schrijver, onderwijzer, dichter, leerkracht")</f>
        <v>schrijver, onderwijzer, dichter, leerkracht</v>
      </c>
    </row>
    <row r="280">
      <c r="A280" s="2" t="s">
        <v>272</v>
      </c>
      <c r="B280" s="1" t="s">
        <v>273</v>
      </c>
      <c r="C280" s="2" t="s">
        <v>351</v>
      </c>
      <c r="D280" s="1" t="s">
        <v>352</v>
      </c>
      <c r="F280" s="3" t="s">
        <v>990</v>
      </c>
      <c r="G280" s="3" t="str">
        <f>IFERROR(__xludf.DUMMYFUNCTION("JOIN("", "", FILTER($D279:D1989, $B279:B1989 = F280))"),"magistraat, historicus, advocaat, schrijver, uitgever")</f>
        <v>magistraat, historicus, advocaat, schrijver, uitgever</v>
      </c>
    </row>
    <row r="281">
      <c r="A281" s="2" t="s">
        <v>278</v>
      </c>
      <c r="B281" s="1" t="s">
        <v>279</v>
      </c>
      <c r="C281" s="2" t="s">
        <v>69</v>
      </c>
      <c r="D281" s="1" t="s">
        <v>70</v>
      </c>
      <c r="F281" s="3" t="s">
        <v>993</v>
      </c>
      <c r="G281" s="3" t="str">
        <f>IFERROR(__xludf.DUMMYFUNCTION("JOIN("", "", FILTER($D280:D1989, $B280:B1989 = F281))"),"politicus, auteur, industrieel, dichter, militair")</f>
        <v>politicus, auteur, industrieel, dichter, militair</v>
      </c>
    </row>
    <row r="282">
      <c r="A282" s="2" t="s">
        <v>272</v>
      </c>
      <c r="B282" s="1" t="s">
        <v>273</v>
      </c>
      <c r="C282" s="2" t="s">
        <v>353</v>
      </c>
      <c r="D282" s="1" t="s">
        <v>354</v>
      </c>
      <c r="F282" s="3" t="s">
        <v>996</v>
      </c>
      <c r="G282" s="3" t="str">
        <f>IFERROR(__xludf.DUMMYFUNCTION("JOIN("", "", FILTER($D281:D1989, $B281:B1989 = F282))"),"hovenier, boomkweker, schrijver")</f>
        <v>hovenier, boomkweker, schrijver</v>
      </c>
    </row>
    <row r="283">
      <c r="A283" s="2" t="s">
        <v>272</v>
      </c>
      <c r="B283" s="1" t="s">
        <v>273</v>
      </c>
      <c r="C283" s="2" t="s">
        <v>49</v>
      </c>
      <c r="D283" s="1" t="s">
        <v>50</v>
      </c>
      <c r="F283" s="3" t="s">
        <v>1000</v>
      </c>
      <c r="G283" s="3" t="str">
        <f>IFERROR(__xludf.DUMMYFUNCTION("JOIN("", "", FILTER($D282:D1989, $B282:B1989 = F283))"),"arts, schrijver, dichter")</f>
        <v>arts, schrijver, dichter</v>
      </c>
    </row>
    <row r="284">
      <c r="A284" s="2" t="s">
        <v>355</v>
      </c>
      <c r="B284" s="1" t="s">
        <v>356</v>
      </c>
      <c r="C284" s="2" t="s">
        <v>77</v>
      </c>
      <c r="D284" s="1" t="s">
        <v>78</v>
      </c>
      <c r="F284" s="3" t="s">
        <v>1003</v>
      </c>
      <c r="G284" s="3" t="str">
        <f>IFERROR(__xludf.DUMMYFUNCTION("JOIN("", "", FILTER($D283:D1989, $B283:B1989 = F284))"),"politicus, organist, leerkracht, koster, dichter, componist")</f>
        <v>politicus, organist, leerkracht, koster, dichter, componist</v>
      </c>
    </row>
    <row r="285">
      <c r="A285" s="2" t="s">
        <v>357</v>
      </c>
      <c r="B285" s="1" t="s">
        <v>358</v>
      </c>
      <c r="C285" s="2" t="s">
        <v>49</v>
      </c>
      <c r="D285" s="1" t="s">
        <v>50</v>
      </c>
      <c r="F285" s="3" t="s">
        <v>1007</v>
      </c>
      <c r="G285" s="3" t="str">
        <f>IFERROR(__xludf.DUMMYFUNCTION("JOIN("", "", FILTER($D284:D1989, $B284:B1989 = F285))"),"directeur, rector, katholiek priester, pastoor-deken, leerkracht")</f>
        <v>directeur, rector, katholiek priester, pastoor-deken, leerkracht</v>
      </c>
    </row>
    <row r="286">
      <c r="A286" s="2" t="s">
        <v>343</v>
      </c>
      <c r="B286" s="1" t="s">
        <v>344</v>
      </c>
      <c r="C286" s="2" t="s">
        <v>359</v>
      </c>
      <c r="D286" s="1" t="s">
        <v>360</v>
      </c>
      <c r="F286" s="3" t="s">
        <v>1009</v>
      </c>
      <c r="G286" s="3" t="str">
        <f>IFERROR(__xludf.DUMMYFUNCTION("JOIN("", "", FILTER($D285:D1989, $B285:B1989 = F286))"),"bibliothecaris, katholiek priester")</f>
        <v>bibliothecaris, katholiek priester</v>
      </c>
    </row>
    <row r="287">
      <c r="A287" s="2" t="s">
        <v>272</v>
      </c>
      <c r="B287" s="1" t="s">
        <v>273</v>
      </c>
      <c r="C287" s="2" t="s">
        <v>361</v>
      </c>
      <c r="D287" s="1" t="s">
        <v>362</v>
      </c>
      <c r="F287" s="3" t="s">
        <v>1012</v>
      </c>
      <c r="G287" s="3" t="str">
        <f>IFERROR(__xludf.DUMMYFUNCTION("JOIN("", "", FILTER($D286:D1989, $B286:B1989 = F287))"),"vertaler, katholiek bisschop, rector, katholiek priester, taalkundige")</f>
        <v>vertaler, katholiek bisschop, rector, katholiek priester, taalkundige</v>
      </c>
    </row>
    <row r="288">
      <c r="A288" s="2" t="s">
        <v>262</v>
      </c>
      <c r="B288" s="1" t="s">
        <v>263</v>
      </c>
      <c r="C288" s="2" t="s">
        <v>77</v>
      </c>
      <c r="D288" s="1" t="s">
        <v>78</v>
      </c>
      <c r="F288" s="3" t="s">
        <v>1016</v>
      </c>
      <c r="G288" s="3" t="str">
        <f>IFERROR(__xludf.DUMMYFUNCTION("JOIN("", "", FILTER($D287:D1989, $B287:B1989 = F288))"),"hymne-schrijver, hagiograaf, katholiek priester, schrijver, dichter, theoloog")</f>
        <v>hymne-schrijver, hagiograaf, katholiek priester, schrijver, dichter, theoloog</v>
      </c>
    </row>
    <row r="289">
      <c r="A289" s="2" t="s">
        <v>262</v>
      </c>
      <c r="B289" s="1" t="s">
        <v>263</v>
      </c>
      <c r="C289" s="2" t="s">
        <v>128</v>
      </c>
      <c r="D289" s="1" t="s">
        <v>129</v>
      </c>
      <c r="F289" s="3" t="s">
        <v>1021</v>
      </c>
      <c r="G289" s="3" t="str">
        <f>IFERROR(__xludf.DUMMYFUNCTION("JOIN("", "", FILTER($D288:D1989, $B288:B1989 = F289))"),"katholiek bisschop, rector, katholiek priester, secretaris, katholieke diaken")</f>
        <v>katholiek bisschop, rector, katholiek priester, secretaris, katholieke diaken</v>
      </c>
    </row>
    <row r="290">
      <c r="A290" s="2" t="s">
        <v>323</v>
      </c>
      <c r="B290" s="1" t="s">
        <v>324</v>
      </c>
      <c r="C290" s="2" t="s">
        <v>363</v>
      </c>
      <c r="D290" s="1" t="s">
        <v>364</v>
      </c>
      <c r="E290" s="2" t="s">
        <v>325</v>
      </c>
      <c r="F290" s="3" t="s">
        <v>1023</v>
      </c>
      <c r="G290" s="3" t="str">
        <f>IFERROR(__xludf.DUMMYFUNCTION("JOIN("", "", FILTER($D289:D1989, $B289:B1989 = F290))"),"pastoor, katholiek priester, leerkracht, parochievicaris, componist")</f>
        <v>pastoor, katholiek priester, leerkracht, parochievicaris, componist</v>
      </c>
    </row>
    <row r="291">
      <c r="A291" s="2" t="s">
        <v>335</v>
      </c>
      <c r="B291" s="1" t="s">
        <v>336</v>
      </c>
      <c r="C291" s="2" t="s">
        <v>22</v>
      </c>
      <c r="D291" s="1" t="s">
        <v>23</v>
      </c>
      <c r="F291" s="3" t="s">
        <v>1025</v>
      </c>
      <c r="G291" s="3" t="str">
        <f>IFERROR(__xludf.DUMMYFUNCTION("JOIN("", "", FILTER($D290:D1989, $B290:B1989 = F291))"),"rector, muziekpedagoog, musicoloog, componist")</f>
        <v>rector, muziekpedagoog, musicoloog, componist</v>
      </c>
    </row>
    <row r="292">
      <c r="A292" s="2" t="s">
        <v>343</v>
      </c>
      <c r="B292" s="1" t="s">
        <v>344</v>
      </c>
      <c r="C292" s="2" t="s">
        <v>296</v>
      </c>
      <c r="D292" s="1" t="s">
        <v>297</v>
      </c>
      <c r="F292" s="3" t="s">
        <v>1030</v>
      </c>
      <c r="G292" s="3" t="str">
        <f>IFERROR(__xludf.DUMMYFUNCTION("JOIN("", "", FILTER($D291:D1989, $B291:B1989 = F292))"),"bloemenkweker, vuurwerkmaker, kunstschilder, taxidermist")</f>
        <v>bloemenkweker, vuurwerkmaker, kunstschilder, taxidermist</v>
      </c>
    </row>
    <row r="293">
      <c r="A293" s="2" t="s">
        <v>365</v>
      </c>
      <c r="B293" s="1" t="s">
        <v>366</v>
      </c>
      <c r="C293" s="2" t="s">
        <v>12</v>
      </c>
      <c r="D293" s="1" t="s">
        <v>13</v>
      </c>
      <c r="E293" s="2" t="s">
        <v>367</v>
      </c>
      <c r="F293" s="3" t="s">
        <v>1034</v>
      </c>
      <c r="G293" s="3" t="str">
        <f>IFERROR(__xludf.DUMMYFUNCTION("JOIN("", "", FILTER($D292:D1989, $B292:B1989 = F293))"),"historicus, leerkracht, schrijver, letterkundige")</f>
        <v>historicus, leerkracht, schrijver, letterkundige</v>
      </c>
    </row>
    <row r="294">
      <c r="A294" s="2" t="s">
        <v>368</v>
      </c>
      <c r="B294" s="1" t="s">
        <v>369</v>
      </c>
      <c r="C294" s="2" t="s">
        <v>370</v>
      </c>
      <c r="D294" s="1" t="s">
        <v>371</v>
      </c>
      <c r="F294" s="3" t="s">
        <v>1037</v>
      </c>
      <c r="G294" s="3" t="str">
        <f>IFERROR(__xludf.DUMMYFUNCTION("JOIN("", "", FILTER($D293:D1989, $B293:B1989 = F294))"),"journalist, taalkundige, arts, schrijver, etnoloog")</f>
        <v>journalist, taalkundige, arts, schrijver, etnoloog</v>
      </c>
    </row>
    <row r="295">
      <c r="A295" s="2" t="s">
        <v>372</v>
      </c>
      <c r="B295" s="1" t="s">
        <v>373</v>
      </c>
      <c r="C295" s="2" t="s">
        <v>133</v>
      </c>
      <c r="D295" s="1" t="s">
        <v>134</v>
      </c>
      <c r="E295" s="2" t="s">
        <v>374</v>
      </c>
      <c r="F295" s="3" t="s">
        <v>1040</v>
      </c>
      <c r="G295" s="3" t="str">
        <f>IFERROR(__xludf.DUMMYFUNCTION("JOIN("", "", FILTER($D294:D1989, $B294:B1989 = F295))"),"politicus")</f>
        <v>politicus</v>
      </c>
    </row>
    <row r="296">
      <c r="A296" s="2" t="s">
        <v>375</v>
      </c>
      <c r="B296" s="1" t="s">
        <v>376</v>
      </c>
      <c r="C296" s="2" t="s">
        <v>377</v>
      </c>
      <c r="D296" s="1" t="s">
        <v>378</v>
      </c>
      <c r="E296" s="2" t="s">
        <v>379</v>
      </c>
      <c r="F296" s="3" t="s">
        <v>1042</v>
      </c>
      <c r="G296" s="3" t="str">
        <f>IFERROR(__xludf.DUMMYFUNCTION("JOIN("", "", FILTER($D295:D1989, $B295:B1989 = F296))"),"missionaris, katholiek priester, apostolic prefect, theoloog")</f>
        <v>missionaris, katholiek priester, apostolic prefect, theoloog</v>
      </c>
    </row>
    <row r="297">
      <c r="A297" s="2" t="s">
        <v>372</v>
      </c>
      <c r="B297" s="1" t="s">
        <v>373</v>
      </c>
      <c r="C297" s="2" t="s">
        <v>380</v>
      </c>
      <c r="D297" s="1" t="s">
        <v>381</v>
      </c>
      <c r="E297" s="2" t="s">
        <v>374</v>
      </c>
      <c r="F297" s="3" t="s">
        <v>1049</v>
      </c>
      <c r="G297" s="3" t="str">
        <f>IFERROR(__xludf.DUMMYFUNCTION("JOIN("", "", FILTER($D296:D1989, $B296:B1989 = F297))"),"verzamelaar, vertaler")</f>
        <v>verzamelaar, vertaler</v>
      </c>
    </row>
    <row r="298">
      <c r="A298" s="2" t="s">
        <v>382</v>
      </c>
      <c r="B298" s="1" t="s">
        <v>383</v>
      </c>
      <c r="C298" s="2" t="s">
        <v>25</v>
      </c>
      <c r="D298" s="1" t="s">
        <v>26</v>
      </c>
      <c r="E298" s="2" t="s">
        <v>384</v>
      </c>
      <c r="F298" s="3" t="s">
        <v>1052</v>
      </c>
      <c r="G298" s="3" t="str">
        <f>IFERROR(__xludf.DUMMYFUNCTION("JOIN("", "", FILTER($D297:D1989, $B297:B1989 = F298))"),"onderwijzer, non")</f>
        <v>onderwijzer, non</v>
      </c>
    </row>
    <row r="299">
      <c r="A299" s="2" t="s">
        <v>385</v>
      </c>
      <c r="B299" s="1" t="s">
        <v>386</v>
      </c>
      <c r="C299" s="2" t="s">
        <v>387</v>
      </c>
      <c r="D299" s="1" t="s">
        <v>388</v>
      </c>
      <c r="E299" s="2" t="s">
        <v>389</v>
      </c>
      <c r="F299" s="3" t="s">
        <v>1054</v>
      </c>
      <c r="G299" s="3" t="str">
        <f>IFERROR(__xludf.DUMMYFUNCTION("JOIN("", "", FILTER($D298:D1989, $B298:B1989 = F299))"),"pastoor, leerkracht, parochievicaris, priester")</f>
        <v>pastoor, leerkracht, parochievicaris, priester</v>
      </c>
    </row>
    <row r="300">
      <c r="A300" s="2" t="s">
        <v>390</v>
      </c>
      <c r="B300" s="1" t="s">
        <v>391</v>
      </c>
      <c r="C300" s="2" t="s">
        <v>139</v>
      </c>
      <c r="D300" s="1" t="s">
        <v>140</v>
      </c>
      <c r="E300" s="2" t="s">
        <v>392</v>
      </c>
      <c r="F300" s="3" t="s">
        <v>1056</v>
      </c>
      <c r="G300" s="3" t="str">
        <f>IFERROR(__xludf.DUMMYFUNCTION("JOIN("", "", FILTER($D299:D1989, $B299:B1989 = F300))"),"pastoor, katholiek priester, leerkracht, parochievicaris")</f>
        <v>pastoor, katholiek priester, leerkracht, parochievicaris</v>
      </c>
    </row>
    <row r="301">
      <c r="A301" s="2" t="s">
        <v>393</v>
      </c>
      <c r="B301" s="1" t="s">
        <v>394</v>
      </c>
      <c r="C301" s="2" t="s">
        <v>395</v>
      </c>
      <c r="D301" s="1" t="s">
        <v>396</v>
      </c>
      <c r="E301" s="2" t="s">
        <v>397</v>
      </c>
      <c r="F301" s="3" t="s">
        <v>1058</v>
      </c>
      <c r="G301" s="3" t="str">
        <f>IFERROR(__xludf.DUMMYFUNCTION("JOIN("", "", FILTER($D300:D1989, $B300:B1989 = F301))"),"pastoor, bestuurder, katholiek priester, leerkracht, parochievicaris")</f>
        <v>pastoor, bestuurder, katholiek priester, leerkracht, parochievicaris</v>
      </c>
    </row>
    <row r="302">
      <c r="A302" s="2" t="s">
        <v>398</v>
      </c>
      <c r="B302" s="1" t="s">
        <v>399</v>
      </c>
      <c r="C302" s="2" t="s">
        <v>77</v>
      </c>
      <c r="D302" s="1" t="s">
        <v>78</v>
      </c>
      <c r="F302" s="3" t="s">
        <v>1060</v>
      </c>
      <c r="G302" s="3" t="str">
        <f>IFERROR(__xludf.DUMMYFUNCTION("JOIN("", "", FILTER($D301:D1989, $B301:B1989 = F302))"),"pastoor, leerkracht, parochievicaris, priester")</f>
        <v>pastoor, leerkracht, parochievicaris, priester</v>
      </c>
    </row>
    <row r="303">
      <c r="A303" s="2" t="s">
        <v>400</v>
      </c>
      <c r="B303" s="1" t="s">
        <v>401</v>
      </c>
      <c r="C303" s="2" t="s">
        <v>84</v>
      </c>
      <c r="D303" s="1" t="s">
        <v>85</v>
      </c>
      <c r="E303" s="2" t="s">
        <v>402</v>
      </c>
      <c r="F303" s="3" t="s">
        <v>1062</v>
      </c>
      <c r="G303" s="3" t="str">
        <f>IFERROR(__xludf.DUMMYFUNCTION("JOIN("", "", FILTER($D302:D1989, $B302:B1989 = F303))"),"katholiek priester, leerkracht, vicerector, geestelijk leidsman")</f>
        <v>katholiek priester, leerkracht, vicerector, geestelijk leidsman</v>
      </c>
    </row>
    <row r="304">
      <c r="A304" s="2" t="s">
        <v>398</v>
      </c>
      <c r="B304" s="1" t="s">
        <v>399</v>
      </c>
      <c r="C304" s="2" t="s">
        <v>124</v>
      </c>
      <c r="D304" s="1" t="s">
        <v>125</v>
      </c>
      <c r="F304" s="3" t="s">
        <v>1064</v>
      </c>
      <c r="G304" s="3" t="str">
        <f>IFERROR(__xludf.DUMMYFUNCTION("JOIN("", "", FILTER($D303:D1989, $B303:B1989 = F304))"),"pastoor, directeur, katholiek priester, parochievicaris, proost, grondvoertuigbestuurder")</f>
        <v>pastoor, directeur, katholiek priester, parochievicaris, proost, grondvoertuigbestuurder</v>
      </c>
    </row>
    <row r="305">
      <c r="A305" s="2" t="s">
        <v>372</v>
      </c>
      <c r="B305" s="1" t="s">
        <v>373</v>
      </c>
      <c r="C305" s="2" t="s">
        <v>79</v>
      </c>
      <c r="D305" s="1" t="s">
        <v>80</v>
      </c>
      <c r="E305" s="2" t="s">
        <v>374</v>
      </c>
      <c r="F305" s="3" t="s">
        <v>1066</v>
      </c>
      <c r="G305" s="3" t="str">
        <f>IFERROR(__xludf.DUMMYFUNCTION("JOIN("", "", FILTER($D304:D1989, $B304:B1989 = F305))"),"pastoor, katholiek priester, leerkracht, parochievicaris, inspecteur")</f>
        <v>pastoor, katholiek priester, leerkracht, parochievicaris, inspecteur</v>
      </c>
    </row>
    <row r="306">
      <c r="A306" s="2" t="s">
        <v>398</v>
      </c>
      <c r="B306" s="1" t="s">
        <v>399</v>
      </c>
      <c r="C306" s="2" t="s">
        <v>139</v>
      </c>
      <c r="D306" s="1" t="s">
        <v>140</v>
      </c>
      <c r="F306" s="3" t="s">
        <v>1068</v>
      </c>
      <c r="G306" s="3" t="str">
        <f>IFERROR(__xludf.DUMMYFUNCTION("JOIN("", "", FILTER($D305:D1989, $B305:B1989 = F306))"),"missionaris, pater, priester")</f>
        <v>missionaris, pater, priester</v>
      </c>
    </row>
    <row r="307">
      <c r="A307" s="2" t="s">
        <v>403</v>
      </c>
      <c r="B307" s="1" t="s">
        <v>404</v>
      </c>
      <c r="C307" s="2" t="s">
        <v>12</v>
      </c>
      <c r="D307" s="1" t="s">
        <v>13</v>
      </c>
      <c r="F307" s="3" t="s">
        <v>1070</v>
      </c>
      <c r="G307" s="3" t="str">
        <f>IFERROR(__xludf.DUMMYFUNCTION("JOIN("", "", FILTER($D306:D1989, $B306:B1989 = F307))"),"componist, politicus, advocaat, dichter")</f>
        <v>componist, politicus, advocaat, dichter</v>
      </c>
    </row>
    <row r="308">
      <c r="A308" s="2" t="s">
        <v>403</v>
      </c>
      <c r="B308" s="1" t="s">
        <v>404</v>
      </c>
      <c r="C308" s="2" t="s">
        <v>103</v>
      </c>
      <c r="D308" s="1" t="s">
        <v>104</v>
      </c>
      <c r="F308" s="3" t="s">
        <v>1073</v>
      </c>
      <c r="G308" s="3" t="str">
        <f>IFERROR(__xludf.DUMMYFUNCTION("JOIN("", "", FILTER($D307:D1989, $B307:B1989 = F308))"),"drukker, uitgever")</f>
        <v>drukker, uitgever</v>
      </c>
    </row>
    <row r="309">
      <c r="A309" s="2" t="s">
        <v>403</v>
      </c>
      <c r="B309" s="1" t="s">
        <v>404</v>
      </c>
      <c r="C309" s="2" t="s">
        <v>35</v>
      </c>
      <c r="D309" s="1" t="s">
        <v>36</v>
      </c>
      <c r="F309" s="3" t="s">
        <v>1075</v>
      </c>
      <c r="G309" s="3" t="str">
        <f>IFERROR(__xludf.DUMMYFUNCTION("JOIN("", "", FILTER($D308:D1989, $B308:B1989 = F309))"),"pastoor, rector, katholiek priester, leerkracht, aalmoezenier, pater, militair geestelijk verzorger")</f>
        <v>pastoor, rector, katholiek priester, leerkracht, aalmoezenier, pater, militair geestelijk verzorger</v>
      </c>
    </row>
    <row r="310">
      <c r="A310" s="2" t="s">
        <v>403</v>
      </c>
      <c r="B310" s="1" t="s">
        <v>404</v>
      </c>
      <c r="C310" s="2" t="s">
        <v>405</v>
      </c>
      <c r="D310" s="1" t="s">
        <v>406</v>
      </c>
      <c r="F310" s="3" t="s">
        <v>1077</v>
      </c>
      <c r="G310" s="3" t="str">
        <f>IFERROR(__xludf.DUMMYFUNCTION("JOIN("", "", FILTER($D309:D1989, $B309:B1989 = F310))"),"historicus, archivaris, leerkracht, gemeentesecretaris, architect")</f>
        <v>historicus, archivaris, leerkracht, gemeentesecretaris, architect</v>
      </c>
    </row>
    <row r="311">
      <c r="A311" s="2" t="s">
        <v>403</v>
      </c>
      <c r="B311" s="1" t="s">
        <v>404</v>
      </c>
      <c r="C311" s="2" t="s">
        <v>128</v>
      </c>
      <c r="D311" s="1" t="s">
        <v>129</v>
      </c>
      <c r="F311" s="3" t="s">
        <v>1079</v>
      </c>
      <c r="G311" s="3" t="str">
        <f>IFERROR(__xludf.DUMMYFUNCTION("JOIN("", "", FILTER($D310:D1989, $B310:B1989 = F311))"),"deservitor, katholiek priester")</f>
        <v>deservitor, katholiek priester</v>
      </c>
    </row>
    <row r="312">
      <c r="A312" s="2" t="s">
        <v>398</v>
      </c>
      <c r="B312" s="1" t="s">
        <v>399</v>
      </c>
      <c r="C312" s="2" t="s">
        <v>141</v>
      </c>
      <c r="D312" s="1" t="s">
        <v>142</v>
      </c>
      <c r="F312" s="3" t="s">
        <v>1081</v>
      </c>
      <c r="G312" s="3" t="str">
        <f>IFERROR(__xludf.DUMMYFUNCTION("JOIN("", "", FILTER($D311:D1989, $B311:B1989 = F312))"),"coadjutor, pastoor, parochievicaris")</f>
        <v>coadjutor, pastoor, parochievicaris</v>
      </c>
    </row>
    <row r="313">
      <c r="A313" s="2" t="s">
        <v>365</v>
      </c>
      <c r="B313" s="1" t="s">
        <v>366</v>
      </c>
      <c r="C313" s="2" t="s">
        <v>407</v>
      </c>
      <c r="D313" s="1" t="s">
        <v>408</v>
      </c>
      <c r="E313" s="2" t="s">
        <v>367</v>
      </c>
      <c r="F313" s="3" t="s">
        <v>1083</v>
      </c>
      <c r="G313" s="3" t="str">
        <f>IFERROR(__xludf.DUMMYFUNCTION("JOIN("", "", FILTER($D312:D1989, $B312:B1989 = F313))"),"coadjutor, pastoor, soldaat, rooms-katholiek priester, parochievicaris")</f>
        <v>coadjutor, pastoor, soldaat, rooms-katholiek priester, parochievicaris</v>
      </c>
    </row>
    <row r="314">
      <c r="A314" s="2" t="s">
        <v>393</v>
      </c>
      <c r="B314" s="1" t="s">
        <v>394</v>
      </c>
      <c r="C314" s="2" t="s">
        <v>12</v>
      </c>
      <c r="D314" s="1" t="s">
        <v>13</v>
      </c>
      <c r="E314" s="2" t="s">
        <v>397</v>
      </c>
      <c r="F314" s="3" t="s">
        <v>1085</v>
      </c>
      <c r="G314" s="3" t="str">
        <f>IFERROR(__xludf.DUMMYFUNCTION("JOIN("", "", FILTER($D313:D1989, $B313:B1989 = F314))"),"")</f>
        <v/>
      </c>
    </row>
    <row r="315">
      <c r="A315" s="2" t="s">
        <v>409</v>
      </c>
      <c r="B315" s="1" t="s">
        <v>410</v>
      </c>
      <c r="C315" s="2" t="s">
        <v>41</v>
      </c>
      <c r="D315" s="1" t="s">
        <v>42</v>
      </c>
      <c r="E315" s="2" t="s">
        <v>411</v>
      </c>
      <c r="F315" s="3" t="s">
        <v>1088</v>
      </c>
      <c r="G315" s="3" t="str">
        <f>IFERROR(__xludf.DUMMYFUNCTION("JOIN("", "", FILTER($D314:D1989, $B314:B1989 = F315))"),"pastoor, katholiek priester, academisch docent, opvoeder, leerkracht")</f>
        <v>pastoor, katholiek priester, academisch docent, opvoeder, leerkracht</v>
      </c>
    </row>
    <row r="316">
      <c r="A316" s="2" t="s">
        <v>393</v>
      </c>
      <c r="B316" s="1" t="s">
        <v>394</v>
      </c>
      <c r="C316" s="2" t="s">
        <v>103</v>
      </c>
      <c r="D316" s="1" t="s">
        <v>104</v>
      </c>
      <c r="E316" s="2" t="s">
        <v>397</v>
      </c>
      <c r="F316" s="3" t="s">
        <v>1094</v>
      </c>
      <c r="G316" s="3" t="str">
        <f>IFERROR(__xludf.DUMMYFUNCTION("JOIN("", "", FILTER($D315:D1989, $B315:B1989 = F316))"),"pastoor, katholiek priester, leerkracht")</f>
        <v>pastoor, katholiek priester, leerkracht</v>
      </c>
    </row>
    <row r="317">
      <c r="A317" s="2" t="s">
        <v>393</v>
      </c>
      <c r="B317" s="1" t="s">
        <v>394</v>
      </c>
      <c r="C317" s="2" t="s">
        <v>77</v>
      </c>
      <c r="D317" s="1" t="s">
        <v>78</v>
      </c>
      <c r="E317" s="2" t="s">
        <v>397</v>
      </c>
      <c r="F317" s="3" t="s">
        <v>1096</v>
      </c>
      <c r="G317" s="3" t="str">
        <f>IFERROR(__xludf.DUMMYFUNCTION("JOIN("", "", FILTER($D316:D1989, $B316:B1989 = F317))"),"pastoor, leerkracht, rooms-katholiek priester, parochievicaris")</f>
        <v>pastoor, leerkracht, rooms-katholiek priester, parochievicaris</v>
      </c>
    </row>
    <row r="318">
      <c r="A318" s="2" t="s">
        <v>398</v>
      </c>
      <c r="B318" s="1" t="s">
        <v>399</v>
      </c>
      <c r="C318" s="2" t="s">
        <v>225</v>
      </c>
      <c r="D318" s="1" t="s">
        <v>226</v>
      </c>
      <c r="F318" s="3" t="s">
        <v>1102</v>
      </c>
      <c r="G318" s="3" t="str">
        <f>IFERROR(__xludf.DUMMYFUNCTION("JOIN("", "", FILTER($D317:D1989, $B317:B1989 = F318))"),"verzekeringsmakelaar, secretaris")</f>
        <v>verzekeringsmakelaar, secretaris</v>
      </c>
    </row>
    <row r="319">
      <c r="A319" s="2" t="s">
        <v>409</v>
      </c>
      <c r="B319" s="1" t="s">
        <v>410</v>
      </c>
      <c r="C319" s="2" t="s">
        <v>84</v>
      </c>
      <c r="D319" s="1" t="s">
        <v>85</v>
      </c>
      <c r="E319" s="2" t="s">
        <v>411</v>
      </c>
      <c r="F319" s="3" t="s">
        <v>1105</v>
      </c>
      <c r="G319" s="3" t="str">
        <f>IFERROR(__xludf.DUMMYFUNCTION("JOIN("", "", FILTER($D318:D1989, $B318:B1989 = F319))"),"politicus, arts")</f>
        <v>politicus, arts</v>
      </c>
    </row>
    <row r="320">
      <c r="A320" s="2" t="s">
        <v>403</v>
      </c>
      <c r="B320" s="1" t="s">
        <v>404</v>
      </c>
      <c r="C320" s="2" t="s">
        <v>225</v>
      </c>
      <c r="D320" s="1" t="s">
        <v>226</v>
      </c>
      <c r="F320" s="3" t="s">
        <v>1107</v>
      </c>
      <c r="G320" s="3" t="str">
        <f>IFERROR(__xludf.DUMMYFUNCTION("JOIN("", "", FILTER($D319:D1989, $B319:B1989 = F320))"),"non, prior")</f>
        <v>non, prior</v>
      </c>
    </row>
    <row r="321">
      <c r="A321" s="2" t="s">
        <v>412</v>
      </c>
      <c r="B321" s="1" t="s">
        <v>413</v>
      </c>
      <c r="C321" s="2" t="s">
        <v>414</v>
      </c>
      <c r="D321" s="1" t="s">
        <v>415</v>
      </c>
      <c r="F321" s="3" t="s">
        <v>1109</v>
      </c>
      <c r="G321" s="3" t="str">
        <f>IFERROR(__xludf.DUMMYFUNCTION("JOIN("", "", FILTER($D320:D1989, $B320:B1989 = F321))"),"katholiek priester, leerkracht, aalmoezenier, parochievicaris")</f>
        <v>katholiek priester, leerkracht, aalmoezenier, parochievicaris</v>
      </c>
    </row>
    <row r="322">
      <c r="A322" s="2" t="s">
        <v>400</v>
      </c>
      <c r="B322" s="1" t="s">
        <v>401</v>
      </c>
      <c r="C322" s="2" t="s">
        <v>126</v>
      </c>
      <c r="D322" s="1" t="s">
        <v>127</v>
      </c>
      <c r="E322" s="2" t="s">
        <v>402</v>
      </c>
      <c r="F322" s="3" t="s">
        <v>1111</v>
      </c>
      <c r="G322" s="3" t="str">
        <f>IFERROR(__xludf.DUMMYFUNCTION("JOIN("", "", FILTER($D321:D1989, $B321:B1989 = F322))"),"advocaat")</f>
        <v>advocaat</v>
      </c>
    </row>
    <row r="323">
      <c r="A323" s="2" t="s">
        <v>409</v>
      </c>
      <c r="B323" s="1" t="s">
        <v>410</v>
      </c>
      <c r="C323" s="2" t="s">
        <v>49</v>
      </c>
      <c r="D323" s="1" t="s">
        <v>50</v>
      </c>
      <c r="E323" s="2" t="s">
        <v>411</v>
      </c>
      <c r="F323" s="3" t="s">
        <v>1113</v>
      </c>
      <c r="G323" s="3" t="str">
        <f>IFERROR(__xludf.DUMMYFUNCTION("JOIN("", "", FILTER($D322:D1989, $B322:B1989 = F323))"),"non, overste")</f>
        <v>non, overste</v>
      </c>
    </row>
    <row r="324">
      <c r="A324" s="2" t="s">
        <v>416</v>
      </c>
      <c r="B324" s="1" t="s">
        <v>417</v>
      </c>
      <c r="C324" s="2" t="s">
        <v>41</v>
      </c>
      <c r="D324" s="1" t="s">
        <v>42</v>
      </c>
      <c r="E324" s="2" t="s">
        <v>418</v>
      </c>
      <c r="F324" s="3" t="s">
        <v>1117</v>
      </c>
      <c r="G324" s="3" t="str">
        <f>IFERROR(__xludf.DUMMYFUNCTION("JOIN("", "", FILTER($D323:D1989, $B323:B1989 = F324))"),"priester")</f>
        <v>priester</v>
      </c>
    </row>
    <row r="325">
      <c r="A325" s="2" t="s">
        <v>372</v>
      </c>
      <c r="B325" s="1" t="s">
        <v>373</v>
      </c>
      <c r="C325" s="2" t="s">
        <v>370</v>
      </c>
      <c r="D325" s="1" t="s">
        <v>371</v>
      </c>
      <c r="E325" s="2" t="s">
        <v>374</v>
      </c>
      <c r="F325" s="3" t="s">
        <v>1119</v>
      </c>
      <c r="G325" s="3" t="str">
        <f>IFERROR(__xludf.DUMMYFUNCTION("JOIN("", "", FILTER($D324:D1989, $B324:B1989 = F325))"),"non")</f>
        <v>non</v>
      </c>
    </row>
    <row r="326">
      <c r="A326" s="2" t="s">
        <v>375</v>
      </c>
      <c r="B326" s="1" t="s">
        <v>376</v>
      </c>
      <c r="C326" s="2" t="s">
        <v>49</v>
      </c>
      <c r="D326" s="1" t="s">
        <v>50</v>
      </c>
      <c r="E326" s="2" t="s">
        <v>379</v>
      </c>
      <c r="F326" s="3" t="s">
        <v>1123</v>
      </c>
      <c r="G326" s="3" t="str">
        <f>IFERROR(__xludf.DUMMYFUNCTION("JOIN("", "", FILTER($D325:D1989, $B325:B1989 = F326))"),"pastoor, katholiek priester, parochievicaris, leerkracht")</f>
        <v>pastoor, katholiek priester, parochievicaris, leerkracht</v>
      </c>
    </row>
    <row r="327">
      <c r="A327" s="2" t="s">
        <v>416</v>
      </c>
      <c r="B327" s="1" t="s">
        <v>417</v>
      </c>
      <c r="C327" s="2" t="s">
        <v>12</v>
      </c>
      <c r="D327" s="1" t="s">
        <v>13</v>
      </c>
      <c r="E327" s="2" t="s">
        <v>418</v>
      </c>
      <c r="F327" s="3" t="s">
        <v>1125</v>
      </c>
      <c r="G327" s="3" t="str">
        <f>IFERROR(__xludf.DUMMYFUNCTION("JOIN("", "", FILTER($D326:D1989, $B326:B1989 = F327))"),"")</f>
        <v/>
      </c>
    </row>
    <row r="328">
      <c r="A328" s="2" t="s">
        <v>390</v>
      </c>
      <c r="B328" s="1" t="s">
        <v>391</v>
      </c>
      <c r="C328" s="2" t="s">
        <v>377</v>
      </c>
      <c r="D328" s="1" t="s">
        <v>378</v>
      </c>
      <c r="E328" s="2" t="s">
        <v>392</v>
      </c>
      <c r="F328" s="3" t="s">
        <v>1127</v>
      </c>
      <c r="G328" s="3" t="str">
        <f>IFERROR(__xludf.DUMMYFUNCTION("JOIN("", "", FILTER($D327:D1989, $B327:B1989 = F328))"),"coadjutor")</f>
        <v>coadjutor</v>
      </c>
    </row>
    <row r="329">
      <c r="A329" s="2" t="s">
        <v>419</v>
      </c>
      <c r="B329" s="1" t="s">
        <v>420</v>
      </c>
      <c r="C329" s="2" t="s">
        <v>12</v>
      </c>
      <c r="D329" s="1" t="s">
        <v>13</v>
      </c>
      <c r="F329" s="3" t="s">
        <v>1129</v>
      </c>
      <c r="G329" s="3" t="str">
        <f>IFERROR(__xludf.DUMMYFUNCTION("JOIN("", "", FILTER($D328:D1989, $B328:B1989 = F329))"),"pastoor, missionaris, katholiek priester, leerkracht, assistent")</f>
        <v>pastoor, missionaris, katholiek priester, leerkracht, assistent</v>
      </c>
    </row>
    <row r="330">
      <c r="A330" s="2" t="s">
        <v>419</v>
      </c>
      <c r="B330" s="1" t="s">
        <v>420</v>
      </c>
      <c r="C330" s="2" t="s">
        <v>77</v>
      </c>
      <c r="D330" s="1" t="s">
        <v>78</v>
      </c>
      <c r="F330" s="3" t="s">
        <v>1131</v>
      </c>
      <c r="G330" s="3" t="str">
        <f>IFERROR(__xludf.DUMMYFUNCTION("JOIN("", "", FILTER($D329:D1989, $B329:B1989 = F330))"),"coadjutor, deservitor, pastoor, opvoeder, parochievicaris, priester")</f>
        <v>coadjutor, deservitor, pastoor, opvoeder, parochievicaris, priester</v>
      </c>
    </row>
    <row r="331">
      <c r="A331" s="2" t="s">
        <v>419</v>
      </c>
      <c r="B331" s="1" t="s">
        <v>420</v>
      </c>
      <c r="C331" s="2" t="s">
        <v>180</v>
      </c>
      <c r="D331" s="1" t="s">
        <v>181</v>
      </c>
      <c r="F331" s="3" t="s">
        <v>1133</v>
      </c>
      <c r="G331" s="3" t="str">
        <f>IFERROR(__xludf.DUMMYFUNCTION("JOIN("", "", FILTER($D330:D1989, $B330:B1989 = F331))"),"katholiek priester, leerkracht, parochievicaris, pater")</f>
        <v>katholiek priester, leerkracht, parochievicaris, pater</v>
      </c>
    </row>
    <row r="332">
      <c r="A332" s="2" t="s">
        <v>375</v>
      </c>
      <c r="B332" s="1" t="s">
        <v>376</v>
      </c>
      <c r="C332" s="2" t="s">
        <v>99</v>
      </c>
      <c r="D332" s="1" t="s">
        <v>100</v>
      </c>
      <c r="E332" s="2" t="s">
        <v>379</v>
      </c>
      <c r="F332" s="3" t="s">
        <v>1135</v>
      </c>
      <c r="G332" s="3" t="str">
        <f>IFERROR(__xludf.DUMMYFUNCTION("JOIN("", "", FILTER($D331:D1989, $B331:B1989 = F332))"),"pastoor, rector, katholiek priester, leerkracht")</f>
        <v>pastoor, rector, katholiek priester, leerkracht</v>
      </c>
    </row>
    <row r="333">
      <c r="A333" s="2" t="s">
        <v>416</v>
      </c>
      <c r="B333" s="1" t="s">
        <v>417</v>
      </c>
      <c r="C333" s="2" t="s">
        <v>49</v>
      </c>
      <c r="D333" s="1" t="s">
        <v>50</v>
      </c>
      <c r="E333" s="2" t="s">
        <v>418</v>
      </c>
      <c r="F333" s="3" t="s">
        <v>1137</v>
      </c>
      <c r="G333" s="3" t="str">
        <f>IFERROR(__xludf.DUMMYFUNCTION("JOIN("", "", FILTER($D332:D1989, $B332:B1989 = F333))"),"katholiek priester, parochievicaris, pater")</f>
        <v>katholiek priester, parochievicaris, pater</v>
      </c>
    </row>
    <row r="334">
      <c r="A334" s="2" t="s">
        <v>375</v>
      </c>
      <c r="B334" s="1" t="s">
        <v>376</v>
      </c>
      <c r="C334" s="2" t="s">
        <v>254</v>
      </c>
      <c r="D334" s="1" t="s">
        <v>255</v>
      </c>
      <c r="E334" s="2" t="s">
        <v>379</v>
      </c>
      <c r="F334" s="3" t="s">
        <v>1139</v>
      </c>
      <c r="G334" s="3" t="str">
        <f>IFERROR(__xludf.DUMMYFUNCTION("JOIN("", "", FILTER($D333:D1989, $B333:B1989 = F334))"),"missionaris, pater, priester")</f>
        <v>missionaris, pater, priester</v>
      </c>
    </row>
    <row r="335">
      <c r="A335" s="2" t="s">
        <v>375</v>
      </c>
      <c r="B335" s="1" t="s">
        <v>376</v>
      </c>
      <c r="C335" s="2" t="s">
        <v>421</v>
      </c>
      <c r="D335" s="1" t="s">
        <v>422</v>
      </c>
      <c r="E335" s="2" t="s">
        <v>379</v>
      </c>
      <c r="F335" s="3" t="s">
        <v>1141</v>
      </c>
      <c r="G335" s="3" t="str">
        <f>IFERROR(__xludf.DUMMYFUNCTION("JOIN("", "", FILTER($D334:D1989, $B334:B1989 = F335))"),"pastoor, katholiek priester, leerkracht, parochievicaris")</f>
        <v>pastoor, katholiek priester, leerkracht, parochievicaris</v>
      </c>
    </row>
    <row r="336">
      <c r="A336" s="2" t="s">
        <v>400</v>
      </c>
      <c r="B336" s="1" t="s">
        <v>401</v>
      </c>
      <c r="C336" s="2" t="s">
        <v>25</v>
      </c>
      <c r="D336" s="1" t="s">
        <v>26</v>
      </c>
      <c r="E336" s="2" t="s">
        <v>402</v>
      </c>
      <c r="F336" s="3" t="s">
        <v>1143</v>
      </c>
      <c r="G336" s="3" t="str">
        <f>IFERROR(__xludf.DUMMYFUNCTION("JOIN("", "", FILTER($D335:D1989, $B335:B1989 = F336))"),"pastoor-deken, missionaris, deken, leerkracht, kanunnik, priester")</f>
        <v>pastoor-deken, missionaris, deken, leerkracht, kanunnik, priester</v>
      </c>
    </row>
    <row r="337">
      <c r="A337" s="2" t="s">
        <v>385</v>
      </c>
      <c r="B337" s="1" t="s">
        <v>386</v>
      </c>
      <c r="C337" s="2" t="s">
        <v>56</v>
      </c>
      <c r="D337" s="1" t="s">
        <v>57</v>
      </c>
      <c r="E337" s="2" t="s">
        <v>389</v>
      </c>
      <c r="F337" s="3" t="s">
        <v>1145</v>
      </c>
      <c r="G337" s="3" t="str">
        <f>IFERROR(__xludf.DUMMYFUNCTION("JOIN("", "", FILTER($D336:D1989, $B336:B1989 = F337))"),"pastoor, rector, leerkracht, priester, geestelijk leidsman")</f>
        <v>pastoor, rector, leerkracht, priester, geestelijk leidsman</v>
      </c>
    </row>
    <row r="338">
      <c r="A338" s="2" t="s">
        <v>409</v>
      </c>
      <c r="B338" s="1" t="s">
        <v>410</v>
      </c>
      <c r="C338" s="2" t="s">
        <v>133</v>
      </c>
      <c r="D338" s="1" t="s">
        <v>134</v>
      </c>
      <c r="E338" s="2" t="s">
        <v>411</v>
      </c>
      <c r="F338" s="3" t="s">
        <v>1147</v>
      </c>
      <c r="G338" s="3" t="str">
        <f>IFERROR(__xludf.DUMMYFUNCTION("JOIN("", "", FILTER($D337:D1989, $B337:B1989 = F338))"),"coadjutor, katholiek priester, parochievicaris, geestelijk leidsman")</f>
        <v>coadjutor, katholiek priester, parochievicaris, geestelijk leidsman</v>
      </c>
    </row>
    <row r="339">
      <c r="A339" s="2" t="s">
        <v>423</v>
      </c>
      <c r="B339" s="1" t="s">
        <v>424</v>
      </c>
      <c r="C339" s="2" t="s">
        <v>56</v>
      </c>
      <c r="D339" s="1" t="s">
        <v>57</v>
      </c>
      <c r="E339" s="2" t="s">
        <v>425</v>
      </c>
      <c r="F339" s="3" t="s">
        <v>1149</v>
      </c>
      <c r="G339" s="3" t="str">
        <f>IFERROR(__xludf.DUMMYFUNCTION("JOIN("", "", FILTER($D338:D1989, $B338:B1989 = F339))"),"pastoor-deken, pastoor, historicus, katholiek priester, leerkracht, biograaf, schoolopziener, schrijver")</f>
        <v>pastoor-deken, pastoor, historicus, katholiek priester, leerkracht, biograaf, schoolopziener, schrijver</v>
      </c>
    </row>
    <row r="340">
      <c r="A340" s="2" t="s">
        <v>375</v>
      </c>
      <c r="B340" s="1" t="s">
        <v>376</v>
      </c>
      <c r="C340" s="2" t="s">
        <v>128</v>
      </c>
      <c r="D340" s="1" t="s">
        <v>129</v>
      </c>
      <c r="E340" s="2" t="s">
        <v>379</v>
      </c>
      <c r="F340" s="3" t="s">
        <v>1151</v>
      </c>
      <c r="G340" s="3" t="str">
        <f>IFERROR(__xludf.DUMMYFUNCTION("JOIN("", "", FILTER($D339:D1989, $B339:B1989 = F340))"),"studiemeester, pastoor, rector, katholiek priester, leerkracht")</f>
        <v>studiemeester, pastoor, rector, katholiek priester, leerkracht</v>
      </c>
    </row>
    <row r="341">
      <c r="A341" s="2" t="s">
        <v>426</v>
      </c>
      <c r="B341" s="1" t="s">
        <v>427</v>
      </c>
      <c r="C341" s="2" t="s">
        <v>12</v>
      </c>
      <c r="D341" s="1" t="s">
        <v>13</v>
      </c>
      <c r="F341" s="3" t="s">
        <v>1153</v>
      </c>
      <c r="G341" s="3" t="str">
        <f>IFERROR(__xludf.DUMMYFUNCTION("JOIN("", "", FILTER($D340:D1989, $B340:B1989 = F341))"),"directeur, docent, leerkracht, rooms-katholiek priester, pater, prior")</f>
        <v>directeur, docent, leerkracht, rooms-katholiek priester, pater, prior</v>
      </c>
    </row>
    <row r="342">
      <c r="A342" s="2" t="s">
        <v>426</v>
      </c>
      <c r="B342" s="1" t="s">
        <v>427</v>
      </c>
      <c r="C342" s="2" t="s">
        <v>405</v>
      </c>
      <c r="D342" s="1" t="s">
        <v>406</v>
      </c>
      <c r="F342" s="3" t="s">
        <v>1155</v>
      </c>
      <c r="G342" s="3" t="str">
        <f>IFERROR(__xludf.DUMMYFUNCTION("JOIN("", "", FILTER($D341:D1989, $B341:B1989 = F342))"),"professor, pastoor, katholiek priester, parochievicaris")</f>
        <v>professor, pastoor, katholiek priester, parochievicaris</v>
      </c>
    </row>
    <row r="343">
      <c r="A343" s="2" t="s">
        <v>426</v>
      </c>
      <c r="B343" s="1" t="s">
        <v>427</v>
      </c>
      <c r="C343" s="2" t="s">
        <v>128</v>
      </c>
      <c r="D343" s="1" t="s">
        <v>129</v>
      </c>
      <c r="F343" s="3" t="s">
        <v>1159</v>
      </c>
      <c r="G343" s="3" t="str">
        <f>IFERROR(__xludf.DUMMYFUNCTION("JOIN("", "", FILTER($D342:D1989, $B342:B1989 = F343))"),"parochievicaris")</f>
        <v>parochievicaris</v>
      </c>
    </row>
    <row r="344">
      <c r="A344" s="2" t="s">
        <v>428</v>
      </c>
      <c r="B344" s="1" t="s">
        <v>429</v>
      </c>
      <c r="C344" s="2" t="s">
        <v>12</v>
      </c>
      <c r="D344" s="1" t="s">
        <v>13</v>
      </c>
      <c r="E344" s="2" t="s">
        <v>430</v>
      </c>
      <c r="F344" s="3" t="s">
        <v>1161</v>
      </c>
      <c r="G344" s="3" t="str">
        <f>IFERROR(__xludf.DUMMYFUNCTION("JOIN("", "", FILTER($D343:D1989, $B343:B1989 = F344))"),"bestuurder, katholiek priester, leerkracht, parochievicaris")</f>
        <v>bestuurder, katholiek priester, leerkracht, parochievicaris</v>
      </c>
    </row>
    <row r="345">
      <c r="A345" s="2" t="s">
        <v>409</v>
      </c>
      <c r="B345" s="1" t="s">
        <v>410</v>
      </c>
      <c r="C345" s="2" t="s">
        <v>43</v>
      </c>
      <c r="D345" s="1" t="s">
        <v>44</v>
      </c>
      <c r="E345" s="2" t="s">
        <v>411</v>
      </c>
      <c r="F345" s="3" t="s">
        <v>1163</v>
      </c>
      <c r="G345" s="3" t="str">
        <f>IFERROR(__xludf.DUMMYFUNCTION("JOIN("", "", FILTER($D344:D1989, $B344:B1989 = F345))"),"pastoor, katholiek priester, leerkracht, adjunct-directeur")</f>
        <v>pastoor, katholiek priester, leerkracht, adjunct-directeur</v>
      </c>
    </row>
    <row r="346">
      <c r="A346" s="2" t="s">
        <v>426</v>
      </c>
      <c r="B346" s="1" t="s">
        <v>427</v>
      </c>
      <c r="C346" s="2" t="s">
        <v>139</v>
      </c>
      <c r="D346" s="1" t="s">
        <v>140</v>
      </c>
      <c r="F346" s="3" t="s">
        <v>1165</v>
      </c>
      <c r="G346" s="3" t="str">
        <f>IFERROR(__xludf.DUMMYFUNCTION("JOIN("", "", FILTER($D345:D1989, $B345:B1989 = F346))"),"katholiek priester, leerkracht, parochievicaris, proost")</f>
        <v>katholiek priester, leerkracht, parochievicaris, proost</v>
      </c>
    </row>
    <row r="347">
      <c r="A347" s="2" t="s">
        <v>385</v>
      </c>
      <c r="B347" s="1" t="s">
        <v>386</v>
      </c>
      <c r="C347" s="2" t="s">
        <v>431</v>
      </c>
      <c r="D347" s="1" t="s">
        <v>432</v>
      </c>
      <c r="E347" s="2" t="s">
        <v>389</v>
      </c>
      <c r="F347" s="3" t="s">
        <v>1167</v>
      </c>
      <c r="G347" s="3" t="str">
        <f>IFERROR(__xludf.DUMMYFUNCTION("JOIN("", "", FILTER($D346:D1989, $B346:B1989 = F347))"),"pastoor, katholiek priester, leerkracht, parochievicaris")</f>
        <v>pastoor, katholiek priester, leerkracht, parochievicaris</v>
      </c>
    </row>
    <row r="348">
      <c r="A348" s="2" t="s">
        <v>368</v>
      </c>
      <c r="B348" s="1" t="s">
        <v>369</v>
      </c>
      <c r="C348" s="2" t="s">
        <v>41</v>
      </c>
      <c r="D348" s="1" t="s">
        <v>42</v>
      </c>
      <c r="F348" s="3" t="s">
        <v>1169</v>
      </c>
      <c r="G348" s="3" t="str">
        <f>IFERROR(__xludf.DUMMYFUNCTION("JOIN("", "", FILTER($D347:D1989, $B347:B1989 = F348))"),"missionaris, parochievicaris, priester")</f>
        <v>missionaris, parochievicaris, priester</v>
      </c>
    </row>
    <row r="349">
      <c r="A349" s="2" t="s">
        <v>368</v>
      </c>
      <c r="B349" s="1" t="s">
        <v>369</v>
      </c>
      <c r="C349" s="2" t="s">
        <v>43</v>
      </c>
      <c r="D349" s="1" t="s">
        <v>44</v>
      </c>
      <c r="F349" s="3" t="s">
        <v>1173</v>
      </c>
      <c r="G349" s="3" t="str">
        <f>IFERROR(__xludf.DUMMYFUNCTION("JOIN("", "", FILTER($D348:D1989, $B348:B1989 = F349))"),"coadjutor, pastoor, directeur, katholiek priester, leerkracht")</f>
        <v>coadjutor, pastoor, directeur, katholiek priester, leerkracht</v>
      </c>
    </row>
    <row r="350">
      <c r="A350" s="2" t="s">
        <v>385</v>
      </c>
      <c r="B350" s="1" t="s">
        <v>386</v>
      </c>
      <c r="C350" s="2" t="s">
        <v>216</v>
      </c>
      <c r="D350" s="1" t="s">
        <v>217</v>
      </c>
      <c r="E350" s="2" t="s">
        <v>389</v>
      </c>
      <c r="F350" s="3" t="s">
        <v>1175</v>
      </c>
      <c r="G350" s="3" t="str">
        <f>IFERROR(__xludf.DUMMYFUNCTION("JOIN("", "", FILTER($D349:D1989, $B349:B1989 = F350))"),"pater")</f>
        <v>pater</v>
      </c>
    </row>
    <row r="351">
      <c r="A351" s="2" t="s">
        <v>409</v>
      </c>
      <c r="B351" s="1" t="s">
        <v>410</v>
      </c>
      <c r="C351" s="2" t="s">
        <v>22</v>
      </c>
      <c r="D351" s="1" t="s">
        <v>23</v>
      </c>
      <c r="E351" s="2" t="s">
        <v>411</v>
      </c>
      <c r="F351" s="3" t="s">
        <v>1177</v>
      </c>
      <c r="G351" s="3" t="str">
        <f>IFERROR(__xludf.DUMMYFUNCTION("JOIN("", "", FILTER($D350:D1989, $B350:B1989 = F351))"),"missionaris, pater, katholiek priester, overste, parochievicaris, financieel beheerder")</f>
        <v>missionaris, pater, katholiek priester, overste, parochievicaris, financieel beheerder</v>
      </c>
    </row>
    <row r="352">
      <c r="A352" s="2" t="s">
        <v>409</v>
      </c>
      <c r="B352" s="1" t="s">
        <v>410</v>
      </c>
      <c r="C352" s="2" t="s">
        <v>25</v>
      </c>
      <c r="D352" s="1" t="s">
        <v>26</v>
      </c>
      <c r="E352" s="2" t="s">
        <v>411</v>
      </c>
      <c r="F352" s="3" t="s">
        <v>1179</v>
      </c>
      <c r="G352" s="3" t="str">
        <f>IFERROR(__xludf.DUMMYFUNCTION("JOIN("", "", FILTER($D351:D1989, $B351:B1989 = F352))"),"")</f>
        <v/>
      </c>
    </row>
    <row r="353">
      <c r="A353" s="2" t="s">
        <v>375</v>
      </c>
      <c r="B353" s="1" t="s">
        <v>376</v>
      </c>
      <c r="C353" s="2" t="s">
        <v>22</v>
      </c>
      <c r="D353" s="1" t="s">
        <v>23</v>
      </c>
      <c r="E353" s="2" t="s">
        <v>379</v>
      </c>
      <c r="F353" s="3" t="s">
        <v>1181</v>
      </c>
      <c r="G353" s="3" t="str">
        <f>IFERROR(__xludf.DUMMYFUNCTION("JOIN("", "", FILTER($D352:D1989, $B352:B1989 = F353))"),"")</f>
        <v/>
      </c>
    </row>
    <row r="354">
      <c r="A354" s="2" t="s">
        <v>416</v>
      </c>
      <c r="B354" s="1" t="s">
        <v>417</v>
      </c>
      <c r="C354" s="2" t="s">
        <v>133</v>
      </c>
      <c r="D354" s="1" t="s">
        <v>134</v>
      </c>
      <c r="E354" s="2" t="s">
        <v>418</v>
      </c>
      <c r="F354" s="3" t="s">
        <v>1183</v>
      </c>
      <c r="G354" s="3" t="str">
        <f>IFERROR(__xludf.DUMMYFUNCTION("JOIN("", "", FILTER($D353:D1989, $B353:B1989 = F354))"),"")</f>
        <v/>
      </c>
    </row>
    <row r="355">
      <c r="A355" s="2" t="s">
        <v>368</v>
      </c>
      <c r="B355" s="1" t="s">
        <v>369</v>
      </c>
      <c r="C355" s="2" t="s">
        <v>49</v>
      </c>
      <c r="D355" s="1" t="s">
        <v>50</v>
      </c>
      <c r="F355" s="3" t="s">
        <v>1185</v>
      </c>
      <c r="G355" s="3" t="str">
        <f>IFERROR(__xludf.DUMMYFUNCTION("JOIN("", "", FILTER($D354:D1989, $B354:B1989 = F355))"),"")</f>
        <v/>
      </c>
    </row>
    <row r="356">
      <c r="A356" s="2" t="s">
        <v>416</v>
      </c>
      <c r="B356" s="1" t="s">
        <v>417</v>
      </c>
      <c r="C356" s="2" t="s">
        <v>225</v>
      </c>
      <c r="D356" s="1" t="s">
        <v>226</v>
      </c>
      <c r="E356" s="2" t="s">
        <v>418</v>
      </c>
      <c r="F356" s="3" t="s">
        <v>1187</v>
      </c>
      <c r="G356" s="3" t="str">
        <f>IFERROR(__xludf.DUMMYFUNCTION("JOIN("", "", FILTER($D355:D1989, $B355:B1989 = F356))"),"")</f>
        <v/>
      </c>
    </row>
    <row r="357">
      <c r="A357" s="2" t="s">
        <v>385</v>
      </c>
      <c r="B357" s="1" t="s">
        <v>386</v>
      </c>
      <c r="C357" s="2" t="s">
        <v>133</v>
      </c>
      <c r="D357" s="1" t="s">
        <v>134</v>
      </c>
      <c r="E357" s="2" t="s">
        <v>389</v>
      </c>
      <c r="F357" s="3" t="s">
        <v>1189</v>
      </c>
      <c r="G357" s="3" t="str">
        <f>IFERROR(__xludf.DUMMYFUNCTION("JOIN("", "", FILTER($D356:D1989, $B356:B1989 = F357))"),"")</f>
        <v/>
      </c>
    </row>
    <row r="358">
      <c r="A358" s="2" t="s">
        <v>385</v>
      </c>
      <c r="B358" s="1" t="s">
        <v>386</v>
      </c>
      <c r="C358" s="2" t="s">
        <v>43</v>
      </c>
      <c r="D358" s="1" t="s">
        <v>44</v>
      </c>
      <c r="E358" s="2" t="s">
        <v>389</v>
      </c>
      <c r="F358" s="3" t="s">
        <v>1191</v>
      </c>
      <c r="G358" s="3" t="str">
        <f>IFERROR(__xludf.DUMMYFUNCTION("JOIN("", "", FILTER($D357:D1989, $B357:B1989 = F358))"),"naaier, handelaar, arbeider, dienstmeid")</f>
        <v>naaier, handelaar, arbeider, dienstmeid</v>
      </c>
    </row>
    <row r="359">
      <c r="A359" s="2" t="s">
        <v>423</v>
      </c>
      <c r="B359" s="1" t="s">
        <v>424</v>
      </c>
      <c r="C359" s="2" t="s">
        <v>43</v>
      </c>
      <c r="D359" s="1" t="s">
        <v>44</v>
      </c>
      <c r="E359" s="2" t="s">
        <v>425</v>
      </c>
      <c r="F359" s="3" t="s">
        <v>1193</v>
      </c>
      <c r="G359" s="3" t="str">
        <f>IFERROR(__xludf.DUMMYFUNCTION("JOIN("", "", FILTER($D358:D1989, $B358:B1989 = F359))"),"huisvrouw")</f>
        <v>huisvrouw</v>
      </c>
    </row>
    <row r="360">
      <c r="A360" s="2" t="s">
        <v>416</v>
      </c>
      <c r="B360" s="1" t="s">
        <v>417</v>
      </c>
      <c r="C360" s="2" t="s">
        <v>433</v>
      </c>
      <c r="D360" s="1" t="s">
        <v>434</v>
      </c>
      <c r="E360" s="2" t="s">
        <v>418</v>
      </c>
      <c r="F360" s="3" t="s">
        <v>1195</v>
      </c>
      <c r="G360" s="3" t="str">
        <f>IFERROR(__xludf.DUMMYFUNCTION("JOIN("", "", FILTER($D359:D1989, $B359:B1989 = F360))"),"priester")</f>
        <v>priester</v>
      </c>
    </row>
    <row r="361">
      <c r="A361" s="2" t="s">
        <v>416</v>
      </c>
      <c r="B361" s="1" t="s">
        <v>417</v>
      </c>
      <c r="C361" s="2" t="s">
        <v>22</v>
      </c>
      <c r="D361" s="1" t="s">
        <v>23</v>
      </c>
      <c r="E361" s="2" t="s">
        <v>418</v>
      </c>
      <c r="F361" s="3" t="s">
        <v>1197</v>
      </c>
      <c r="G361" s="3" t="str">
        <f>IFERROR(__xludf.DUMMYFUNCTION("JOIN("", "", FILTER($D360:D1989, $B360:B1989 = F361))"),"politicus, handelaar")</f>
        <v>politicus, handelaar</v>
      </c>
    </row>
    <row r="362">
      <c r="A362" s="2" t="s">
        <v>382</v>
      </c>
      <c r="B362" s="1" t="s">
        <v>383</v>
      </c>
      <c r="C362" s="2" t="s">
        <v>435</v>
      </c>
      <c r="D362" s="1" t="s">
        <v>436</v>
      </c>
      <c r="E362" s="2" t="s">
        <v>384</v>
      </c>
      <c r="F362" s="3" t="s">
        <v>1199</v>
      </c>
      <c r="G362" s="3" t="str">
        <f>IFERROR(__xludf.DUMMYFUNCTION("JOIN("", "", FILTER($D361:D1989, $B361:B1989 = F362))"),"pastoor, katholiek priester, aalmoezenier, parochievicaris")</f>
        <v>pastoor, katholiek priester, aalmoezenier, parochievicaris</v>
      </c>
    </row>
    <row r="363">
      <c r="A363" s="2" t="s">
        <v>437</v>
      </c>
      <c r="B363" s="1" t="s">
        <v>438</v>
      </c>
      <c r="C363" s="2" t="s">
        <v>77</v>
      </c>
      <c r="D363" s="1" t="s">
        <v>78</v>
      </c>
      <c r="F363" s="3" t="s">
        <v>1201</v>
      </c>
      <c r="G363" s="3" t="str">
        <f>IFERROR(__xludf.DUMMYFUNCTION("JOIN("", "", FILTER($D362:D1989, $B362:B1989 = F363))"),"magistraat")</f>
        <v>magistraat</v>
      </c>
    </row>
    <row r="364">
      <c r="A364" s="2" t="s">
        <v>437</v>
      </c>
      <c r="B364" s="1" t="s">
        <v>438</v>
      </c>
      <c r="C364" s="2" t="s">
        <v>133</v>
      </c>
      <c r="D364" s="1" t="s">
        <v>134</v>
      </c>
      <c r="F364" s="3" t="s">
        <v>1203</v>
      </c>
      <c r="G364" s="3" t="str">
        <f>IFERROR(__xludf.DUMMYFUNCTION("JOIN("", "", FILTER($D363:D1989, $B363:B1989 = F364))"),"dienstmeid")</f>
        <v>dienstmeid</v>
      </c>
    </row>
    <row r="365">
      <c r="A365" s="2" t="s">
        <v>437</v>
      </c>
      <c r="B365" s="1" t="s">
        <v>438</v>
      </c>
      <c r="C365" s="2" t="s">
        <v>43</v>
      </c>
      <c r="D365" s="1" t="s">
        <v>44</v>
      </c>
      <c r="F365" s="3" t="s">
        <v>1205</v>
      </c>
      <c r="G365" s="3" t="str">
        <f>IFERROR(__xludf.DUMMYFUNCTION("JOIN("", "", FILTER($D364:D1989, $B364:B1989 = F365))"),"rentenier")</f>
        <v>rentenier</v>
      </c>
    </row>
    <row r="366">
      <c r="A366" s="2" t="s">
        <v>428</v>
      </c>
      <c r="B366" s="1" t="s">
        <v>429</v>
      </c>
      <c r="C366" s="2" t="s">
        <v>439</v>
      </c>
      <c r="D366" s="1" t="s">
        <v>440</v>
      </c>
      <c r="E366" s="2" t="s">
        <v>430</v>
      </c>
      <c r="F366" s="3" t="s">
        <v>1207</v>
      </c>
      <c r="G366" s="3" t="str">
        <f>IFERROR(__xludf.DUMMYFUNCTION("JOIN("", "", FILTER($D365:D1989, $B365:B1989 = F366))"),"katholiek priester, overste, oblaat")</f>
        <v>katholiek priester, overste, oblaat</v>
      </c>
    </row>
    <row r="367">
      <c r="A367" s="2" t="s">
        <v>382</v>
      </c>
      <c r="B367" s="1" t="s">
        <v>383</v>
      </c>
      <c r="C367" s="2" t="s">
        <v>116</v>
      </c>
      <c r="D367" s="1" t="s">
        <v>117</v>
      </c>
      <c r="E367" s="2" t="s">
        <v>384</v>
      </c>
      <c r="F367" s="3" t="s">
        <v>1209</v>
      </c>
      <c r="G367" s="3" t="str">
        <f>IFERROR(__xludf.DUMMYFUNCTION("JOIN("", "", FILTER($D366:D1989, $B366:B1989 = F367))"),"pastoor-deken, pastoor, katholiek priester")</f>
        <v>pastoor-deken, pastoor, katholiek priester</v>
      </c>
    </row>
    <row r="368">
      <c r="A368" s="2" t="s">
        <v>437</v>
      </c>
      <c r="B368" s="1" t="s">
        <v>438</v>
      </c>
      <c r="C368" s="2" t="s">
        <v>49</v>
      </c>
      <c r="D368" s="1" t="s">
        <v>50</v>
      </c>
      <c r="F368" s="3" t="s">
        <v>1211</v>
      </c>
      <c r="G368" s="3" t="str">
        <f>IFERROR(__xludf.DUMMYFUNCTION("JOIN("", "", FILTER($D367:D1989, $B367:B1989 = F368))"),"onderwijzer, non, overste")</f>
        <v>onderwijzer, non, overste</v>
      </c>
    </row>
    <row r="369">
      <c r="A369" s="2" t="s">
        <v>390</v>
      </c>
      <c r="B369" s="1" t="s">
        <v>391</v>
      </c>
      <c r="C369" s="2" t="s">
        <v>99</v>
      </c>
      <c r="D369" s="1" t="s">
        <v>100</v>
      </c>
      <c r="E369" s="2" t="s">
        <v>392</v>
      </c>
      <c r="F369" s="3" t="s">
        <v>1215</v>
      </c>
      <c r="G369" s="3" t="str">
        <f>IFERROR(__xludf.DUMMYFUNCTION("JOIN("", "", FILTER($D368:D1989, $B368:B1989 = F369))"),"soldaat, textielhandelaar")</f>
        <v>soldaat, textielhandelaar</v>
      </c>
    </row>
    <row r="370">
      <c r="A370" s="2" t="s">
        <v>368</v>
      </c>
      <c r="B370" s="1" t="s">
        <v>369</v>
      </c>
      <c r="C370" s="2" t="s">
        <v>69</v>
      </c>
      <c r="D370" s="1" t="s">
        <v>70</v>
      </c>
      <c r="F370" s="3" t="s">
        <v>1217</v>
      </c>
      <c r="G370" s="3" t="str">
        <f>IFERROR(__xludf.DUMMYFUNCTION("JOIN("", "", FILTER($D369:D1989, $B369:B1989 = F370))"),"")</f>
        <v/>
      </c>
    </row>
    <row r="371">
      <c r="A371" s="2" t="s">
        <v>375</v>
      </c>
      <c r="B371" s="1" t="s">
        <v>376</v>
      </c>
      <c r="C371" s="2" t="s">
        <v>180</v>
      </c>
      <c r="D371" s="1" t="s">
        <v>181</v>
      </c>
      <c r="E371" s="2" t="s">
        <v>379</v>
      </c>
      <c r="F371" s="3" t="s">
        <v>1220</v>
      </c>
      <c r="G371" s="3" t="str">
        <f>IFERROR(__xludf.DUMMYFUNCTION("JOIN("", "", FILTER($D370:D1989, $B370:B1989 = F371))"),"pastoor, bestuurder, katholiek priester, leerkracht")</f>
        <v>pastoor, bestuurder, katholiek priester, leerkracht</v>
      </c>
    </row>
    <row r="372">
      <c r="A372" s="2" t="s">
        <v>403</v>
      </c>
      <c r="B372" s="1" t="s">
        <v>404</v>
      </c>
      <c r="C372" s="2" t="s">
        <v>22</v>
      </c>
      <c r="D372" s="1" t="s">
        <v>23</v>
      </c>
      <c r="F372" s="3" t="s">
        <v>1222</v>
      </c>
      <c r="G372" s="3" t="str">
        <f>IFERROR(__xludf.DUMMYFUNCTION("JOIN("", "", FILTER($D371:D1989, $B371:B1989 = F372))"),"typograaf")</f>
        <v>typograaf</v>
      </c>
    </row>
    <row r="373">
      <c r="A373" s="2" t="s">
        <v>403</v>
      </c>
      <c r="B373" s="1" t="s">
        <v>404</v>
      </c>
      <c r="C373" s="2" t="s">
        <v>25</v>
      </c>
      <c r="D373" s="1" t="s">
        <v>26</v>
      </c>
      <c r="F373" s="3" t="s">
        <v>1226</v>
      </c>
      <c r="G373" s="3" t="str">
        <f>IFERROR(__xludf.DUMMYFUNCTION("JOIN("", "", FILTER($D372:D1989, $B372:B1989 = F373))"),"drukker")</f>
        <v>drukker</v>
      </c>
    </row>
    <row r="374">
      <c r="A374" s="2" t="s">
        <v>393</v>
      </c>
      <c r="B374" s="1" t="s">
        <v>394</v>
      </c>
      <c r="C374" s="2" t="s">
        <v>302</v>
      </c>
      <c r="D374" s="1" t="s">
        <v>303</v>
      </c>
      <c r="E374" s="2" t="s">
        <v>397</v>
      </c>
      <c r="F374" s="3" t="s">
        <v>1228</v>
      </c>
      <c r="G374" s="3" t="str">
        <f>IFERROR(__xludf.DUMMYFUNCTION("JOIN("", "", FILTER($D373:D1989, $B373:B1989 = F374))"),"onderwijzer, rector, katholiek priester, leerkracht")</f>
        <v>onderwijzer, rector, katholiek priester, leerkracht</v>
      </c>
    </row>
    <row r="375">
      <c r="A375" s="2" t="s">
        <v>437</v>
      </c>
      <c r="B375" s="1" t="s">
        <v>438</v>
      </c>
      <c r="C375" s="2" t="s">
        <v>223</v>
      </c>
      <c r="D375" s="1" t="s">
        <v>224</v>
      </c>
      <c r="F375" s="3" t="s">
        <v>1230</v>
      </c>
      <c r="G375" s="3" t="str">
        <f>IFERROR(__xludf.DUMMYFUNCTION("JOIN("", "", FILTER($D374:D1989, $B374:B1989 = F375))"),"winkelier, textielfabrikant, textielhandelaar")</f>
        <v>winkelier, textielfabrikant, textielhandelaar</v>
      </c>
    </row>
    <row r="376">
      <c r="A376" s="2" t="s">
        <v>390</v>
      </c>
      <c r="B376" s="1" t="s">
        <v>391</v>
      </c>
      <c r="C376" s="2" t="s">
        <v>22</v>
      </c>
      <c r="D376" s="1" t="s">
        <v>23</v>
      </c>
      <c r="E376" s="2" t="s">
        <v>392</v>
      </c>
      <c r="F376" s="3" t="s">
        <v>1232</v>
      </c>
      <c r="G376" s="3" t="str">
        <f>IFERROR(__xludf.DUMMYFUNCTION("JOIN("", "", FILTER($D375:D1989, $B375:B1989 = F376))"),"studiemeester, pastoraal directeur, katholiek priester, subdiaken, parochievicaris")</f>
        <v>studiemeester, pastoraal directeur, katholiek priester, subdiaken, parochievicaris</v>
      </c>
    </row>
    <row r="377">
      <c r="A377" s="2" t="s">
        <v>390</v>
      </c>
      <c r="B377" s="1" t="s">
        <v>391</v>
      </c>
      <c r="C377" s="2" t="s">
        <v>25</v>
      </c>
      <c r="D377" s="1" t="s">
        <v>26</v>
      </c>
      <c r="E377" s="2" t="s">
        <v>392</v>
      </c>
      <c r="F377" s="3" t="s">
        <v>1240</v>
      </c>
      <c r="G377" s="3" t="str">
        <f>IFERROR(__xludf.DUMMYFUNCTION("JOIN("", "", FILTER($D376:D1989, $B376:B1989 = F377))"),"non, overste")</f>
        <v>non, overste</v>
      </c>
    </row>
    <row r="378">
      <c r="A378" s="2" t="s">
        <v>419</v>
      </c>
      <c r="B378" s="1" t="s">
        <v>420</v>
      </c>
      <c r="C378" s="2" t="s">
        <v>114</v>
      </c>
      <c r="D378" s="1" t="s">
        <v>115</v>
      </c>
      <c r="F378" s="3" t="s">
        <v>1242</v>
      </c>
      <c r="G378" s="3" t="str">
        <f>IFERROR(__xludf.DUMMYFUNCTION("JOIN("", "", FILTER($D377:D1989, $B377:B1989 = F378))"),"non")</f>
        <v>non</v>
      </c>
    </row>
    <row r="379">
      <c r="A379" s="2" t="s">
        <v>428</v>
      </c>
      <c r="B379" s="1" t="s">
        <v>429</v>
      </c>
      <c r="C379" s="2" t="s">
        <v>441</v>
      </c>
      <c r="D379" s="1" t="s">
        <v>442</v>
      </c>
      <c r="E379" s="2" t="s">
        <v>430</v>
      </c>
      <c r="F379" s="3" t="s">
        <v>1246</v>
      </c>
      <c r="G379" s="3" t="str">
        <f>IFERROR(__xludf.DUMMYFUNCTION("JOIN("", "", FILTER($D378:D1989, $B378:B1989 = F379))"),"metselaar, herbergier")</f>
        <v>metselaar, herbergier</v>
      </c>
    </row>
    <row r="380">
      <c r="A380" s="2" t="s">
        <v>390</v>
      </c>
      <c r="B380" s="1" t="s">
        <v>391</v>
      </c>
      <c r="C380" s="2" t="s">
        <v>79</v>
      </c>
      <c r="D380" s="1" t="s">
        <v>80</v>
      </c>
      <c r="E380" s="2" t="s">
        <v>392</v>
      </c>
      <c r="F380" s="3" t="s">
        <v>1250</v>
      </c>
      <c r="G380" s="3" t="str">
        <f>IFERROR(__xludf.DUMMYFUNCTION("JOIN("", "", FILTER($D379:D1989, $B379:B1989 = F380))"),"non, overste")</f>
        <v>non, overste</v>
      </c>
    </row>
    <row r="381">
      <c r="A381" s="2" t="s">
        <v>416</v>
      </c>
      <c r="B381" s="1" t="s">
        <v>417</v>
      </c>
      <c r="C381" s="2" t="s">
        <v>118</v>
      </c>
      <c r="D381" s="1" t="s">
        <v>119</v>
      </c>
      <c r="E381" s="2" t="s">
        <v>418</v>
      </c>
      <c r="F381" s="3" t="s">
        <v>1252</v>
      </c>
      <c r="G381" s="3" t="str">
        <f>IFERROR(__xludf.DUMMYFUNCTION("JOIN("", "", FILTER($D380:D1989, $B380:B1989 = F381))"),"rentenier")</f>
        <v>rentenier</v>
      </c>
    </row>
    <row r="382">
      <c r="A382" s="2" t="s">
        <v>400</v>
      </c>
      <c r="B382" s="1" t="s">
        <v>401</v>
      </c>
      <c r="C382" s="2" t="s">
        <v>116</v>
      </c>
      <c r="D382" s="1" t="s">
        <v>117</v>
      </c>
      <c r="E382" s="2" t="s">
        <v>402</v>
      </c>
      <c r="F382" s="3" t="s">
        <v>1254</v>
      </c>
      <c r="G382" s="3" t="str">
        <f>IFERROR(__xludf.DUMMYFUNCTION("JOIN("", "", FILTER($D381:D1989, $B381:B1989 = F382))"),"non, overste")</f>
        <v>non, overste</v>
      </c>
    </row>
    <row r="383">
      <c r="A383" s="2" t="s">
        <v>428</v>
      </c>
      <c r="B383" s="1" t="s">
        <v>429</v>
      </c>
      <c r="C383" s="2" t="s">
        <v>443</v>
      </c>
      <c r="D383" s="1" t="s">
        <v>444</v>
      </c>
      <c r="E383" s="2" t="s">
        <v>430</v>
      </c>
      <c r="F383" s="3" t="s">
        <v>1256</v>
      </c>
      <c r="G383" s="3" t="str">
        <f>IFERROR(__xludf.DUMMYFUNCTION("JOIN("", "", FILTER($D382:D1989, $B382:B1989 = F383))"),"drukker")</f>
        <v>drukker</v>
      </c>
    </row>
    <row r="384">
      <c r="A384" s="2" t="s">
        <v>426</v>
      </c>
      <c r="B384" s="1" t="s">
        <v>427</v>
      </c>
      <c r="C384" s="2" t="s">
        <v>22</v>
      </c>
      <c r="D384" s="1" t="s">
        <v>23</v>
      </c>
      <c r="F384" s="3" t="s">
        <v>1258</v>
      </c>
      <c r="G384" s="3" t="str">
        <f>IFERROR(__xludf.DUMMYFUNCTION("JOIN("", "", FILTER($D383:D1989, $B383:B1989 = F384))"),"drukker")</f>
        <v>drukker</v>
      </c>
    </row>
    <row r="385">
      <c r="A385" s="2" t="s">
        <v>390</v>
      </c>
      <c r="B385" s="1" t="s">
        <v>391</v>
      </c>
      <c r="C385" s="2" t="s">
        <v>180</v>
      </c>
      <c r="D385" s="1" t="s">
        <v>181</v>
      </c>
      <c r="E385" s="2" t="s">
        <v>392</v>
      </c>
      <c r="F385" s="3" t="s">
        <v>1260</v>
      </c>
      <c r="G385" s="3" t="str">
        <f>IFERROR(__xludf.DUMMYFUNCTION("JOIN("", "", FILTER($D384:D1989, $B384:B1989 = F385))"),"hoofdredacteur, uitgever")</f>
        <v>hoofdredacteur, uitgever</v>
      </c>
    </row>
    <row r="386">
      <c r="A386" s="2" t="s">
        <v>445</v>
      </c>
      <c r="B386" s="1" t="s">
        <v>446</v>
      </c>
      <c r="C386" s="2" t="s">
        <v>41</v>
      </c>
      <c r="D386" s="1" t="s">
        <v>42</v>
      </c>
      <c r="F386" s="3" t="s">
        <v>1262</v>
      </c>
      <c r="G386" s="3" t="str">
        <f>IFERROR(__xludf.DUMMYFUNCTION("JOIN("", "", FILTER($D385:D1989, $B385:B1989 = F386))"),"kleermaker, kleuterleider")</f>
        <v>kleermaker, kleuterleider</v>
      </c>
    </row>
    <row r="387">
      <c r="A387" s="2" t="s">
        <v>445</v>
      </c>
      <c r="B387" s="1" t="s">
        <v>446</v>
      </c>
      <c r="C387" s="2" t="s">
        <v>84</v>
      </c>
      <c r="D387" s="1" t="s">
        <v>85</v>
      </c>
      <c r="F387" s="3" t="s">
        <v>1264</v>
      </c>
      <c r="G387" s="3" t="str">
        <f>IFERROR(__xludf.DUMMYFUNCTION("JOIN("", "", FILTER($D386:D1989, $B386:B1989 = F387))"),"griffier")</f>
        <v>griffier</v>
      </c>
    </row>
    <row r="388">
      <c r="A388" s="2" t="s">
        <v>447</v>
      </c>
      <c r="B388" s="1" t="s">
        <v>448</v>
      </c>
      <c r="C388" s="2" t="s">
        <v>449</v>
      </c>
      <c r="D388" s="1" t="s">
        <v>450</v>
      </c>
      <c r="F388" s="3" t="s">
        <v>1266</v>
      </c>
      <c r="G388" s="3" t="str">
        <f>IFERROR(__xludf.DUMMYFUNCTION("JOIN("", "", FILTER($D387:D1989, $B387:B1989 = F388))"),"katholiek priester, leerkracht, aalmoezenier, parochievicaris")</f>
        <v>katholiek priester, leerkracht, aalmoezenier, parochievicaris</v>
      </c>
    </row>
    <row r="389">
      <c r="A389" s="2" t="s">
        <v>447</v>
      </c>
      <c r="B389" s="1" t="s">
        <v>448</v>
      </c>
      <c r="C389" s="2" t="s">
        <v>35</v>
      </c>
      <c r="D389" s="1" t="s">
        <v>36</v>
      </c>
      <c r="F389" s="3" t="s">
        <v>1274</v>
      </c>
      <c r="G389" s="3" t="str">
        <f>IFERROR(__xludf.DUMMYFUNCTION("JOIN("", "", FILTER($D388:D1989, $B388:B1989 = F389))"),"winkelbediende")</f>
        <v>winkelbediende</v>
      </c>
    </row>
    <row r="390">
      <c r="A390" s="2" t="s">
        <v>445</v>
      </c>
      <c r="B390" s="1" t="s">
        <v>446</v>
      </c>
      <c r="C390" s="2" t="s">
        <v>216</v>
      </c>
      <c r="D390" s="1" t="s">
        <v>217</v>
      </c>
      <c r="F390" s="3" t="s">
        <v>1276</v>
      </c>
      <c r="G390" s="3" t="str">
        <f>IFERROR(__xludf.DUMMYFUNCTION("JOIN("", "", FILTER($D389:D1989, $B389:B1989 = F390))"),"")</f>
        <v/>
      </c>
    </row>
    <row r="391">
      <c r="A391" s="2" t="s">
        <v>451</v>
      </c>
      <c r="B391" s="1" t="s">
        <v>452</v>
      </c>
      <c r="C391" s="2" t="s">
        <v>77</v>
      </c>
      <c r="D391" s="1" t="s">
        <v>78</v>
      </c>
      <c r="E391" s="2" t="s">
        <v>453</v>
      </c>
      <c r="F391" s="3" t="s">
        <v>1278</v>
      </c>
      <c r="G391" s="3" t="str">
        <f>IFERROR(__xludf.DUMMYFUNCTION("JOIN("", "", FILTER($D390:D1989, $B390:B1989 = F391))"),"")</f>
        <v/>
      </c>
    </row>
    <row r="392">
      <c r="A392" s="2" t="s">
        <v>445</v>
      </c>
      <c r="B392" s="1" t="s">
        <v>446</v>
      </c>
      <c r="C392" s="2" t="s">
        <v>43</v>
      </c>
      <c r="D392" s="1" t="s">
        <v>44</v>
      </c>
      <c r="F392" s="3" t="s">
        <v>1280</v>
      </c>
      <c r="G392" s="3" t="str">
        <f>IFERROR(__xludf.DUMMYFUNCTION("JOIN("", "", FILTER($D391:D1989, $B391:B1989 = F392))"),"")</f>
        <v/>
      </c>
    </row>
    <row r="393">
      <c r="A393" s="2" t="s">
        <v>454</v>
      </c>
      <c r="B393" s="1" t="s">
        <v>455</v>
      </c>
      <c r="C393" s="2" t="s">
        <v>41</v>
      </c>
      <c r="D393" s="1" t="s">
        <v>42</v>
      </c>
      <c r="F393" s="3" t="s">
        <v>1282</v>
      </c>
      <c r="G393" s="3" t="str">
        <f>IFERROR(__xludf.DUMMYFUNCTION("JOIN("", "", FILTER($D392:D1989, $B392:B1989 = F393))"),"")</f>
        <v/>
      </c>
    </row>
    <row r="394">
      <c r="A394" s="2" t="s">
        <v>456</v>
      </c>
      <c r="B394" s="1" t="s">
        <v>457</v>
      </c>
      <c r="C394" s="2" t="s">
        <v>128</v>
      </c>
      <c r="D394" s="1" t="s">
        <v>129</v>
      </c>
      <c r="F394" s="3" t="s">
        <v>1284</v>
      </c>
      <c r="G394" s="3" t="str">
        <f>IFERROR(__xludf.DUMMYFUNCTION("JOIN("", "", FILTER($D393:D1989, $B393:B1989 = F394))"),"")</f>
        <v/>
      </c>
    </row>
    <row r="395">
      <c r="A395" s="2" t="s">
        <v>454</v>
      </c>
      <c r="B395" s="1" t="s">
        <v>455</v>
      </c>
      <c r="C395" s="2" t="s">
        <v>84</v>
      </c>
      <c r="D395" s="1" t="s">
        <v>85</v>
      </c>
      <c r="F395" s="3" t="s">
        <v>1286</v>
      </c>
      <c r="G395" s="3" t="str">
        <f>IFERROR(__xludf.DUMMYFUNCTION("JOIN("", "", FILTER($D394:D1989, $B394:B1989 = F395))"),"non")</f>
        <v>non</v>
      </c>
    </row>
    <row r="396">
      <c r="A396" s="2" t="s">
        <v>454</v>
      </c>
      <c r="B396" s="1" t="s">
        <v>455</v>
      </c>
      <c r="C396" s="2" t="s">
        <v>43</v>
      </c>
      <c r="D396" s="1" t="s">
        <v>44</v>
      </c>
      <c r="F396" s="3" t="s">
        <v>1288</v>
      </c>
      <c r="G396" s="3" t="str">
        <f>IFERROR(__xludf.DUMMYFUNCTION("JOIN("", "", FILTER($D395:D1989, $B395:B1989 = F396))"),"")</f>
        <v/>
      </c>
    </row>
    <row r="397">
      <c r="A397" s="2" t="s">
        <v>458</v>
      </c>
      <c r="B397" s="1" t="s">
        <v>459</v>
      </c>
      <c r="C397" s="2" t="s">
        <v>41</v>
      </c>
      <c r="D397" s="1" t="s">
        <v>42</v>
      </c>
      <c r="F397" s="3" t="s">
        <v>1290</v>
      </c>
      <c r="G397" s="3" t="str">
        <f>IFERROR(__xludf.DUMMYFUNCTION("JOIN("", "", FILTER($D396:D1989, $B396:B1989 = F397))"),"leerkracht, rector, katholiek priester")</f>
        <v>leerkracht, rector, katholiek priester</v>
      </c>
    </row>
    <row r="398">
      <c r="A398" s="2" t="s">
        <v>460</v>
      </c>
      <c r="B398" s="1" t="s">
        <v>461</v>
      </c>
      <c r="C398" s="2" t="s">
        <v>462</v>
      </c>
      <c r="D398" s="1" t="s">
        <v>463</v>
      </c>
      <c r="F398" s="3" t="s">
        <v>1292</v>
      </c>
      <c r="G398" s="3" t="str">
        <f>IFERROR(__xludf.DUMMYFUNCTION("JOIN("", "", FILTER($D397:D1989, $B397:B1989 = F398))"),"apotheker")</f>
        <v>apotheker</v>
      </c>
    </row>
    <row r="399">
      <c r="A399" s="2" t="s">
        <v>464</v>
      </c>
      <c r="B399" s="1" t="s">
        <v>465</v>
      </c>
      <c r="C399" s="2" t="s">
        <v>53</v>
      </c>
      <c r="D399" s="1" t="s">
        <v>54</v>
      </c>
      <c r="F399" s="3" t="s">
        <v>1294</v>
      </c>
      <c r="G399" s="3" t="str">
        <f>IFERROR(__xludf.DUMMYFUNCTION("JOIN("", "", FILTER($D398:D1989, $B398:B1989 = F399))"),"pater")</f>
        <v>pater</v>
      </c>
    </row>
    <row r="400">
      <c r="A400" s="2" t="s">
        <v>454</v>
      </c>
      <c r="B400" s="1" t="s">
        <v>455</v>
      </c>
      <c r="C400" s="2" t="s">
        <v>49</v>
      </c>
      <c r="D400" s="1" t="s">
        <v>50</v>
      </c>
      <c r="F400" s="3" t="s">
        <v>1296</v>
      </c>
      <c r="G400" s="3" t="str">
        <f>IFERROR(__xludf.DUMMYFUNCTION("JOIN("", "", FILTER($D399:D1989, $B399:B1989 = F400))"),"dichter, vertaler, redacteur, onderzoeker, corrector")</f>
        <v>dichter, vertaler, redacteur, onderzoeker, corrector</v>
      </c>
    </row>
    <row r="401">
      <c r="A401" s="2" t="s">
        <v>466</v>
      </c>
      <c r="B401" s="1" t="s">
        <v>467</v>
      </c>
      <c r="C401" s="2" t="s">
        <v>202</v>
      </c>
      <c r="D401" s="1" t="s">
        <v>203</v>
      </c>
      <c r="F401" s="3" t="s">
        <v>1298</v>
      </c>
      <c r="G401" s="3" t="str">
        <f>IFERROR(__xludf.DUMMYFUNCTION("JOIN("", "", FILTER($D400:D1989, $B400:B1989 = F401))"),"")</f>
        <v/>
      </c>
    </row>
    <row r="402">
      <c r="A402" s="2" t="s">
        <v>460</v>
      </c>
      <c r="B402" s="1" t="s">
        <v>461</v>
      </c>
      <c r="C402" s="2" t="s">
        <v>162</v>
      </c>
      <c r="D402" s="1" t="s">
        <v>163</v>
      </c>
      <c r="F402" s="3" t="s">
        <v>1300</v>
      </c>
      <c r="G402" s="3" t="str">
        <f>IFERROR(__xludf.DUMMYFUNCTION("JOIN("", "", FILTER($D401:D1989, $B401:B1989 = F402))"),"coadjutor, pastoor-deken, pastoor, academisch docent, deken, priester")</f>
        <v>coadjutor, pastoor-deken, pastoor, academisch docent, deken, priester</v>
      </c>
    </row>
    <row r="403">
      <c r="A403" s="2" t="s">
        <v>460</v>
      </c>
      <c r="B403" s="1" t="s">
        <v>461</v>
      </c>
      <c r="C403" s="2" t="s">
        <v>216</v>
      </c>
      <c r="D403" s="1" t="s">
        <v>217</v>
      </c>
      <c r="F403" s="3" t="s">
        <v>1302</v>
      </c>
      <c r="G403" s="3" t="str">
        <f>IFERROR(__xludf.DUMMYFUNCTION("JOIN("", "", FILTER($D402:D1989, $B402:B1989 = F403))"),"drukker, uitgever, boekhandelaar")</f>
        <v>drukker, uitgever, boekhandelaar</v>
      </c>
    </row>
    <row r="404">
      <c r="A404" s="2" t="s">
        <v>468</v>
      </c>
      <c r="B404" s="1" t="s">
        <v>469</v>
      </c>
      <c r="C404" s="2" t="s">
        <v>470</v>
      </c>
      <c r="D404" s="1" t="s">
        <v>471</v>
      </c>
      <c r="F404" s="3" t="s">
        <v>1304</v>
      </c>
      <c r="G404" s="3" t="str">
        <f>IFERROR(__xludf.DUMMYFUNCTION("JOIN("", "", FILTER($D403:D1989, $B403:B1989 = F404))"),"advocaat, rechter, rentenier")</f>
        <v>advocaat, rechter, rentenier</v>
      </c>
    </row>
    <row r="405">
      <c r="A405" s="2" t="s">
        <v>468</v>
      </c>
      <c r="B405" s="1" t="s">
        <v>469</v>
      </c>
      <c r="C405" s="2" t="s">
        <v>43</v>
      </c>
      <c r="D405" s="1" t="s">
        <v>44</v>
      </c>
      <c r="F405" s="3" t="s">
        <v>1306</v>
      </c>
      <c r="G405" s="3" t="str">
        <f>IFERROR(__xludf.DUMMYFUNCTION("JOIN("", "", FILTER($D404:D1989, $B404:B1989 = F405))"),"gouvernante, kamenier")</f>
        <v>gouvernante, kamenier</v>
      </c>
    </row>
    <row r="406">
      <c r="A406" s="2" t="s">
        <v>460</v>
      </c>
      <c r="B406" s="1" t="s">
        <v>461</v>
      </c>
      <c r="C406" s="2" t="s">
        <v>49</v>
      </c>
      <c r="D406" s="1" t="s">
        <v>50</v>
      </c>
      <c r="F406" s="3" t="s">
        <v>1310</v>
      </c>
      <c r="G406" s="3" t="str">
        <f>IFERROR(__xludf.DUMMYFUNCTION("JOIN("", "", FILTER($D405:D1989, $B405:B1989 = F406))"),"katholiek priester, kanunnik")</f>
        <v>katholiek priester, kanunnik</v>
      </c>
    </row>
    <row r="407">
      <c r="A407" s="2" t="s">
        <v>472</v>
      </c>
      <c r="B407" s="1" t="s">
        <v>473</v>
      </c>
      <c r="C407" s="2" t="s">
        <v>22</v>
      </c>
      <c r="D407" s="1" t="s">
        <v>23</v>
      </c>
      <c r="F407" s="3" t="s">
        <v>1312</v>
      </c>
      <c r="G407" s="3" t="str">
        <f>IFERROR(__xludf.DUMMYFUNCTION("JOIN("", "", FILTER($D406:D1989, $B406:B1989 = F407))"),"katholiek priester, kapelaan")</f>
        <v>katholiek priester, kapelaan</v>
      </c>
    </row>
    <row r="408">
      <c r="A408" s="2" t="s">
        <v>472</v>
      </c>
      <c r="B408" s="1" t="s">
        <v>473</v>
      </c>
      <c r="C408" s="2" t="s">
        <v>25</v>
      </c>
      <c r="D408" s="1" t="s">
        <v>26</v>
      </c>
      <c r="F408" s="3" t="s">
        <v>1314</v>
      </c>
      <c r="G408" s="3" t="str">
        <f>IFERROR(__xludf.DUMMYFUNCTION("JOIN("", "", FILTER($D407:D1989, $B407:B1989 = F408))"),"overste, missionaris, non")</f>
        <v>overste, missionaris, non</v>
      </c>
    </row>
    <row r="409">
      <c r="A409" s="2" t="s">
        <v>454</v>
      </c>
      <c r="B409" s="1" t="s">
        <v>455</v>
      </c>
      <c r="C409" s="2" t="s">
        <v>92</v>
      </c>
      <c r="D409" s="1" t="s">
        <v>93</v>
      </c>
      <c r="F409" s="3" t="s">
        <v>1317</v>
      </c>
      <c r="G409" s="3" t="str">
        <f>IFERROR(__xludf.DUMMYFUNCTION("JOIN("", "", FILTER($D408:D1989, $B408:B1989 = F409))"),"arts, politicus")</f>
        <v>arts, politicus</v>
      </c>
    </row>
    <row r="410">
      <c r="A410" s="2" t="s">
        <v>474</v>
      </c>
      <c r="B410" s="1" t="s">
        <v>475</v>
      </c>
      <c r="C410" s="2" t="s">
        <v>43</v>
      </c>
      <c r="D410" s="1" t="s">
        <v>44</v>
      </c>
      <c r="F410" s="3" t="s">
        <v>1319</v>
      </c>
      <c r="G410" s="3" t="str">
        <f>IFERROR(__xludf.DUMMYFUNCTION("JOIN("", "", FILTER($D409:D1989, $B409:B1989 = F410))"),"vakbondsbestuurder, advocaat, politicus")</f>
        <v>vakbondsbestuurder, advocaat, politicus</v>
      </c>
    </row>
    <row r="411">
      <c r="A411" s="2" t="s">
        <v>464</v>
      </c>
      <c r="B411" s="1" t="s">
        <v>465</v>
      </c>
      <c r="C411" s="2" t="s">
        <v>41</v>
      </c>
      <c r="D411" s="1" t="s">
        <v>42</v>
      </c>
      <c r="F411" s="3" t="s">
        <v>1323</v>
      </c>
      <c r="G411" s="3" t="str">
        <f>IFERROR(__xludf.DUMMYFUNCTION("JOIN("", "", FILTER($D410:D1989, $B410:B1989 = F411))"),"onderwijzer, non")</f>
        <v>onderwijzer, non</v>
      </c>
    </row>
    <row r="412">
      <c r="A412" s="2" t="s">
        <v>466</v>
      </c>
      <c r="B412" s="1" t="s">
        <v>467</v>
      </c>
      <c r="C412" s="2" t="s">
        <v>41</v>
      </c>
      <c r="D412" s="1" t="s">
        <v>42</v>
      </c>
      <c r="F412" s="3" t="s">
        <v>1325</v>
      </c>
      <c r="G412" s="3" t="str">
        <f>IFERROR(__xludf.DUMMYFUNCTION("JOIN("", "", FILTER($D411:D1989, $B411:B1989 = F412))"),"handelaar, grondeigenaar")</f>
        <v>handelaar, grondeigenaar</v>
      </c>
    </row>
    <row r="413">
      <c r="A413" s="2" t="s">
        <v>476</v>
      </c>
      <c r="B413" s="1" t="s">
        <v>477</v>
      </c>
      <c r="C413" s="2" t="s">
        <v>288</v>
      </c>
      <c r="D413" s="1" t="s">
        <v>289</v>
      </c>
      <c r="F413" s="3" t="s">
        <v>1327</v>
      </c>
      <c r="G413" s="3" t="str">
        <f>IFERROR(__xludf.DUMMYFUNCTION("JOIN("", "", FILTER($D412:D1989, $B412:B1989 = F413))"),"gemeenteontvanger")</f>
        <v>gemeenteontvanger</v>
      </c>
    </row>
    <row r="414">
      <c r="A414" s="2" t="s">
        <v>478</v>
      </c>
      <c r="B414" s="1" t="s">
        <v>479</v>
      </c>
      <c r="C414" s="2" t="s">
        <v>84</v>
      </c>
      <c r="D414" s="1" t="s">
        <v>85</v>
      </c>
      <c r="F414" s="3" t="s">
        <v>1331</v>
      </c>
      <c r="G414" s="3" t="str">
        <f>IFERROR(__xludf.DUMMYFUNCTION("JOIN("", "", FILTER($D413:D1989, $B413:B1989 = F414))"),"commissaris van politie")</f>
        <v>commissaris van politie</v>
      </c>
    </row>
    <row r="415">
      <c r="A415" s="2" t="s">
        <v>476</v>
      </c>
      <c r="B415" s="1" t="s">
        <v>477</v>
      </c>
      <c r="C415" s="2" t="s">
        <v>35</v>
      </c>
      <c r="D415" s="1" t="s">
        <v>36</v>
      </c>
      <c r="F415" s="3" t="s">
        <v>1335</v>
      </c>
      <c r="G415" s="3" t="str">
        <f>IFERROR(__xludf.DUMMYFUNCTION("JOIN("", "", FILTER($D414:D1989, $B414:B1989 = F415))"),"priester, leerkracht")</f>
        <v>priester, leerkracht</v>
      </c>
    </row>
    <row r="416">
      <c r="A416" s="2" t="s">
        <v>480</v>
      </c>
      <c r="B416" s="1" t="s">
        <v>481</v>
      </c>
      <c r="C416" s="2" t="s">
        <v>22</v>
      </c>
      <c r="D416" s="1" t="s">
        <v>23</v>
      </c>
      <c r="F416" s="3" t="s">
        <v>1339</v>
      </c>
      <c r="G416" s="3" t="str">
        <f>IFERROR(__xludf.DUMMYFUNCTION("JOIN("", "", FILTER($D415:D1989, $B415:B1989 = F416))"),"katholiek priester, pater")</f>
        <v>katholiek priester, pater</v>
      </c>
    </row>
    <row r="417">
      <c r="A417" s="2" t="s">
        <v>468</v>
      </c>
      <c r="B417" s="1" t="s">
        <v>469</v>
      </c>
      <c r="C417" s="2" t="s">
        <v>49</v>
      </c>
      <c r="D417" s="1" t="s">
        <v>50</v>
      </c>
      <c r="F417" s="3" t="s">
        <v>1341</v>
      </c>
      <c r="G417" s="3" t="str">
        <f>IFERROR(__xludf.DUMMYFUNCTION("JOIN("", "", FILTER($D416:D1989, $B416:B1989 = F417))"),"gouvernante")</f>
        <v>gouvernante</v>
      </c>
    </row>
    <row r="418">
      <c r="A418" s="2" t="s">
        <v>464</v>
      </c>
      <c r="B418" s="1" t="s">
        <v>465</v>
      </c>
      <c r="C418" s="2" t="s">
        <v>43</v>
      </c>
      <c r="D418" s="1" t="s">
        <v>44</v>
      </c>
      <c r="F418" s="3" t="s">
        <v>1343</v>
      </c>
      <c r="G418" s="3" t="str">
        <f>IFERROR(__xludf.DUMMYFUNCTION("JOIN("", "", FILTER($D417:D1989, $B417:B1989 = F418))"),"arts")</f>
        <v>arts</v>
      </c>
    </row>
    <row r="419">
      <c r="A419" s="2" t="s">
        <v>478</v>
      </c>
      <c r="B419" s="1" t="s">
        <v>479</v>
      </c>
      <c r="C419" s="2" t="s">
        <v>133</v>
      </c>
      <c r="D419" s="1" t="s">
        <v>134</v>
      </c>
      <c r="F419" s="3" t="s">
        <v>1345</v>
      </c>
      <c r="G419" s="3" t="str">
        <f>IFERROR(__xludf.DUMMYFUNCTION("JOIN("", "", FILTER($D418:D1989, $B418:B1989 = F419))"),"klerk, agrariër, advocaat")</f>
        <v>klerk, agrariër, advocaat</v>
      </c>
    </row>
    <row r="420">
      <c r="A420" s="2" t="s">
        <v>478</v>
      </c>
      <c r="B420" s="1" t="s">
        <v>479</v>
      </c>
      <c r="C420" s="2" t="s">
        <v>43</v>
      </c>
      <c r="D420" s="1" t="s">
        <v>44</v>
      </c>
      <c r="F420" s="3" t="s">
        <v>1349</v>
      </c>
      <c r="G420" s="3" t="str">
        <f>IFERROR(__xludf.DUMMYFUNCTION("JOIN("", "", FILTER($D419:D1989, $B419:B1989 = F420))"),"missionaris, katholiek priester, pater")</f>
        <v>missionaris, katholiek priester, pater</v>
      </c>
    </row>
    <row r="421">
      <c r="A421" s="2" t="s">
        <v>466</v>
      </c>
      <c r="B421" s="1" t="s">
        <v>467</v>
      </c>
      <c r="C421" s="2" t="s">
        <v>43</v>
      </c>
      <c r="D421" s="1" t="s">
        <v>44</v>
      </c>
      <c r="F421" s="3" t="s">
        <v>1351</v>
      </c>
      <c r="G421" s="3" t="str">
        <f>IFERROR(__xludf.DUMMYFUNCTION("JOIN("", "", FILTER($D420:D1989, $B420:B1989 = F421))"),"pater, priester")</f>
        <v>pater, priester</v>
      </c>
    </row>
    <row r="422">
      <c r="A422" s="2" t="s">
        <v>478</v>
      </c>
      <c r="B422" s="1" t="s">
        <v>479</v>
      </c>
      <c r="C422" s="2" t="s">
        <v>79</v>
      </c>
      <c r="D422" s="1" t="s">
        <v>80</v>
      </c>
      <c r="F422" s="3" t="s">
        <v>1353</v>
      </c>
      <c r="G422" s="3" t="str">
        <f>IFERROR(__xludf.DUMMYFUNCTION("JOIN("", "", FILTER($D421:D1989, $B421:B1989 = F422))"),"pastoor-deken, pastoor, directeur, katholiek priester, leerkracht")</f>
        <v>pastoor-deken, pastoor, directeur, katholiek priester, leerkracht</v>
      </c>
    </row>
    <row r="423">
      <c r="A423" s="2" t="s">
        <v>458</v>
      </c>
      <c r="B423" s="1" t="s">
        <v>459</v>
      </c>
      <c r="C423" s="2" t="s">
        <v>482</v>
      </c>
      <c r="D423" s="1" t="s">
        <v>483</v>
      </c>
      <c r="F423" s="3" t="s">
        <v>1357</v>
      </c>
      <c r="G423" s="3" t="str">
        <f>IFERROR(__xludf.DUMMYFUNCTION("JOIN("", "", FILTER($D422:D1989, $B422:B1989 = F423))"),"non")</f>
        <v>non</v>
      </c>
    </row>
    <row r="424">
      <c r="A424" s="2" t="s">
        <v>484</v>
      </c>
      <c r="B424" s="1" t="s">
        <v>485</v>
      </c>
      <c r="C424" s="2" t="s">
        <v>486</v>
      </c>
      <c r="D424" s="1" t="s">
        <v>487</v>
      </c>
      <c r="F424" s="3" t="s">
        <v>1359</v>
      </c>
      <c r="G424" s="3" t="str">
        <f>IFERROR(__xludf.DUMMYFUNCTION("JOIN("", "", FILTER($D423:D1989, $B423:B1989 = F424))"),"non")</f>
        <v>non</v>
      </c>
    </row>
    <row r="425">
      <c r="A425" s="2" t="s">
        <v>474</v>
      </c>
      <c r="B425" s="1" t="s">
        <v>475</v>
      </c>
      <c r="C425" s="2" t="s">
        <v>49</v>
      </c>
      <c r="D425" s="1" t="s">
        <v>50</v>
      </c>
      <c r="F425" s="3" t="s">
        <v>1361</v>
      </c>
      <c r="G425" s="3" t="str">
        <f>IFERROR(__xludf.DUMMYFUNCTION("JOIN("", "", FILTER($D424:D1989, $B424:B1989 = F425))"),"pastoor, missionaris, rector, katholiek priester, parochievicaris")</f>
        <v>pastoor, missionaris, rector, katholiek priester, parochievicaris</v>
      </c>
    </row>
    <row r="426">
      <c r="A426" s="2" t="s">
        <v>445</v>
      </c>
      <c r="B426" s="1" t="s">
        <v>446</v>
      </c>
      <c r="C426" s="2" t="s">
        <v>69</v>
      </c>
      <c r="D426" s="1" t="s">
        <v>70</v>
      </c>
      <c r="F426" s="3" t="s">
        <v>1363</v>
      </c>
      <c r="G426" s="3" t="str">
        <f>IFERROR(__xludf.DUMMYFUNCTION("JOIN("", "", FILTER($D425:D1989, $B425:B1989 = F426))"),"missionaris")</f>
        <v>missionaris</v>
      </c>
    </row>
    <row r="427">
      <c r="A427" s="2" t="s">
        <v>488</v>
      </c>
      <c r="B427" s="1" t="s">
        <v>489</v>
      </c>
      <c r="C427" s="2" t="s">
        <v>53</v>
      </c>
      <c r="D427" s="1" t="s">
        <v>54</v>
      </c>
      <c r="F427" s="3" t="s">
        <v>1365</v>
      </c>
      <c r="G427" s="3" t="str">
        <f>IFERROR(__xludf.DUMMYFUNCTION("JOIN("", "", FILTER($D426:D1989, $B426:B1989 = F427))"),"politicus, notaris")</f>
        <v>politicus, notaris</v>
      </c>
    </row>
    <row r="428">
      <c r="A428" s="2" t="s">
        <v>478</v>
      </c>
      <c r="B428" s="1" t="s">
        <v>479</v>
      </c>
      <c r="C428" s="2" t="s">
        <v>49</v>
      </c>
      <c r="D428" s="1" t="s">
        <v>50</v>
      </c>
      <c r="F428" s="3" t="s">
        <v>1367</v>
      </c>
      <c r="G428" s="3" t="str">
        <f>IFERROR(__xludf.DUMMYFUNCTION("JOIN("", "", FILTER($D427:D1989, $B427:B1989 = F428))"),"koopman, soldaat")</f>
        <v>koopman, soldaat</v>
      </c>
    </row>
    <row r="429">
      <c r="A429" s="2" t="s">
        <v>458</v>
      </c>
      <c r="B429" s="1" t="s">
        <v>459</v>
      </c>
      <c r="C429" s="2" t="s">
        <v>490</v>
      </c>
      <c r="D429" s="1" t="s">
        <v>491</v>
      </c>
      <c r="F429" s="3" t="s">
        <v>1369</v>
      </c>
      <c r="G429" s="3" t="str">
        <f>IFERROR(__xludf.DUMMYFUNCTION("JOIN("", "", FILTER($D428:D1989, $B428:B1989 = F429))"),"diaken, missionaris, subdiaken, rooms-katholiek priester")</f>
        <v>diaken, missionaris, subdiaken, rooms-katholiek priester</v>
      </c>
    </row>
    <row r="430">
      <c r="A430" s="2" t="s">
        <v>454</v>
      </c>
      <c r="B430" s="1" t="s">
        <v>455</v>
      </c>
      <c r="C430" s="2" t="s">
        <v>492</v>
      </c>
      <c r="D430" s="1" t="s">
        <v>493</v>
      </c>
      <c r="F430" s="3" t="s">
        <v>1373</v>
      </c>
      <c r="G430" s="3" t="str">
        <f>IFERROR(__xludf.DUMMYFUNCTION("JOIN("", "", FILTER($D429:D1989, $B429:B1989 = F430))"),"pastoor, katholiek priester, leerkracht")</f>
        <v>pastoor, katholiek priester, leerkracht</v>
      </c>
    </row>
    <row r="431">
      <c r="A431" s="2" t="s">
        <v>460</v>
      </c>
      <c r="B431" s="1" t="s">
        <v>461</v>
      </c>
      <c r="C431" s="2" t="s">
        <v>494</v>
      </c>
      <c r="D431" s="1" t="s">
        <v>495</v>
      </c>
      <c r="F431" s="3" t="s">
        <v>1377</v>
      </c>
      <c r="G431" s="3" t="str">
        <f>IFERROR(__xludf.DUMMYFUNCTION("JOIN("", "", FILTER($D430:D1989, $B430:B1989 = F431))"),"non, overste")</f>
        <v>non, overste</v>
      </c>
    </row>
    <row r="432">
      <c r="A432" s="2" t="s">
        <v>476</v>
      </c>
      <c r="B432" s="1" t="s">
        <v>477</v>
      </c>
      <c r="C432" s="2" t="s">
        <v>496</v>
      </c>
      <c r="D432" s="1" t="s">
        <v>497</v>
      </c>
      <c r="F432" s="3" t="s">
        <v>1379</v>
      </c>
      <c r="G432" s="3" t="str">
        <f>IFERROR(__xludf.DUMMYFUNCTION("JOIN("", "", FILTER($D431:D1989, $B431:B1989 = F432))"),"drukker")</f>
        <v>drukker</v>
      </c>
    </row>
    <row r="433">
      <c r="A433" s="2" t="s">
        <v>451</v>
      </c>
      <c r="B433" s="1" t="s">
        <v>452</v>
      </c>
      <c r="C433" s="2" t="s">
        <v>22</v>
      </c>
      <c r="D433" s="1" t="s">
        <v>23</v>
      </c>
      <c r="E433" s="2" t="s">
        <v>453</v>
      </c>
      <c r="F433" s="3" t="s">
        <v>1381</v>
      </c>
      <c r="G433" s="3" t="str">
        <f>IFERROR(__xludf.DUMMYFUNCTION("JOIN("", "", FILTER($D432:D1989, $B432:B1989 = F433))"),"onderwijzer")</f>
        <v>onderwijzer</v>
      </c>
    </row>
    <row r="434">
      <c r="A434" s="2" t="s">
        <v>460</v>
      </c>
      <c r="B434" s="1" t="s">
        <v>461</v>
      </c>
      <c r="C434" s="2" t="s">
        <v>306</v>
      </c>
      <c r="D434" s="1" t="s">
        <v>307</v>
      </c>
      <c r="F434" s="3" t="s">
        <v>1383</v>
      </c>
      <c r="G434" s="3" t="str">
        <f>IFERROR(__xludf.DUMMYFUNCTION("JOIN("", "", FILTER($D433:D1989, $B433:B1989 = F434))"),"non, overste")</f>
        <v>non, overste</v>
      </c>
    </row>
    <row r="435">
      <c r="A435" s="2" t="s">
        <v>498</v>
      </c>
      <c r="B435" s="1" t="s">
        <v>499</v>
      </c>
      <c r="C435" s="2" t="s">
        <v>41</v>
      </c>
      <c r="D435" s="1" t="s">
        <v>42</v>
      </c>
      <c r="F435" s="3" t="s">
        <v>1385</v>
      </c>
      <c r="G435" s="3" t="str">
        <f>IFERROR(__xludf.DUMMYFUNCTION("JOIN("", "", FILTER($D434:D1989, $B434:B1989 = F435))"),"begijn of bogaard")</f>
        <v>begijn of bogaard</v>
      </c>
    </row>
    <row r="436">
      <c r="A436" s="2" t="s">
        <v>498</v>
      </c>
      <c r="B436" s="1" t="s">
        <v>499</v>
      </c>
      <c r="C436" s="2" t="s">
        <v>216</v>
      </c>
      <c r="D436" s="1" t="s">
        <v>217</v>
      </c>
      <c r="F436" s="3" t="s">
        <v>1387</v>
      </c>
      <c r="G436" s="3" t="str">
        <f>IFERROR(__xludf.DUMMYFUNCTION("JOIN("", "", FILTER($D435:D1989, $B435:B1989 = F436))"),"")</f>
        <v/>
      </c>
    </row>
    <row r="437">
      <c r="A437" s="2" t="s">
        <v>488</v>
      </c>
      <c r="B437" s="1" t="s">
        <v>489</v>
      </c>
      <c r="C437" s="2" t="s">
        <v>41</v>
      </c>
      <c r="D437" s="1" t="s">
        <v>42</v>
      </c>
      <c r="F437" s="3" t="s">
        <v>1389</v>
      </c>
      <c r="G437" s="3" t="str">
        <f>IFERROR(__xludf.DUMMYFUNCTION("JOIN("", "", FILTER($D436:D1989, $B436:B1989 = F437))"),"")</f>
        <v/>
      </c>
    </row>
    <row r="438">
      <c r="A438" s="2" t="s">
        <v>498</v>
      </c>
      <c r="B438" s="1" t="s">
        <v>499</v>
      </c>
      <c r="C438" s="2" t="s">
        <v>43</v>
      </c>
      <c r="D438" s="1" t="s">
        <v>44</v>
      </c>
      <c r="F438" s="3" t="s">
        <v>1391</v>
      </c>
      <c r="G438" s="3" t="str">
        <f>IFERROR(__xludf.DUMMYFUNCTION("JOIN("", "", FILTER($D437:D1989, $B437:B1989 = F438))"),"")</f>
        <v/>
      </c>
    </row>
    <row r="439">
      <c r="A439" s="2" t="s">
        <v>488</v>
      </c>
      <c r="B439" s="1" t="s">
        <v>489</v>
      </c>
      <c r="C439" s="2" t="s">
        <v>43</v>
      </c>
      <c r="D439" s="1" t="s">
        <v>44</v>
      </c>
      <c r="F439" s="3" t="s">
        <v>1393</v>
      </c>
      <c r="G439" s="3" t="str">
        <f>IFERROR(__xludf.DUMMYFUNCTION("JOIN("", "", FILTER($D438:D1989, $B438:B1989 = F439))"),"")</f>
        <v/>
      </c>
    </row>
    <row r="440">
      <c r="A440" s="2" t="s">
        <v>466</v>
      </c>
      <c r="B440" s="1" t="s">
        <v>467</v>
      </c>
      <c r="C440" s="2" t="s">
        <v>147</v>
      </c>
      <c r="D440" s="1" t="s">
        <v>148</v>
      </c>
      <c r="F440" s="3" t="s">
        <v>1395</v>
      </c>
      <c r="G440" s="3" t="str">
        <f>IFERROR(__xludf.DUMMYFUNCTION("JOIN("", "", FILTER($D439:D1989, $B439:B1989 = F440))"),"")</f>
        <v/>
      </c>
    </row>
    <row r="441">
      <c r="A441" s="2" t="s">
        <v>500</v>
      </c>
      <c r="B441" s="1" t="s">
        <v>501</v>
      </c>
      <c r="C441" s="2" t="s">
        <v>41</v>
      </c>
      <c r="D441" s="1" t="s">
        <v>42</v>
      </c>
      <c r="F441" s="3" t="s">
        <v>1397</v>
      </c>
      <c r="G441" s="3" t="str">
        <f>IFERROR(__xludf.DUMMYFUNCTION("JOIN("", "", FILTER($D440:D1989, $B440:B1989 = F441))"),"")</f>
        <v/>
      </c>
    </row>
    <row r="442">
      <c r="A442" s="2" t="s">
        <v>500</v>
      </c>
      <c r="B442" s="1" t="s">
        <v>501</v>
      </c>
      <c r="C442" s="2" t="s">
        <v>84</v>
      </c>
      <c r="D442" s="1" t="s">
        <v>85</v>
      </c>
      <c r="F442" s="3" t="s">
        <v>1399</v>
      </c>
      <c r="G442" s="3" t="str">
        <f>IFERROR(__xludf.DUMMYFUNCTION("JOIN("", "", FILTER($D441:D1989, $B441:B1989 = F442))"),"taalkundige, schrijver, dichter, letterkundige, bibliothecaris, leerkracht")</f>
        <v>taalkundige, schrijver, dichter, letterkundige, bibliothecaris, leerkracht</v>
      </c>
    </row>
    <row r="443">
      <c r="A443" s="2" t="s">
        <v>502</v>
      </c>
      <c r="B443" s="1" t="s">
        <v>503</v>
      </c>
      <c r="C443" s="2" t="s">
        <v>43</v>
      </c>
      <c r="D443" s="1" t="s">
        <v>44</v>
      </c>
      <c r="F443" s="3" t="s">
        <v>1402</v>
      </c>
      <c r="G443" s="3" t="str">
        <f>IFERROR(__xludf.DUMMYFUNCTION("JOIN("", "", FILTER($D442:D1989, $B442:B1989 = F443))"),"medailleur, ontwerper, beeldhouwer, beeldend kunstenaar")</f>
        <v>medailleur, ontwerper, beeldhouwer, beeldend kunstenaar</v>
      </c>
    </row>
    <row r="444">
      <c r="A444" s="2" t="s">
        <v>464</v>
      </c>
      <c r="B444" s="1" t="s">
        <v>465</v>
      </c>
      <c r="C444" s="2" t="s">
        <v>69</v>
      </c>
      <c r="D444" s="1" t="s">
        <v>70</v>
      </c>
      <c r="F444" s="3" t="s">
        <v>1407</v>
      </c>
      <c r="G444" s="3" t="str">
        <f>IFERROR(__xludf.DUMMYFUNCTION("JOIN("", "", FILTER($D443:D1989, $B443:B1989 = F444))"),"ambtenaar, toneelschrijver, dichter")</f>
        <v>ambtenaar, toneelschrijver, dichter</v>
      </c>
    </row>
    <row r="445">
      <c r="A445" s="2" t="s">
        <v>466</v>
      </c>
      <c r="B445" s="1" t="s">
        <v>467</v>
      </c>
      <c r="C445" s="2" t="s">
        <v>69</v>
      </c>
      <c r="D445" s="1" t="s">
        <v>70</v>
      </c>
      <c r="F445" s="3" t="s">
        <v>1410</v>
      </c>
      <c r="G445" s="3" t="str">
        <f>IFERROR(__xludf.DUMMYFUNCTION("JOIN("", "", FILTER($D444:D1989, $B444:B1989 = F445))"),"schrijver, dichter, politicus, leerkracht, hoofdredacteur, conservator, journalist, kunstschilder")</f>
        <v>schrijver, dichter, politicus, leerkracht, hoofdredacteur, conservator, journalist, kunstschilder</v>
      </c>
    </row>
    <row r="446">
      <c r="A446" s="2" t="s">
        <v>476</v>
      </c>
      <c r="B446" s="1" t="s">
        <v>477</v>
      </c>
      <c r="C446" s="2" t="s">
        <v>69</v>
      </c>
      <c r="D446" s="1" t="s">
        <v>70</v>
      </c>
      <c r="F446" s="3" t="s">
        <v>1413</v>
      </c>
      <c r="G446" s="3" t="str">
        <f>IFERROR(__xludf.DUMMYFUNCTION("JOIN("", "", FILTER($D445:D1989, $B445:B1989 = F446))"),"politicus, literatuurcriticus, schrijver, redacteur, academisch docent, letterkundige, kunsthistoricus")</f>
        <v>politicus, literatuurcriticus, schrijver, redacteur, academisch docent, letterkundige, kunsthistoricus</v>
      </c>
    </row>
    <row r="447">
      <c r="A447" s="2" t="s">
        <v>500</v>
      </c>
      <c r="B447" s="1" t="s">
        <v>501</v>
      </c>
      <c r="C447" s="2" t="s">
        <v>49</v>
      </c>
      <c r="D447" s="1" t="s">
        <v>50</v>
      </c>
      <c r="F447" s="3" t="s">
        <v>1416</v>
      </c>
      <c r="G447" s="3" t="str">
        <f>IFERROR(__xludf.DUMMYFUNCTION("JOIN("", "", FILTER($D446:D1989, $B446:B1989 = F447))"),"esperantist, onderwijzer, uitgever, beeldend kunstenaar, drukker")</f>
        <v>esperantist, onderwijzer, uitgever, beeldend kunstenaar, drukker</v>
      </c>
    </row>
    <row r="448">
      <c r="A448" s="2" t="s">
        <v>478</v>
      </c>
      <c r="B448" s="1" t="s">
        <v>479</v>
      </c>
      <c r="C448" s="2" t="s">
        <v>223</v>
      </c>
      <c r="D448" s="1" t="s">
        <v>224</v>
      </c>
      <c r="F448" s="3" t="s">
        <v>1421</v>
      </c>
      <c r="G448" s="3" t="str">
        <f>IFERROR(__xludf.DUMMYFUNCTION("JOIN("", "", FILTER($D447:D1989, $B447:B1989 = F448))"),"advocaat, politicus")</f>
        <v>advocaat, politicus</v>
      </c>
    </row>
    <row r="449">
      <c r="A449" s="2" t="s">
        <v>504</v>
      </c>
      <c r="B449" s="1" t="s">
        <v>505</v>
      </c>
      <c r="F449" s="3" t="s">
        <v>1424</v>
      </c>
      <c r="G449" s="3" t="str">
        <f>IFERROR(__xludf.DUMMYFUNCTION("JOIN("", "", FILTER($D448:D1989, $B448:B1989 = F449))"),"archeoloog, pastoor, historicus, leerkracht, katholiek priester, schrijver, schoolopziener")</f>
        <v>archeoloog, pastoor, historicus, leerkracht, katholiek priester, schrijver, schoolopziener</v>
      </c>
    </row>
    <row r="450">
      <c r="A450" s="2" t="s">
        <v>451</v>
      </c>
      <c r="B450" s="1" t="s">
        <v>452</v>
      </c>
      <c r="C450" s="2" t="s">
        <v>506</v>
      </c>
      <c r="D450" s="1" t="s">
        <v>507</v>
      </c>
      <c r="E450" s="2" t="s">
        <v>453</v>
      </c>
      <c r="F450" s="3" t="s">
        <v>1427</v>
      </c>
      <c r="G450" s="3" t="str">
        <f>IFERROR(__xludf.DUMMYFUNCTION("JOIN("", "", FILTER($D449:D1989, $B449:B1989 = F450))"),"bestuurder, directeur, historicus, rector, katholiek priester, academisch docent, secretaris")</f>
        <v>bestuurder, directeur, historicus, rector, katholiek priester, academisch docent, secretaris</v>
      </c>
    </row>
    <row r="451">
      <c r="A451" s="2" t="s">
        <v>498</v>
      </c>
      <c r="B451" s="1" t="s">
        <v>499</v>
      </c>
      <c r="C451" s="2" t="s">
        <v>92</v>
      </c>
      <c r="D451" s="1" t="s">
        <v>93</v>
      </c>
      <c r="F451" s="3" t="s">
        <v>1429</v>
      </c>
      <c r="G451" s="3" t="str">
        <f>IFERROR(__xludf.DUMMYFUNCTION("JOIN("", "", FILTER($D450:D1989, $B450:B1989 = F451))"),"priester, politicus, leerkracht, antropoloog, rector, theoloog")</f>
        <v>priester, politicus, leerkracht, antropoloog, rector, theoloog</v>
      </c>
    </row>
    <row r="452">
      <c r="A452" s="2" t="s">
        <v>474</v>
      </c>
      <c r="B452" s="1" t="s">
        <v>475</v>
      </c>
      <c r="C452" s="2" t="s">
        <v>221</v>
      </c>
      <c r="D452" s="1" t="s">
        <v>222</v>
      </c>
      <c r="F452" s="3" t="s">
        <v>1432</v>
      </c>
      <c r="G452" s="3" t="str">
        <f>IFERROR(__xludf.DUMMYFUNCTION("JOIN("", "", FILTER($D451:D1989, $B451:B1989 = F452))"),"klerk, architect")</f>
        <v>klerk, architect</v>
      </c>
    </row>
    <row r="453">
      <c r="A453" s="2" t="s">
        <v>476</v>
      </c>
      <c r="B453" s="1" t="s">
        <v>477</v>
      </c>
      <c r="C453" s="2" t="s">
        <v>221</v>
      </c>
      <c r="D453" s="1" t="s">
        <v>222</v>
      </c>
      <c r="F453" s="3" t="s">
        <v>1435</v>
      </c>
      <c r="G453" s="3" t="str">
        <f>IFERROR(__xludf.DUMMYFUNCTION("JOIN("", "", FILTER($D452:D1989, $B452:B1989 = F453))"),"dirigent, koordirigent, pianist, organist, leerkracht, componist")</f>
        <v>dirigent, koordirigent, pianist, organist, leerkracht, componist</v>
      </c>
    </row>
    <row r="454">
      <c r="A454" s="2" t="s">
        <v>500</v>
      </c>
      <c r="B454" s="1" t="s">
        <v>501</v>
      </c>
      <c r="C454" s="2" t="s">
        <v>508</v>
      </c>
      <c r="D454" s="1" t="s">
        <v>509</v>
      </c>
      <c r="F454" s="3" t="s">
        <v>1441</v>
      </c>
      <c r="G454" s="3" t="str">
        <f>IFERROR(__xludf.DUMMYFUNCTION("JOIN("", "", FILTER($D453:D1989, $B453:B1989 = F454))"),"coadjutor, pastoor, politicus, toneelschrijver, katholiek priester, leerkracht, parochievicaris, schrijver")</f>
        <v>coadjutor, pastoor, politicus, toneelschrijver, katholiek priester, leerkracht, parochievicaris, schrijver</v>
      </c>
    </row>
    <row r="455">
      <c r="A455" s="2" t="s">
        <v>498</v>
      </c>
      <c r="B455" s="1" t="s">
        <v>499</v>
      </c>
      <c r="C455" s="2" t="s">
        <v>69</v>
      </c>
      <c r="D455" s="1" t="s">
        <v>70</v>
      </c>
      <c r="F455" s="3" t="s">
        <v>1443</v>
      </c>
      <c r="G455" s="3" t="str">
        <f>IFERROR(__xludf.DUMMYFUNCTION("JOIN("", "", FILTER($D454:D1989, $B454:B1989 = F455))"),"politicus, historicus, conservator, archeoloog, bibliofiel, schrijver")</f>
        <v>politicus, historicus, conservator, archeoloog, bibliofiel, schrijver</v>
      </c>
    </row>
    <row r="456">
      <c r="A456" s="2" t="s">
        <v>488</v>
      </c>
      <c r="B456" s="1" t="s">
        <v>489</v>
      </c>
      <c r="C456" s="2" t="s">
        <v>69</v>
      </c>
      <c r="D456" s="1" t="s">
        <v>70</v>
      </c>
      <c r="F456" s="3" t="s">
        <v>1445</v>
      </c>
      <c r="G456" s="3" t="str">
        <f>IFERROR(__xludf.DUMMYFUNCTION("JOIN("", "", FILTER($D455:D1989, $B455:B1989 = F456))"),"schrijver, dichter, lexicograaf")</f>
        <v>schrijver, dichter, lexicograaf</v>
      </c>
    </row>
    <row r="457">
      <c r="A457" s="2" t="s">
        <v>510</v>
      </c>
      <c r="B457" s="1" t="s">
        <v>511</v>
      </c>
      <c r="C457" s="2" t="s">
        <v>41</v>
      </c>
      <c r="D457" s="1" t="s">
        <v>42</v>
      </c>
      <c r="F457" s="3" t="s">
        <v>1448</v>
      </c>
      <c r="G457" s="3" t="str">
        <f>IFERROR(__xludf.DUMMYFUNCTION("JOIN("", "", FILTER($D456:D1989, $B456:B1989 = F457))"),"antropoloog, rector, schrijver")</f>
        <v>antropoloog, rector, schrijver</v>
      </c>
    </row>
    <row r="458">
      <c r="A458" s="2" t="s">
        <v>510</v>
      </c>
      <c r="B458" s="1" t="s">
        <v>511</v>
      </c>
      <c r="C458" s="2" t="s">
        <v>133</v>
      </c>
      <c r="D458" s="1" t="s">
        <v>134</v>
      </c>
      <c r="F458" s="3" t="s">
        <v>1451</v>
      </c>
      <c r="G458" s="3" t="str">
        <f>IFERROR(__xludf.DUMMYFUNCTION("JOIN("", "", FILTER($D457:D1989, $B457:B1989 = F458))"),"arts, schrijver, academisch docent")</f>
        <v>arts, schrijver, academisch docent</v>
      </c>
    </row>
    <row r="459">
      <c r="A459" s="2" t="s">
        <v>510</v>
      </c>
      <c r="B459" s="1" t="s">
        <v>511</v>
      </c>
      <c r="C459" s="2" t="s">
        <v>165</v>
      </c>
      <c r="D459" s="1" t="s">
        <v>166</v>
      </c>
      <c r="F459" s="3" t="s">
        <v>1455</v>
      </c>
      <c r="G459" s="3" t="str">
        <f>IFERROR(__xludf.DUMMYFUNCTION("JOIN("", "", FILTER($D458:D1989, $B458:B1989 = F459))"),"coadjutor, bibliothecaris, historicus, katholiek priester, aalmoezenier, kapelaan, parochievicaris")</f>
        <v>coadjutor, bibliothecaris, historicus, katholiek priester, aalmoezenier, kapelaan, parochievicaris</v>
      </c>
    </row>
    <row r="460">
      <c r="A460" s="2" t="s">
        <v>510</v>
      </c>
      <c r="B460" s="1" t="s">
        <v>511</v>
      </c>
      <c r="C460" s="2" t="s">
        <v>49</v>
      </c>
      <c r="D460" s="1" t="s">
        <v>50</v>
      </c>
      <c r="F460" s="3" t="s">
        <v>1459</v>
      </c>
      <c r="G460" s="3" t="str">
        <f>IFERROR(__xludf.DUMMYFUNCTION("JOIN("", "", FILTER($D459:D1989, $B459:B1989 = F460))"),"katholiek priester, schrijver, pastoor, katholiek bisschop")</f>
        <v>katholiek priester, schrijver, pastoor, katholiek bisschop</v>
      </c>
    </row>
    <row r="461">
      <c r="A461" s="2" t="s">
        <v>456</v>
      </c>
      <c r="B461" s="1" t="s">
        <v>457</v>
      </c>
      <c r="C461" s="2" t="s">
        <v>114</v>
      </c>
      <c r="D461" s="1" t="s">
        <v>115</v>
      </c>
      <c r="F461" s="3" t="s">
        <v>1462</v>
      </c>
      <c r="G461" s="3" t="str">
        <f>IFERROR(__xludf.DUMMYFUNCTION("JOIN("", "", FILTER($D460:D1989, $B460:B1989 = F461))"),"leerkracht, katholiek priester")</f>
        <v>leerkracht, katholiek priester</v>
      </c>
    </row>
    <row r="462">
      <c r="A462" s="2" t="s">
        <v>456</v>
      </c>
      <c r="B462" s="1" t="s">
        <v>457</v>
      </c>
      <c r="C462" s="2" t="s">
        <v>22</v>
      </c>
      <c r="D462" s="1" t="s">
        <v>23</v>
      </c>
      <c r="F462" s="3" t="s">
        <v>1465</v>
      </c>
      <c r="G462" s="3" t="str">
        <f>IFERROR(__xludf.DUMMYFUNCTION("JOIN("", "", FILTER($D461:D1989, $B461:B1989 = F462))"),"politicus, jurist, historicus")</f>
        <v>politicus, jurist, historicus</v>
      </c>
    </row>
    <row r="463">
      <c r="A463" s="2" t="s">
        <v>447</v>
      </c>
      <c r="B463" s="1" t="s">
        <v>448</v>
      </c>
      <c r="C463" s="2" t="s">
        <v>22</v>
      </c>
      <c r="D463" s="1" t="s">
        <v>23</v>
      </c>
      <c r="F463" s="3" t="s">
        <v>1467</v>
      </c>
      <c r="G463" s="3" t="str">
        <f>IFERROR(__xludf.DUMMYFUNCTION("JOIN("", "", FILTER($D462:D1989, $B462:B1989 = F463))"),"pastoor, rector, katholiek priester, leerkracht")</f>
        <v>pastoor, rector, katholiek priester, leerkracht</v>
      </c>
    </row>
    <row r="464">
      <c r="A464" s="2" t="s">
        <v>512</v>
      </c>
      <c r="B464" s="1" t="s">
        <v>513</v>
      </c>
      <c r="C464" s="2" t="s">
        <v>114</v>
      </c>
      <c r="D464" s="1" t="s">
        <v>115</v>
      </c>
      <c r="F464" s="3" t="s">
        <v>1469</v>
      </c>
      <c r="G464" s="3" t="str">
        <f>IFERROR(__xludf.DUMMYFUNCTION("JOIN("", "", FILTER($D463:D1989, $B463:B1989 = F464))"),"leerkracht, schoolopziener, priester")</f>
        <v>leerkracht, schoolopziener, priester</v>
      </c>
    </row>
    <row r="465">
      <c r="A465" s="2" t="s">
        <v>514</v>
      </c>
      <c r="B465" s="1" t="s">
        <v>515</v>
      </c>
      <c r="C465" s="2" t="s">
        <v>516</v>
      </c>
      <c r="D465" s="1" t="s">
        <v>517</v>
      </c>
      <c r="F465" s="3" t="s">
        <v>1471</v>
      </c>
      <c r="G465" s="3" t="str">
        <f>IFERROR(__xludf.DUMMYFUNCTION("JOIN("", "", FILTER($D464:D1989, $B464:B1989 = F465))"),"pastoor, directeur, katholiek priester, leerkracht, aalmoezenier")</f>
        <v>pastoor, directeur, katholiek priester, leerkracht, aalmoezenier</v>
      </c>
    </row>
    <row r="466">
      <c r="A466" s="2" t="s">
        <v>460</v>
      </c>
      <c r="B466" s="1" t="s">
        <v>461</v>
      </c>
      <c r="C466" s="2" t="s">
        <v>118</v>
      </c>
      <c r="D466" s="1" t="s">
        <v>119</v>
      </c>
      <c r="F466" s="3" t="s">
        <v>1473</v>
      </c>
      <c r="G466" s="3" t="str">
        <f>IFERROR(__xludf.DUMMYFUNCTION("JOIN("", "", FILTER($D465:D1989, $B465:B1989 = F466))"),"drukker, beeldend kunstenaar, lithograaf")</f>
        <v>drukker, beeldend kunstenaar, lithograaf</v>
      </c>
    </row>
    <row r="467">
      <c r="A467" s="2" t="s">
        <v>510</v>
      </c>
      <c r="B467" s="1" t="s">
        <v>511</v>
      </c>
      <c r="C467" s="2" t="s">
        <v>508</v>
      </c>
      <c r="D467" s="1" t="s">
        <v>509</v>
      </c>
      <c r="F467" s="3" t="s">
        <v>1475</v>
      </c>
      <c r="G467" s="3" t="str">
        <f>IFERROR(__xludf.DUMMYFUNCTION("JOIN("", "", FILTER($D466:D1989, $B466:B1989 = F467))"),"bestuurder, leerkracht, conservator, katholiek priester, huiskapelaan")</f>
        <v>bestuurder, leerkracht, conservator, katholiek priester, huiskapelaan</v>
      </c>
    </row>
    <row r="468">
      <c r="A468" s="2" t="s">
        <v>484</v>
      </c>
      <c r="B468" s="1" t="s">
        <v>485</v>
      </c>
      <c r="C468" s="2" t="s">
        <v>341</v>
      </c>
      <c r="D468" s="1" t="s">
        <v>342</v>
      </c>
      <c r="F468" s="3" t="s">
        <v>1480</v>
      </c>
      <c r="G468" s="3" t="str">
        <f>IFERROR(__xludf.DUMMYFUNCTION("JOIN("", "", FILTER($D467:D1989, $B467:B1989 = F468))"),"pastoor, katholiek priester, parochievicaris")</f>
        <v>pastoor, katholiek priester, parochievicaris</v>
      </c>
    </row>
    <row r="469">
      <c r="A469" s="2" t="s">
        <v>510</v>
      </c>
      <c r="B469" s="1" t="s">
        <v>511</v>
      </c>
      <c r="C469" s="2" t="s">
        <v>69</v>
      </c>
      <c r="D469" s="1" t="s">
        <v>70</v>
      </c>
      <c r="F469" s="3" t="s">
        <v>1482</v>
      </c>
      <c r="G469" s="3" t="str">
        <f>IFERROR(__xludf.DUMMYFUNCTION("JOIN("", "", FILTER($D468:D1989, $B468:B1989 = F469))"),"vertaler, hoofdredacteur, leerkracht")</f>
        <v>vertaler, hoofdredacteur, leerkracht</v>
      </c>
    </row>
    <row r="470">
      <c r="A470" s="2" t="s">
        <v>484</v>
      </c>
      <c r="B470" s="1" t="s">
        <v>485</v>
      </c>
      <c r="C470" s="2" t="s">
        <v>139</v>
      </c>
      <c r="D470" s="1" t="s">
        <v>140</v>
      </c>
      <c r="F470" s="3" t="s">
        <v>1484</v>
      </c>
      <c r="G470" s="3" t="str">
        <f>IFERROR(__xludf.DUMMYFUNCTION("JOIN("", "", FILTER($D469:D1989, $B469:B1989 = F470))"),"coadjutor, directeur, missionaris, katholiek priester, kapelaan, parochievicaris")</f>
        <v>coadjutor, directeur, missionaris, katholiek priester, kapelaan, parochievicaris</v>
      </c>
    </row>
    <row r="471">
      <c r="A471" s="2" t="s">
        <v>472</v>
      </c>
      <c r="B471" s="1" t="s">
        <v>473</v>
      </c>
      <c r="C471" s="2" t="s">
        <v>77</v>
      </c>
      <c r="D471" s="1" t="s">
        <v>78</v>
      </c>
      <c r="F471" s="3" t="s">
        <v>1486</v>
      </c>
      <c r="G471" s="3" t="str">
        <f>IFERROR(__xludf.DUMMYFUNCTION("JOIN("", "", FILTER($D470:D1989, $B470:B1989 = F471))"),"politicus, legerarts, arts")</f>
        <v>politicus, legerarts, arts</v>
      </c>
    </row>
    <row r="472">
      <c r="A472" s="2" t="s">
        <v>466</v>
      </c>
      <c r="B472" s="1" t="s">
        <v>467</v>
      </c>
      <c r="C472" s="2" t="s">
        <v>25</v>
      </c>
      <c r="D472" s="1" t="s">
        <v>26</v>
      </c>
      <c r="F472" s="3" t="s">
        <v>1488</v>
      </c>
      <c r="G472" s="3" t="str">
        <f>IFERROR(__xludf.DUMMYFUNCTION("JOIN("", "", FILTER($D471:D1989, $B471:B1989 = F472))"),"pastoor, katholiek priester, aalmoezenier, parochievicaris")</f>
        <v>pastoor, katholiek priester, aalmoezenier, parochievicaris</v>
      </c>
    </row>
    <row r="473">
      <c r="A473" s="2" t="s">
        <v>476</v>
      </c>
      <c r="B473" s="1" t="s">
        <v>477</v>
      </c>
      <c r="C473" s="2" t="s">
        <v>118</v>
      </c>
      <c r="D473" s="1" t="s">
        <v>119</v>
      </c>
      <c r="F473" s="3" t="s">
        <v>1490</v>
      </c>
      <c r="G473" s="3" t="str">
        <f>IFERROR(__xludf.DUMMYFUNCTION("JOIN("", "", FILTER($D472:D1989, $B472:B1989 = F473))"),"coadjutor, pastoor, parochievicaris, priester")</f>
        <v>coadjutor, pastoor, parochievicaris, priester</v>
      </c>
    </row>
    <row r="474">
      <c r="A474" s="2" t="s">
        <v>484</v>
      </c>
      <c r="B474" s="1" t="s">
        <v>485</v>
      </c>
      <c r="C474" s="2" t="s">
        <v>141</v>
      </c>
      <c r="D474" s="1" t="s">
        <v>142</v>
      </c>
      <c r="F474" s="3" t="s">
        <v>1492</v>
      </c>
      <c r="G474" s="3" t="str">
        <f>IFERROR(__xludf.DUMMYFUNCTION("JOIN("", "", FILTER($D473:D1989, $B473:B1989 = F474))"),"pastoor, rector, katholiek priester, leerkracht, parochievicaris, financieel beheerder")</f>
        <v>pastoor, rector, katholiek priester, leerkracht, parochievicaris, financieel beheerder</v>
      </c>
    </row>
    <row r="475">
      <c r="A475" s="2" t="s">
        <v>480</v>
      </c>
      <c r="B475" s="1" t="s">
        <v>481</v>
      </c>
      <c r="C475" s="2" t="s">
        <v>35</v>
      </c>
      <c r="D475" s="1" t="s">
        <v>36</v>
      </c>
      <c r="F475" s="3" t="s">
        <v>1494</v>
      </c>
      <c r="G475" s="3" t="str">
        <f>IFERROR(__xludf.DUMMYFUNCTION("JOIN("", "", FILTER($D474:D1989, $B474:B1989 = F475))"),"naaier, onderwijzer")</f>
        <v>naaier, onderwijzer</v>
      </c>
    </row>
    <row r="476">
      <c r="A476" s="2" t="s">
        <v>480</v>
      </c>
      <c r="B476" s="1" t="s">
        <v>481</v>
      </c>
      <c r="C476" s="2" t="s">
        <v>43</v>
      </c>
      <c r="D476" s="1" t="s">
        <v>44</v>
      </c>
      <c r="F476" s="3" t="s">
        <v>1497</v>
      </c>
      <c r="G476" s="3" t="str">
        <f>IFERROR(__xludf.DUMMYFUNCTION("JOIN("", "", FILTER($D475:D1989, $B475:B1989 = F476))"),"hoofdredacteur, missionaris, pater, priester")</f>
        <v>hoofdredacteur, missionaris, pater, priester</v>
      </c>
    </row>
    <row r="477">
      <c r="A477" s="2" t="s">
        <v>480</v>
      </c>
      <c r="B477" s="1" t="s">
        <v>481</v>
      </c>
      <c r="C477" s="2" t="s">
        <v>49</v>
      </c>
      <c r="D477" s="1" t="s">
        <v>50</v>
      </c>
      <c r="F477" s="3" t="s">
        <v>1499</v>
      </c>
      <c r="G477" s="3" t="str">
        <f>IFERROR(__xludf.DUMMYFUNCTION("JOIN("", "", FILTER($D476:D1989, $B476:B1989 = F477))"),"pastoor, katholiek priester, leerkracht, parochievicaris, schrijver")</f>
        <v>pastoor, katholiek priester, leerkracht, parochievicaris, schrijver</v>
      </c>
    </row>
    <row r="478">
      <c r="A478" s="2" t="s">
        <v>468</v>
      </c>
      <c r="B478" s="1" t="s">
        <v>469</v>
      </c>
      <c r="C478" s="2" t="s">
        <v>143</v>
      </c>
      <c r="D478" s="1" t="s">
        <v>144</v>
      </c>
      <c r="F478" s="3" t="s">
        <v>1501</v>
      </c>
      <c r="G478" s="3" t="str">
        <f>IFERROR(__xludf.DUMMYFUNCTION("JOIN("", "", FILTER($D477:D1989, $B477:B1989 = F478))"),"pastoor, katholiek priester, leerkracht, parochievicaris")</f>
        <v>pastoor, katholiek priester, leerkracht, parochievicaris</v>
      </c>
    </row>
    <row r="479">
      <c r="A479" s="2" t="s">
        <v>472</v>
      </c>
      <c r="B479" s="1" t="s">
        <v>473</v>
      </c>
      <c r="C479" s="2" t="s">
        <v>252</v>
      </c>
      <c r="D479" s="1" t="s">
        <v>253</v>
      </c>
      <c r="F479" s="3" t="s">
        <v>1503</v>
      </c>
      <c r="G479" s="3" t="str">
        <f>IFERROR(__xludf.DUMMYFUNCTION("JOIN("", "", FILTER($D478:D1989, $B478:B1989 = F479))"),"pastoor, katholiek priester, leerkracht, parochievicaris, geestelijk leidsman")</f>
        <v>pastoor, katholiek priester, leerkracht, parochievicaris, geestelijk leidsman</v>
      </c>
    </row>
    <row r="480">
      <c r="A480" s="2" t="s">
        <v>472</v>
      </c>
      <c r="B480" s="1" t="s">
        <v>473</v>
      </c>
      <c r="C480" s="2" t="s">
        <v>518</v>
      </c>
      <c r="D480" s="1" t="s">
        <v>519</v>
      </c>
      <c r="F480" s="3" t="s">
        <v>1505</v>
      </c>
      <c r="G480" s="3" t="str">
        <f>IFERROR(__xludf.DUMMYFUNCTION("JOIN("", "", FILTER($D479:D1989, $B479:B1989 = F480))"),"leerkracht, parochievicaris, priester, geestelijk leidsman")</f>
        <v>leerkracht, parochievicaris, priester, geestelijk leidsman</v>
      </c>
    </row>
    <row r="481">
      <c r="A481" s="2" t="s">
        <v>472</v>
      </c>
      <c r="B481" s="1" t="s">
        <v>473</v>
      </c>
      <c r="C481" s="2" t="s">
        <v>520</v>
      </c>
      <c r="D481" s="1" t="s">
        <v>521</v>
      </c>
      <c r="F481" s="3" t="s">
        <v>1507</v>
      </c>
      <c r="G481" s="3" t="str">
        <f>IFERROR(__xludf.DUMMYFUNCTION("JOIN("", "", FILTER($D480:D1989, $B480:B1989 = F481))"),"directeur, leerkracht, rooms-katholiek priester, parochievicaris")</f>
        <v>directeur, leerkracht, rooms-katholiek priester, parochievicaris</v>
      </c>
    </row>
    <row r="482">
      <c r="A482" s="2" t="s">
        <v>196</v>
      </c>
      <c r="B482" s="1" t="s">
        <v>197</v>
      </c>
      <c r="C482" s="2" t="s">
        <v>60</v>
      </c>
      <c r="D482" s="1" t="s">
        <v>61</v>
      </c>
      <c r="F482" s="3" t="s">
        <v>1509</v>
      </c>
      <c r="G482" s="3" t="str">
        <f>IFERROR(__xludf.DUMMYFUNCTION("JOIN("", "", FILTER($D481:D1989, $B481:B1989 = F482))"),"professor, oriëntalist")</f>
        <v>professor, oriëntalist</v>
      </c>
    </row>
    <row r="483">
      <c r="A483" s="2" t="s">
        <v>480</v>
      </c>
      <c r="B483" s="1" t="s">
        <v>481</v>
      </c>
      <c r="C483" s="2" t="s">
        <v>296</v>
      </c>
      <c r="D483" s="1" t="s">
        <v>297</v>
      </c>
      <c r="F483" s="3" t="s">
        <v>1511</v>
      </c>
      <c r="G483" s="3" t="str">
        <f>IFERROR(__xludf.DUMMYFUNCTION("JOIN("", "", FILTER($D482:D1989, $B482:B1989 = F483))"),"missionaris, katholiek priester, kapelaan, parochievicaris, proost")</f>
        <v>missionaris, katholiek priester, kapelaan, parochievicaris, proost</v>
      </c>
    </row>
    <row r="484">
      <c r="A484" s="2" t="s">
        <v>451</v>
      </c>
      <c r="B484" s="1" t="s">
        <v>452</v>
      </c>
      <c r="C484" s="2" t="s">
        <v>522</v>
      </c>
      <c r="D484" s="1" t="s">
        <v>523</v>
      </c>
      <c r="E484" s="2" t="s">
        <v>453</v>
      </c>
      <c r="F484" s="3" t="s">
        <v>1515</v>
      </c>
      <c r="G484" s="3" t="str">
        <f>IFERROR(__xludf.DUMMYFUNCTION("JOIN("", "", FILTER($D483:D1989, $B483:B1989 = F484))"),"advocaat, schrijver, professor")</f>
        <v>advocaat, schrijver, professor</v>
      </c>
    </row>
    <row r="485">
      <c r="A485" s="2" t="s">
        <v>514</v>
      </c>
      <c r="B485" s="1" t="s">
        <v>515</v>
      </c>
      <c r="C485" s="2" t="s">
        <v>22</v>
      </c>
      <c r="D485" s="1" t="s">
        <v>23</v>
      </c>
      <c r="F485" s="3" t="s">
        <v>1517</v>
      </c>
      <c r="G485" s="3" t="str">
        <f>IFERROR(__xludf.DUMMYFUNCTION("JOIN("", "", FILTER($D484:D1989, $B484:B1989 = F485))"),"pastoor, directeur, katholiek priester, deken, leerkracht, schrijver")</f>
        <v>pastoor, directeur, katholiek priester, deken, leerkracht, schrijver</v>
      </c>
    </row>
    <row r="486">
      <c r="A486" s="2" t="s">
        <v>524</v>
      </c>
      <c r="B486" s="1" t="s">
        <v>525</v>
      </c>
      <c r="C486" s="2" t="s">
        <v>49</v>
      </c>
      <c r="D486" s="1" t="s">
        <v>50</v>
      </c>
      <c r="E486" s="2" t="s">
        <v>526</v>
      </c>
      <c r="F486" s="3" t="s">
        <v>1519</v>
      </c>
      <c r="G486" s="3" t="str">
        <f>IFERROR(__xludf.DUMMYFUNCTION("JOIN("", "", FILTER($D485:D1989, $B485:B1989 = F486))"),"pastoor, rector, katholiek priester, leerkracht, dichter")</f>
        <v>pastoor, rector, katholiek priester, leerkracht, dichter</v>
      </c>
    </row>
    <row r="487">
      <c r="A487" s="2" t="s">
        <v>527</v>
      </c>
      <c r="B487" s="1" t="s">
        <v>528</v>
      </c>
      <c r="C487" s="2" t="s">
        <v>529</v>
      </c>
      <c r="D487" s="1" t="s">
        <v>530</v>
      </c>
      <c r="F487" s="3" t="s">
        <v>1521</v>
      </c>
      <c r="G487" s="3" t="str">
        <f>IFERROR(__xludf.DUMMYFUNCTION("JOIN("", "", FILTER($D486:D1989, $B486:B1989 = F487))"),"non, overste")</f>
        <v>non, overste</v>
      </c>
    </row>
    <row r="488">
      <c r="A488" s="2" t="s">
        <v>531</v>
      </c>
      <c r="B488" s="1" t="s">
        <v>532</v>
      </c>
      <c r="C488" s="2" t="s">
        <v>216</v>
      </c>
      <c r="D488" s="1" t="s">
        <v>217</v>
      </c>
      <c r="F488" s="3" t="s">
        <v>1523</v>
      </c>
      <c r="G488" s="3" t="str">
        <f>IFERROR(__xludf.DUMMYFUNCTION("JOIN("", "", FILTER($D487:D1989, $B487:B1989 = F488))"),"drukker, uitgever, beeldend kunstenaar, boekhandelaar")</f>
        <v>drukker, uitgever, beeldend kunstenaar, boekhandelaar</v>
      </c>
    </row>
    <row r="489">
      <c r="A489" s="2" t="s">
        <v>531</v>
      </c>
      <c r="B489" s="1" t="s">
        <v>532</v>
      </c>
      <c r="C489" s="2" t="s">
        <v>43</v>
      </c>
      <c r="D489" s="1" t="s">
        <v>44</v>
      </c>
      <c r="F489" s="3" t="s">
        <v>1525</v>
      </c>
      <c r="G489" s="3" t="str">
        <f>IFERROR(__xludf.DUMMYFUNCTION("JOIN("", "", FILTER($D488:D1989, $B488:B1989 = F489))"),"coadjutor, katholiek priester, musicoloog, parochievicaris, proost")</f>
        <v>coadjutor, katholiek priester, musicoloog, parochievicaris, proost</v>
      </c>
    </row>
    <row r="490">
      <c r="A490" s="2" t="s">
        <v>533</v>
      </c>
      <c r="B490" s="1" t="s">
        <v>534</v>
      </c>
      <c r="C490" s="2" t="s">
        <v>216</v>
      </c>
      <c r="D490" s="1" t="s">
        <v>217</v>
      </c>
      <c r="F490" s="3" t="s">
        <v>1527</v>
      </c>
      <c r="G490" s="3" t="str">
        <f>IFERROR(__xludf.DUMMYFUNCTION("JOIN("", "", FILTER($D489:D1989, $B489:B1989 = F490))"),"coadjutor, katholiek priester, parochievicaris")</f>
        <v>coadjutor, katholiek priester, parochievicaris</v>
      </c>
    </row>
    <row r="491">
      <c r="A491" s="2" t="s">
        <v>533</v>
      </c>
      <c r="B491" s="1" t="s">
        <v>534</v>
      </c>
      <c r="C491" s="2" t="s">
        <v>43</v>
      </c>
      <c r="D491" s="1" t="s">
        <v>44</v>
      </c>
      <c r="F491" s="3" t="s">
        <v>1529</v>
      </c>
      <c r="G491" s="3" t="str">
        <f>IFERROR(__xludf.DUMMYFUNCTION("JOIN("", "", FILTER($D490:D1989, $B490:B1989 = F491))"),"coadjutor, pastoor-deken, pastoor, katholiek priester, publicist, parochievicaris")</f>
        <v>coadjutor, pastoor-deken, pastoor, katholiek priester, publicist, parochievicaris</v>
      </c>
    </row>
    <row r="492">
      <c r="A492" s="2" t="s">
        <v>524</v>
      </c>
      <c r="B492" s="1" t="s">
        <v>525</v>
      </c>
      <c r="C492" s="2" t="s">
        <v>405</v>
      </c>
      <c r="D492" s="1" t="s">
        <v>406</v>
      </c>
      <c r="E492" s="2" t="s">
        <v>526</v>
      </c>
      <c r="F492" s="3" t="s">
        <v>1531</v>
      </c>
      <c r="G492" s="3" t="str">
        <f>IFERROR(__xludf.DUMMYFUNCTION("JOIN("", "", FILTER($D491:D1989, $B491:B1989 = F492))"),"directeur, katholiek priester, leerkracht, parochievicaris")</f>
        <v>directeur, katholiek priester, leerkracht, parochievicaris</v>
      </c>
    </row>
    <row r="493">
      <c r="A493" s="2" t="s">
        <v>535</v>
      </c>
      <c r="B493" s="1" t="s">
        <v>536</v>
      </c>
      <c r="C493" s="2" t="s">
        <v>53</v>
      </c>
      <c r="D493" s="1" t="s">
        <v>54</v>
      </c>
      <c r="F493" s="3" t="s">
        <v>1533</v>
      </c>
      <c r="G493" s="3" t="str">
        <f>IFERROR(__xludf.DUMMYFUNCTION("JOIN("", "", FILTER($D492:D1989, $B492:B1989 = F493))"),"pastoor, rector, katholiek priester, directeur, leerkracht")</f>
        <v>pastoor, rector, katholiek priester, directeur, leerkracht</v>
      </c>
    </row>
    <row r="494">
      <c r="A494" s="2" t="s">
        <v>533</v>
      </c>
      <c r="B494" s="1" t="s">
        <v>534</v>
      </c>
      <c r="C494" s="2" t="s">
        <v>49</v>
      </c>
      <c r="D494" s="1" t="s">
        <v>50</v>
      </c>
      <c r="F494" s="3" t="s">
        <v>1535</v>
      </c>
      <c r="G494" s="3" t="str">
        <f>IFERROR(__xludf.DUMMYFUNCTION("JOIN("", "", FILTER($D493:D1989, $B493:B1989 = F494))"),"subdiaken")</f>
        <v>subdiaken</v>
      </c>
    </row>
    <row r="495">
      <c r="A495" s="2" t="s">
        <v>537</v>
      </c>
      <c r="B495" s="1" t="s">
        <v>538</v>
      </c>
      <c r="C495" s="2" t="s">
        <v>69</v>
      </c>
      <c r="D495" s="1" t="s">
        <v>70</v>
      </c>
      <c r="F495" s="3" t="s">
        <v>1537</v>
      </c>
      <c r="G495" s="3" t="str">
        <f>IFERROR(__xludf.DUMMYFUNCTION("JOIN("", "", FILTER($D494:D1989, $B494:B1989 = F495))"),"advocaat")</f>
        <v>advocaat</v>
      </c>
    </row>
    <row r="496">
      <c r="A496" s="2" t="s">
        <v>539</v>
      </c>
      <c r="B496" s="1" t="s">
        <v>540</v>
      </c>
      <c r="C496" s="2" t="s">
        <v>114</v>
      </c>
      <c r="D496" s="1" t="s">
        <v>115</v>
      </c>
      <c r="F496" s="3" t="s">
        <v>1539</v>
      </c>
      <c r="G496" s="3" t="str">
        <f>IFERROR(__xludf.DUMMYFUNCTION("JOIN("", "", FILTER($D495:D1989, $B495:B1989 = F496))"),"")</f>
        <v/>
      </c>
    </row>
    <row r="497">
      <c r="A497" s="2" t="s">
        <v>541</v>
      </c>
      <c r="B497" s="1" t="s">
        <v>542</v>
      </c>
      <c r="C497" s="2" t="s">
        <v>53</v>
      </c>
      <c r="D497" s="1" t="s">
        <v>54</v>
      </c>
      <c r="F497" s="3" t="s">
        <v>1541</v>
      </c>
      <c r="G497" s="3" t="str">
        <f>IFERROR(__xludf.DUMMYFUNCTION("JOIN("", "", FILTER($D496:D1989, $B496:B1989 = F497))"),"missionaris, pater, priester")</f>
        <v>missionaris, pater, priester</v>
      </c>
    </row>
    <row r="498">
      <c r="A498" s="2" t="s">
        <v>524</v>
      </c>
      <c r="B498" s="1" t="s">
        <v>525</v>
      </c>
      <c r="C498" s="2" t="s">
        <v>128</v>
      </c>
      <c r="D498" s="1" t="s">
        <v>129</v>
      </c>
      <c r="E498" s="2" t="s">
        <v>526</v>
      </c>
      <c r="F498" s="3" t="s">
        <v>1543</v>
      </c>
      <c r="G498" s="3" t="str">
        <f>IFERROR(__xludf.DUMMYFUNCTION("JOIN("", "", FILTER($D497:D1989, $B497:B1989 = F498))"),"leerkracht, parochievicaris, pastoor, katholiek priester")</f>
        <v>leerkracht, parochievicaris, pastoor, katholiek priester</v>
      </c>
    </row>
    <row r="499">
      <c r="A499" s="2" t="s">
        <v>543</v>
      </c>
      <c r="B499" s="1" t="s">
        <v>544</v>
      </c>
      <c r="C499" s="2" t="s">
        <v>41</v>
      </c>
      <c r="D499" s="1" t="s">
        <v>42</v>
      </c>
      <c r="F499" s="3" t="s">
        <v>1545</v>
      </c>
      <c r="G499" s="3" t="str">
        <f>IFERROR(__xludf.DUMMYFUNCTION("JOIN("", "", FILTER($D498:D1989, $B498:B1989 = F499))"),"chirurg, arts")</f>
        <v>chirurg, arts</v>
      </c>
    </row>
    <row r="500">
      <c r="A500" s="2" t="s">
        <v>524</v>
      </c>
      <c r="B500" s="1" t="s">
        <v>525</v>
      </c>
      <c r="C500" s="2" t="s">
        <v>133</v>
      </c>
      <c r="D500" s="1" t="s">
        <v>134</v>
      </c>
      <c r="E500" s="2" t="s">
        <v>526</v>
      </c>
      <c r="F500" s="3" t="s">
        <v>1547</v>
      </c>
      <c r="G500" s="3" t="str">
        <f>IFERROR(__xludf.DUMMYFUNCTION("JOIN("", "", FILTER($D499:D1989, $B499:B1989 = F500))"),"politicus, arts")</f>
        <v>politicus, arts</v>
      </c>
    </row>
    <row r="501">
      <c r="A501" s="2" t="s">
        <v>535</v>
      </c>
      <c r="B501" s="1" t="s">
        <v>536</v>
      </c>
      <c r="C501" s="2" t="s">
        <v>43</v>
      </c>
      <c r="D501" s="1" t="s">
        <v>44</v>
      </c>
      <c r="F501" s="3" t="s">
        <v>1549</v>
      </c>
      <c r="G501" s="3" t="str">
        <f>IFERROR(__xludf.DUMMYFUNCTION("JOIN("", "", FILTER($D500:D1989, $B500:B1989 = F501))"),"dichter, non")</f>
        <v>dichter, non</v>
      </c>
    </row>
    <row r="502">
      <c r="A502" s="2" t="s">
        <v>524</v>
      </c>
      <c r="B502" s="1" t="s">
        <v>525</v>
      </c>
      <c r="C502" s="2" t="s">
        <v>43</v>
      </c>
      <c r="D502" s="1" t="s">
        <v>44</v>
      </c>
      <c r="E502" s="2" t="s">
        <v>526</v>
      </c>
      <c r="F502" s="3" t="s">
        <v>1551</v>
      </c>
      <c r="G502" s="3" t="str">
        <f>IFERROR(__xludf.DUMMYFUNCTION("JOIN("", "", FILTER($D501:D1989, $B501:B1989 = F502))"),"pater, katholiek priester, leerkracht")</f>
        <v>pater, katholiek priester, leerkracht</v>
      </c>
    </row>
    <row r="503">
      <c r="A503" s="2" t="s">
        <v>545</v>
      </c>
      <c r="B503" s="1" t="s">
        <v>546</v>
      </c>
      <c r="C503" s="2" t="s">
        <v>41</v>
      </c>
      <c r="D503" s="1" t="s">
        <v>42</v>
      </c>
      <c r="F503" s="3" t="s">
        <v>1553</v>
      </c>
      <c r="G503" s="3" t="str">
        <f>IFERROR(__xludf.DUMMYFUNCTION("JOIN("", "", FILTER($D502:D1989, $B502:B1989 = F503))"),"pastoor, directeur, katholiek priester, secretaris, vicaris-generaal, leerkracht, kanunnik, parochievicaris")</f>
        <v>pastoor, directeur, katholiek priester, secretaris, vicaris-generaal, leerkracht, kanunnik, parochievicaris</v>
      </c>
    </row>
    <row r="504">
      <c r="A504" s="2" t="s">
        <v>535</v>
      </c>
      <c r="B504" s="1" t="s">
        <v>536</v>
      </c>
      <c r="C504" s="2" t="s">
        <v>49</v>
      </c>
      <c r="D504" s="1" t="s">
        <v>50</v>
      </c>
      <c r="F504" s="3" t="s">
        <v>1555</v>
      </c>
      <c r="G504" s="3" t="str">
        <f>IFERROR(__xludf.DUMMYFUNCTION("JOIN("", "", FILTER($D503:D1989, $B503:B1989 = F504))"),"koopman")</f>
        <v>koopman</v>
      </c>
    </row>
    <row r="505">
      <c r="A505" s="2" t="s">
        <v>545</v>
      </c>
      <c r="B505" s="1" t="s">
        <v>546</v>
      </c>
      <c r="C505" s="2" t="s">
        <v>43</v>
      </c>
      <c r="D505" s="1" t="s">
        <v>44</v>
      </c>
      <c r="F505" s="3" t="s">
        <v>1557</v>
      </c>
      <c r="G505" s="3" t="str">
        <f>IFERROR(__xludf.DUMMYFUNCTION("JOIN("", "", FILTER($D504:D1989, $B504:B1989 = F505))"),"dienstmeid, begijn of bogaard, dienstbode")</f>
        <v>dienstmeid, begijn of bogaard, dienstbode</v>
      </c>
    </row>
    <row r="506">
      <c r="A506" s="2" t="s">
        <v>547</v>
      </c>
      <c r="B506" s="1" t="s">
        <v>548</v>
      </c>
      <c r="C506" s="2" t="s">
        <v>43</v>
      </c>
      <c r="D506" s="1" t="s">
        <v>44</v>
      </c>
      <c r="F506" s="3" t="s">
        <v>1560</v>
      </c>
      <c r="G506" s="3" t="str">
        <f>IFERROR(__xludf.DUMMYFUNCTION("JOIN("", "", FILTER($D505:D1989, $B505:B1989 = F506))"),"non, overste")</f>
        <v>non, overste</v>
      </c>
    </row>
    <row r="507">
      <c r="A507" s="2" t="s">
        <v>524</v>
      </c>
      <c r="B507" s="1" t="s">
        <v>525</v>
      </c>
      <c r="C507" s="2" t="s">
        <v>22</v>
      </c>
      <c r="D507" s="1" t="s">
        <v>23</v>
      </c>
      <c r="E507" s="2" t="s">
        <v>526</v>
      </c>
      <c r="F507" s="3" t="s">
        <v>1562</v>
      </c>
      <c r="G507" s="3" t="str">
        <f>IFERROR(__xludf.DUMMYFUNCTION("JOIN("", "", FILTER($D506:D1989, $B506:B1989 = F507))"),"rector, katholiek priester, academisch docent")</f>
        <v>rector, katholiek priester, academisch docent</v>
      </c>
    </row>
    <row r="508">
      <c r="A508" s="2" t="s">
        <v>541</v>
      </c>
      <c r="B508" s="1" t="s">
        <v>542</v>
      </c>
      <c r="C508" s="2" t="s">
        <v>41</v>
      </c>
      <c r="D508" s="1" t="s">
        <v>42</v>
      </c>
      <c r="F508" s="3" t="s">
        <v>1564</v>
      </c>
      <c r="G508" s="3" t="str">
        <f>IFERROR(__xludf.DUMMYFUNCTION("JOIN("", "", FILTER($D507:D1989, $B507:B1989 = F508))"),"fotograaf, kunstenaar, kunstschilder, beeldhouwer")</f>
        <v>fotograaf, kunstenaar, kunstschilder, beeldhouwer</v>
      </c>
    </row>
    <row r="509">
      <c r="A509" s="2" t="s">
        <v>541</v>
      </c>
      <c r="B509" s="1" t="s">
        <v>542</v>
      </c>
      <c r="C509" s="2" t="s">
        <v>43</v>
      </c>
      <c r="D509" s="1" t="s">
        <v>44</v>
      </c>
      <c r="F509" s="3" t="s">
        <v>1566</v>
      </c>
      <c r="G509" s="3" t="str">
        <f>IFERROR(__xludf.DUMMYFUNCTION("JOIN("", "", FILTER($D508:D1989, $B508:B1989 = F509))"),"politicus")</f>
        <v>politicus</v>
      </c>
    </row>
    <row r="510">
      <c r="A510" s="2" t="s">
        <v>547</v>
      </c>
      <c r="B510" s="1" t="s">
        <v>548</v>
      </c>
      <c r="C510" s="2" t="s">
        <v>49</v>
      </c>
      <c r="D510" s="1" t="s">
        <v>50</v>
      </c>
      <c r="F510" s="3" t="s">
        <v>1568</v>
      </c>
      <c r="G510" s="3" t="str">
        <f>IFERROR(__xludf.DUMMYFUNCTION("JOIN("", "", FILTER($D509:D1989, $B509:B1989 = F510))"),"parochievicaris, priester")</f>
        <v>parochievicaris, priester</v>
      </c>
    </row>
    <row r="511">
      <c r="A511" s="2" t="s">
        <v>541</v>
      </c>
      <c r="B511" s="1" t="s">
        <v>542</v>
      </c>
      <c r="C511" s="2" t="s">
        <v>49</v>
      </c>
      <c r="D511" s="1" t="s">
        <v>50</v>
      </c>
      <c r="F511" s="3" t="s">
        <v>1570</v>
      </c>
      <c r="G511" s="3" t="str">
        <f>IFERROR(__xludf.DUMMYFUNCTION("JOIN("", "", FILTER($D510:D1989, $B510:B1989 = F511))"),"vertaler")</f>
        <v>vertaler</v>
      </c>
    </row>
    <row r="512">
      <c r="A512" s="2" t="s">
        <v>549</v>
      </c>
      <c r="B512" s="1" t="s">
        <v>550</v>
      </c>
      <c r="C512" s="2" t="s">
        <v>12</v>
      </c>
      <c r="D512" s="1" t="s">
        <v>13</v>
      </c>
      <c r="F512" s="3" t="s">
        <v>1572</v>
      </c>
      <c r="G512" s="3" t="str">
        <f>IFERROR(__xludf.DUMMYFUNCTION("JOIN("", "", FILTER($D511:D1989, $B511:B1989 = F512))"),"priester, rector, leerkracht")</f>
        <v>priester, rector, leerkracht</v>
      </c>
    </row>
    <row r="513">
      <c r="A513" s="2" t="s">
        <v>527</v>
      </c>
      <c r="B513" s="1" t="s">
        <v>528</v>
      </c>
      <c r="C513" s="2" t="s">
        <v>133</v>
      </c>
      <c r="D513" s="1" t="s">
        <v>134</v>
      </c>
      <c r="F513" s="3" t="s">
        <v>1574</v>
      </c>
      <c r="G513" s="3" t="str">
        <f>IFERROR(__xludf.DUMMYFUNCTION("JOIN("", "", FILTER($D512:D1989, $B512:B1989 = F513))"),"coadjutor, missionaris, katholiek priester, leerkracht")</f>
        <v>coadjutor, missionaris, katholiek priester, leerkracht</v>
      </c>
    </row>
    <row r="514">
      <c r="A514" s="2" t="s">
        <v>527</v>
      </c>
      <c r="B514" s="1" t="s">
        <v>528</v>
      </c>
      <c r="C514" s="2" t="s">
        <v>43</v>
      </c>
      <c r="D514" s="1" t="s">
        <v>44</v>
      </c>
      <c r="F514" s="3" t="s">
        <v>1576</v>
      </c>
      <c r="G514" s="3" t="str">
        <f>IFERROR(__xludf.DUMMYFUNCTION("JOIN("", "", FILTER($D513:D1989, $B513:B1989 = F514))"),"leerkracht, schrijver, dichter, priester")</f>
        <v>leerkracht, schrijver, dichter, priester</v>
      </c>
    </row>
    <row r="515">
      <c r="A515" s="2" t="s">
        <v>551</v>
      </c>
      <c r="B515" s="1" t="s">
        <v>552</v>
      </c>
      <c r="C515" s="2" t="s">
        <v>553</v>
      </c>
      <c r="D515" s="1" t="s">
        <v>554</v>
      </c>
      <c r="F515" s="3" t="s">
        <v>1578</v>
      </c>
      <c r="G515" s="3" t="str">
        <f>IFERROR(__xludf.DUMMYFUNCTION("JOIN("", "", FILTER($D514:D1989, $B514:B1989 = F515))"),"drukker, graveur, handelaar, chromolithograaf")</f>
        <v>drukker, graveur, handelaar, chromolithograaf</v>
      </c>
    </row>
    <row r="516">
      <c r="A516" s="2" t="s">
        <v>543</v>
      </c>
      <c r="B516" s="1" t="s">
        <v>544</v>
      </c>
      <c r="C516" s="2" t="s">
        <v>508</v>
      </c>
      <c r="D516" s="1" t="s">
        <v>509</v>
      </c>
      <c r="F516" s="3" t="s">
        <v>1580</v>
      </c>
      <c r="G516" s="3" t="str">
        <f>IFERROR(__xludf.DUMMYFUNCTION("JOIN("", "", FILTER($D515:D1989, $B515:B1989 = F516))"),"")</f>
        <v/>
      </c>
    </row>
    <row r="517">
      <c r="A517" s="2" t="s">
        <v>527</v>
      </c>
      <c r="B517" s="1" t="s">
        <v>528</v>
      </c>
      <c r="C517" s="2" t="s">
        <v>79</v>
      </c>
      <c r="D517" s="1" t="s">
        <v>80</v>
      </c>
      <c r="F517" s="3" t="s">
        <v>1583</v>
      </c>
      <c r="G517" s="3" t="str">
        <f>IFERROR(__xludf.DUMMYFUNCTION("JOIN("", "", FILTER($D516:D1989, $B516:B1989 = F517))"),"pastoor, katholiek priester, parochievicaris")</f>
        <v>pastoor, katholiek priester, parochievicaris</v>
      </c>
    </row>
    <row r="518">
      <c r="A518" s="2" t="s">
        <v>533</v>
      </c>
      <c r="B518" s="1" t="s">
        <v>534</v>
      </c>
      <c r="C518" s="2" t="s">
        <v>221</v>
      </c>
      <c r="D518" s="1" t="s">
        <v>222</v>
      </c>
      <c r="F518" s="3" t="s">
        <v>1585</v>
      </c>
      <c r="G518" s="3" t="str">
        <f>IFERROR(__xludf.DUMMYFUNCTION("JOIN("", "", FILTER($D517:D1989, $B517:B1989 = F518))"),"bestuurder, non, overste")</f>
        <v>bestuurder, non, overste</v>
      </c>
    </row>
    <row r="519">
      <c r="A519" s="2" t="s">
        <v>527</v>
      </c>
      <c r="B519" s="1" t="s">
        <v>528</v>
      </c>
      <c r="C519" s="2" t="s">
        <v>7</v>
      </c>
      <c r="D519" s="1" t="s">
        <v>8</v>
      </c>
      <c r="F519" s="3" t="s">
        <v>1587</v>
      </c>
      <c r="G519" s="3" t="str">
        <f>IFERROR(__xludf.DUMMYFUNCTION("JOIN("", "", FILTER($D518:D1989, $B518:B1989 = F519))"),"missionaris, non, onderwijzer")</f>
        <v>missionaris, non, onderwijzer</v>
      </c>
    </row>
    <row r="520">
      <c r="A520" s="2" t="s">
        <v>555</v>
      </c>
      <c r="B520" s="1" t="s">
        <v>556</v>
      </c>
      <c r="C520" s="2" t="s">
        <v>41</v>
      </c>
      <c r="D520" s="1" t="s">
        <v>42</v>
      </c>
      <c r="F520" s="3" t="s">
        <v>1589</v>
      </c>
      <c r="G520" s="3" t="str">
        <f>IFERROR(__xludf.DUMMYFUNCTION("JOIN("", "", FILTER($D519:D1989, $B519:B1989 = F520))"),"non, overste, ziekenhuisdirecteur, onderwijzer")</f>
        <v>non, overste, ziekenhuisdirecteur, onderwijzer</v>
      </c>
    </row>
    <row r="521">
      <c r="A521" s="2" t="s">
        <v>557</v>
      </c>
      <c r="B521" s="1" t="s">
        <v>558</v>
      </c>
      <c r="C521" s="2" t="s">
        <v>41</v>
      </c>
      <c r="D521" s="1" t="s">
        <v>42</v>
      </c>
      <c r="F521" s="3" t="s">
        <v>1591</v>
      </c>
      <c r="G521" s="3" t="str">
        <f>IFERROR(__xludf.DUMMYFUNCTION("JOIN("", "", FILTER($D520:D1989, $B520:B1989 = F521))"),"winkelier, pianoleraar")</f>
        <v>winkelier, pianoleraar</v>
      </c>
    </row>
    <row r="522">
      <c r="A522" s="2" t="s">
        <v>557</v>
      </c>
      <c r="B522" s="1" t="s">
        <v>558</v>
      </c>
      <c r="C522" s="2" t="s">
        <v>84</v>
      </c>
      <c r="D522" s="1" t="s">
        <v>85</v>
      </c>
      <c r="F522" s="3" t="s">
        <v>1593</v>
      </c>
      <c r="G522" s="3" t="str">
        <f>IFERROR(__xludf.DUMMYFUNCTION("JOIN("", "", FILTER($D521:D1989, $B521:B1989 = F522))"),"componist")</f>
        <v>componist</v>
      </c>
    </row>
    <row r="523">
      <c r="A523" s="2" t="s">
        <v>527</v>
      </c>
      <c r="B523" s="1" t="s">
        <v>528</v>
      </c>
      <c r="C523" s="2" t="s">
        <v>49</v>
      </c>
      <c r="D523" s="1" t="s">
        <v>50</v>
      </c>
      <c r="F523" s="3" t="s">
        <v>1599</v>
      </c>
      <c r="G523" s="3" t="str">
        <f>IFERROR(__xludf.DUMMYFUNCTION("JOIN("", "", FILTER($D522:D1989, $B522:B1989 = F523))"),"ambtenaar, journalist")</f>
        <v>ambtenaar, journalist</v>
      </c>
    </row>
    <row r="524">
      <c r="A524" s="2" t="s">
        <v>543</v>
      </c>
      <c r="B524" s="1" t="s">
        <v>544</v>
      </c>
      <c r="C524" s="2" t="s">
        <v>69</v>
      </c>
      <c r="D524" s="1" t="s">
        <v>70</v>
      </c>
      <c r="F524" s="3" t="s">
        <v>1601</v>
      </c>
      <c r="G524" s="3" t="str">
        <f>IFERROR(__xludf.DUMMYFUNCTION("JOIN("", "", FILTER($D523:D1989, $B523:B1989 = F524))"),"bankier")</f>
        <v>bankier</v>
      </c>
    </row>
    <row r="525">
      <c r="A525" s="2" t="s">
        <v>535</v>
      </c>
      <c r="B525" s="1" t="s">
        <v>536</v>
      </c>
      <c r="C525" s="2" t="s">
        <v>69</v>
      </c>
      <c r="D525" s="1" t="s">
        <v>70</v>
      </c>
      <c r="F525" s="3" t="s">
        <v>1605</v>
      </c>
      <c r="G525" s="3" t="str">
        <f>IFERROR(__xludf.DUMMYFUNCTION("JOIN("", "", FILTER($D524:D1989, $B524:B1989 = F525))"),"pastoor, bestuurder, rector, katholiek priester, leerkracht, aalmoezenier")</f>
        <v>pastoor, bestuurder, rector, katholiek priester, leerkracht, aalmoezenier</v>
      </c>
    </row>
    <row r="526">
      <c r="A526" s="2" t="s">
        <v>555</v>
      </c>
      <c r="B526" s="1" t="s">
        <v>556</v>
      </c>
      <c r="C526" s="2" t="s">
        <v>43</v>
      </c>
      <c r="D526" s="1" t="s">
        <v>44</v>
      </c>
      <c r="F526" s="3" t="s">
        <v>1607</v>
      </c>
      <c r="G526" s="3" t="str">
        <f>IFERROR(__xludf.DUMMYFUNCTION("JOIN("", "", FILTER($D525:D1989, $B525:B1989 = F526))"),"")</f>
        <v/>
      </c>
    </row>
    <row r="527">
      <c r="A527" s="2" t="s">
        <v>557</v>
      </c>
      <c r="B527" s="1" t="s">
        <v>558</v>
      </c>
      <c r="C527" s="2" t="s">
        <v>43</v>
      </c>
      <c r="D527" s="1" t="s">
        <v>44</v>
      </c>
      <c r="F527" s="3" t="s">
        <v>1609</v>
      </c>
      <c r="G527" s="3" t="str">
        <f>IFERROR(__xludf.DUMMYFUNCTION("JOIN("", "", FILTER($D526:D1989, $B526:B1989 = F527))"),"")</f>
        <v/>
      </c>
    </row>
    <row r="528">
      <c r="A528" s="2" t="s">
        <v>524</v>
      </c>
      <c r="B528" s="1" t="s">
        <v>525</v>
      </c>
      <c r="C528" s="2" t="s">
        <v>252</v>
      </c>
      <c r="D528" s="1" t="s">
        <v>253</v>
      </c>
      <c r="E528" s="2" t="s">
        <v>526</v>
      </c>
      <c r="F528" s="3" t="s">
        <v>1611</v>
      </c>
      <c r="G528" s="3" t="str">
        <f>IFERROR(__xludf.DUMMYFUNCTION("JOIN("", "", FILTER($D527:D1989, $B527:B1989 = F528))"),"")</f>
        <v/>
      </c>
    </row>
    <row r="529">
      <c r="A529" s="2" t="s">
        <v>559</v>
      </c>
      <c r="B529" s="1" t="s">
        <v>560</v>
      </c>
      <c r="C529" s="2" t="s">
        <v>41</v>
      </c>
      <c r="D529" s="1" t="s">
        <v>42</v>
      </c>
      <c r="F529" s="3" t="s">
        <v>1613</v>
      </c>
      <c r="G529" s="3" t="str">
        <f>IFERROR(__xludf.DUMMYFUNCTION("JOIN("", "", FILTER($D528:D1989, $B528:B1989 = F529))"),"")</f>
        <v/>
      </c>
    </row>
    <row r="530">
      <c r="A530" s="2" t="s">
        <v>559</v>
      </c>
      <c r="B530" s="1" t="s">
        <v>560</v>
      </c>
      <c r="C530" s="2" t="s">
        <v>43</v>
      </c>
      <c r="D530" s="1" t="s">
        <v>44</v>
      </c>
      <c r="F530" s="3" t="s">
        <v>1615</v>
      </c>
      <c r="G530" s="3" t="str">
        <f>IFERROR(__xludf.DUMMYFUNCTION("JOIN("", "", FILTER($D529:D1989, $B529:B1989 = F530))"),"")</f>
        <v/>
      </c>
    </row>
    <row r="531">
      <c r="A531" s="2" t="s">
        <v>561</v>
      </c>
      <c r="B531" s="1" t="s">
        <v>562</v>
      </c>
      <c r="C531" s="2" t="s">
        <v>41</v>
      </c>
      <c r="D531" s="1" t="s">
        <v>42</v>
      </c>
      <c r="F531" s="3" t="s">
        <v>1619</v>
      </c>
      <c r="G531" s="3" t="str">
        <f>IFERROR(__xludf.DUMMYFUNCTION("JOIN("", "", FILTER($D530:D1989, $B530:B1989 = F531))"),"pastoor, directeur, katholiek priester, leerkracht")</f>
        <v>pastoor, directeur, katholiek priester, leerkracht</v>
      </c>
    </row>
    <row r="532">
      <c r="A532" s="2" t="s">
        <v>561</v>
      </c>
      <c r="B532" s="1" t="s">
        <v>562</v>
      </c>
      <c r="C532" s="2" t="s">
        <v>43</v>
      </c>
      <c r="D532" s="1" t="s">
        <v>44</v>
      </c>
      <c r="F532" s="3" t="s">
        <v>1621</v>
      </c>
      <c r="G532" s="3" t="str">
        <f>IFERROR(__xludf.DUMMYFUNCTION("JOIN("", "", FILTER($D531:D1989, $B531:B1989 = F532))"),"katholiek priester, missionaris")</f>
        <v>katholiek priester, missionaris</v>
      </c>
    </row>
    <row r="533">
      <c r="A533" s="2" t="s">
        <v>555</v>
      </c>
      <c r="B533" s="1" t="s">
        <v>556</v>
      </c>
      <c r="C533" s="2" t="s">
        <v>49</v>
      </c>
      <c r="D533" s="1" t="s">
        <v>50</v>
      </c>
      <c r="F533" s="3" t="s">
        <v>1623</v>
      </c>
      <c r="G533" s="3" t="str">
        <f>IFERROR(__xludf.DUMMYFUNCTION("JOIN("", "", FILTER($D532:D1989, $B532:B1989 = F533))"),"rentenier")</f>
        <v>rentenier</v>
      </c>
    </row>
    <row r="534">
      <c r="A534" s="2" t="s">
        <v>557</v>
      </c>
      <c r="B534" s="1" t="s">
        <v>558</v>
      </c>
      <c r="C534" s="2" t="s">
        <v>49</v>
      </c>
      <c r="D534" s="1" t="s">
        <v>50</v>
      </c>
      <c r="F534" s="3" t="s">
        <v>1625</v>
      </c>
      <c r="G534" s="3" t="str">
        <f>IFERROR(__xludf.DUMMYFUNCTION("JOIN("", "", FILTER($D533:D1989, $B533:B1989 = F534))"),"catalograaf, bibliotheekmedewerker, genealoog")</f>
        <v>catalograaf, bibliotheekmedewerker, genealoog</v>
      </c>
    </row>
    <row r="535">
      <c r="A535" s="2" t="s">
        <v>545</v>
      </c>
      <c r="B535" s="1" t="s">
        <v>546</v>
      </c>
      <c r="C535" s="2" t="s">
        <v>69</v>
      </c>
      <c r="D535" s="1" t="s">
        <v>70</v>
      </c>
      <c r="F535" s="3" t="s">
        <v>1631</v>
      </c>
      <c r="G535" s="3" t="str">
        <f>IFERROR(__xludf.DUMMYFUNCTION("JOIN("", "", FILTER($D534:D1989, $B534:B1989 = F535))"),"dichter, pastoor, directeur, katholiek priester, leerkracht, parochievicaris")</f>
        <v>dichter, pastoor, directeur, katholiek priester, leerkracht, parochievicaris</v>
      </c>
    </row>
    <row r="536">
      <c r="A536" s="2" t="s">
        <v>527</v>
      </c>
      <c r="B536" s="1" t="s">
        <v>528</v>
      </c>
      <c r="C536" s="2" t="s">
        <v>90</v>
      </c>
      <c r="D536" s="1" t="s">
        <v>91</v>
      </c>
      <c r="F536" s="3" t="s">
        <v>1633</v>
      </c>
      <c r="G536" s="3" t="str">
        <f>IFERROR(__xludf.DUMMYFUNCTION("JOIN("", "", FILTER($D535:D1989, $B535:B1989 = F536))"),"katholiek priester, pater")</f>
        <v>katholiek priester, pater</v>
      </c>
    </row>
    <row r="537">
      <c r="A537" s="2" t="s">
        <v>549</v>
      </c>
      <c r="B537" s="1" t="s">
        <v>550</v>
      </c>
      <c r="C537" s="2" t="s">
        <v>516</v>
      </c>
      <c r="D537" s="1" t="s">
        <v>517</v>
      </c>
      <c r="F537" s="3" t="s">
        <v>1635</v>
      </c>
      <c r="G537" s="3" t="str">
        <f>IFERROR(__xludf.DUMMYFUNCTION("JOIN("", "", FILTER($D536:D1989, $B536:B1989 = F537))"),"studiemeester, directeur, katholiek priester, leerkracht, dichter")</f>
        <v>studiemeester, directeur, katholiek priester, leerkracht, dichter</v>
      </c>
    </row>
    <row r="538">
      <c r="A538" s="2" t="s">
        <v>559</v>
      </c>
      <c r="B538" s="1" t="s">
        <v>560</v>
      </c>
      <c r="C538" s="2" t="s">
        <v>49</v>
      </c>
      <c r="D538" s="1" t="s">
        <v>50</v>
      </c>
      <c r="F538" s="3" t="s">
        <v>1637</v>
      </c>
      <c r="G538" s="3" t="str">
        <f>IFERROR(__xludf.DUMMYFUNCTION("JOIN("", "", FILTER($D537:D1989, $B537:B1989 = F538))"),"schrijver, dichter, geestelijk leidsman, pastoor, politicus, toneelschrijver, katholiek priester, leerkracht, parochievicaris")</f>
        <v>schrijver, dichter, geestelijk leidsman, pastoor, politicus, toneelschrijver, katholiek priester, leerkracht, parochievicaris</v>
      </c>
    </row>
    <row r="539">
      <c r="A539" s="2" t="s">
        <v>547</v>
      </c>
      <c r="B539" s="1" t="s">
        <v>548</v>
      </c>
      <c r="C539" s="2" t="s">
        <v>296</v>
      </c>
      <c r="D539" s="1" t="s">
        <v>297</v>
      </c>
      <c r="F539" s="3" t="s">
        <v>1639</v>
      </c>
      <c r="G539" s="3" t="str">
        <f>IFERROR(__xludf.DUMMYFUNCTION("JOIN("", "", FILTER($D538:D1989, $B538:B1989 = F539))"),"non, prior")</f>
        <v>non, prior</v>
      </c>
    </row>
    <row r="540">
      <c r="A540" s="2" t="s">
        <v>563</v>
      </c>
      <c r="B540" s="1" t="s">
        <v>564</v>
      </c>
      <c r="C540" s="2" t="s">
        <v>41</v>
      </c>
      <c r="D540" s="1" t="s">
        <v>42</v>
      </c>
      <c r="F540" s="3" t="s">
        <v>1641</v>
      </c>
      <c r="G540" s="3" t="str">
        <f>IFERROR(__xludf.DUMMYFUNCTION("JOIN("", "", FILTER($D539:D1989, $B539:B1989 = F540))"),"klokkengieter, kopergieter")</f>
        <v>klokkengieter, kopergieter</v>
      </c>
    </row>
    <row r="541">
      <c r="A541" s="2" t="s">
        <v>541</v>
      </c>
      <c r="B541" s="1" t="s">
        <v>542</v>
      </c>
      <c r="C541" s="2" t="s">
        <v>69</v>
      </c>
      <c r="D541" s="1" t="s">
        <v>70</v>
      </c>
      <c r="F541" s="3" t="s">
        <v>1645</v>
      </c>
      <c r="G541" s="3" t="str">
        <f>IFERROR(__xludf.DUMMYFUNCTION("JOIN("", "", FILTER($D540:D1989, $B540:B1989 = F541))"),"onderwijzer, non")</f>
        <v>onderwijzer, non</v>
      </c>
    </row>
    <row r="542">
      <c r="A542" s="2" t="s">
        <v>563</v>
      </c>
      <c r="B542" s="1" t="s">
        <v>564</v>
      </c>
      <c r="C542" s="2" t="s">
        <v>43</v>
      </c>
      <c r="D542" s="1" t="s">
        <v>44</v>
      </c>
      <c r="F542" s="3" t="s">
        <v>1647</v>
      </c>
      <c r="G542" s="3" t="str">
        <f>IFERROR(__xludf.DUMMYFUNCTION("JOIN("", "", FILTER($D541:D1989, $B541:B1989 = F542))"),"politicus, industrieel, molenaar")</f>
        <v>politicus, industrieel, molenaar</v>
      </c>
    </row>
    <row r="543">
      <c r="A543" s="2" t="s">
        <v>565</v>
      </c>
      <c r="B543" s="1" t="s">
        <v>566</v>
      </c>
      <c r="C543" s="2" t="s">
        <v>567</v>
      </c>
      <c r="D543" s="1" t="s">
        <v>568</v>
      </c>
      <c r="F543" s="3" t="s">
        <v>1649</v>
      </c>
      <c r="G543" s="3" t="str">
        <f>IFERROR(__xludf.DUMMYFUNCTION("JOIN("", "", FILTER($D542:D1989, $B542:B1989 = F543))"),"non, overste")</f>
        <v>non, overste</v>
      </c>
    </row>
    <row r="544">
      <c r="A544" s="2" t="s">
        <v>565</v>
      </c>
      <c r="B544" s="1" t="s">
        <v>566</v>
      </c>
      <c r="C544" s="2" t="s">
        <v>345</v>
      </c>
      <c r="D544" s="1" t="s">
        <v>346</v>
      </c>
      <c r="F544" s="3" t="s">
        <v>1651</v>
      </c>
      <c r="G544" s="3" t="str">
        <f>IFERROR(__xludf.DUMMYFUNCTION("JOIN("", "", FILTER($D543:D1989, $B543:B1989 = F544))"),"herbergier, dienstmeid")</f>
        <v>herbergier, dienstmeid</v>
      </c>
    </row>
    <row r="545">
      <c r="A545" s="2" t="s">
        <v>565</v>
      </c>
      <c r="B545" s="1" t="s">
        <v>566</v>
      </c>
      <c r="C545" s="2" t="s">
        <v>139</v>
      </c>
      <c r="D545" s="1" t="s">
        <v>140</v>
      </c>
      <c r="F545" s="3" t="s">
        <v>1653</v>
      </c>
      <c r="G545" s="3" t="str">
        <f>IFERROR(__xludf.DUMMYFUNCTION("JOIN("", "", FILTER($D544:D1989, $B544:B1989 = F545))"),"non")</f>
        <v>non</v>
      </c>
    </row>
    <row r="546">
      <c r="A546" s="2" t="s">
        <v>563</v>
      </c>
      <c r="B546" s="1" t="s">
        <v>564</v>
      </c>
      <c r="C546" s="2" t="s">
        <v>49</v>
      </c>
      <c r="D546" s="1" t="s">
        <v>50</v>
      </c>
      <c r="F546" s="3" t="s">
        <v>1655</v>
      </c>
      <c r="G546" s="3" t="str">
        <f>IFERROR(__xludf.DUMMYFUNCTION("JOIN("", "", FILTER($D545:D1989, $B545:B1989 = F546))"),"non, overste")</f>
        <v>non, overste</v>
      </c>
    </row>
    <row r="547">
      <c r="A547" s="2" t="s">
        <v>527</v>
      </c>
      <c r="B547" s="1" t="s">
        <v>528</v>
      </c>
      <c r="C547" s="2" t="s">
        <v>296</v>
      </c>
      <c r="D547" s="1" t="s">
        <v>297</v>
      </c>
      <c r="F547" s="3" t="s">
        <v>1657</v>
      </c>
      <c r="G547" s="3" t="str">
        <f>IFERROR(__xludf.DUMMYFUNCTION("JOIN("", "", FILTER($D546:D1989, $B546:B1989 = F547))"),"coadjutor, rooms-katholiek priester, parochievicaris")</f>
        <v>coadjutor, rooms-katholiek priester, parochievicaris</v>
      </c>
    </row>
    <row r="548">
      <c r="A548" s="2" t="s">
        <v>423</v>
      </c>
      <c r="B548" s="1" t="s">
        <v>424</v>
      </c>
      <c r="C548" s="2" t="s">
        <v>569</v>
      </c>
      <c r="D548" s="1" t="s">
        <v>570</v>
      </c>
      <c r="E548" s="2" t="s">
        <v>425</v>
      </c>
      <c r="F548" s="3" t="s">
        <v>1661</v>
      </c>
      <c r="G548" s="3" t="str">
        <f>IFERROR(__xludf.DUMMYFUNCTION("JOIN("", "", FILTER($D547:D1989, $B547:B1989 = F548))"),"academisch docent, professor, ambtenaar, politicus")</f>
        <v>academisch docent, professor, ambtenaar, politicus</v>
      </c>
    </row>
    <row r="549">
      <c r="A549" s="2" t="s">
        <v>571</v>
      </c>
      <c r="B549" s="1" t="s">
        <v>572</v>
      </c>
      <c r="C549" s="2" t="s">
        <v>41</v>
      </c>
      <c r="D549" s="1" t="s">
        <v>42</v>
      </c>
      <c r="F549" s="3" t="s">
        <v>1666</v>
      </c>
      <c r="G549" s="3" t="str">
        <f>IFERROR(__xludf.DUMMYFUNCTION("JOIN("", "", FILTER($D548:D1989, $B548:B1989 = F549))"),"professor, filoloog, academisch docent")</f>
        <v>professor, filoloog, academisch docent</v>
      </c>
    </row>
    <row r="550">
      <c r="A550" s="2" t="s">
        <v>571</v>
      </c>
      <c r="B550" s="1" t="s">
        <v>572</v>
      </c>
      <c r="C550" s="2" t="s">
        <v>405</v>
      </c>
      <c r="D550" s="1" t="s">
        <v>406</v>
      </c>
      <c r="F550" s="3" t="s">
        <v>1669</v>
      </c>
      <c r="G550" s="3" t="str">
        <f>IFERROR(__xludf.DUMMYFUNCTION("JOIN("", "", FILTER($D549:D1989, $B549:B1989 = F550))"),"")</f>
        <v/>
      </c>
    </row>
    <row r="551">
      <c r="A551" s="2" t="s">
        <v>571</v>
      </c>
      <c r="B551" s="1" t="s">
        <v>572</v>
      </c>
      <c r="C551" s="2" t="s">
        <v>43</v>
      </c>
      <c r="D551" s="1" t="s">
        <v>44</v>
      </c>
      <c r="F551" s="3" t="s">
        <v>1671</v>
      </c>
      <c r="G551" s="3" t="str">
        <f>IFERROR(__xludf.DUMMYFUNCTION("JOIN("", "", FILTER($D550:D1989, $B550:B1989 = F551))"),"lithograaf")</f>
        <v>lithograaf</v>
      </c>
    </row>
    <row r="552">
      <c r="A552" s="2" t="s">
        <v>573</v>
      </c>
      <c r="B552" s="1" t="s">
        <v>574</v>
      </c>
      <c r="C552" s="2" t="s">
        <v>49</v>
      </c>
      <c r="D552" s="1" t="s">
        <v>50</v>
      </c>
      <c r="E552" s="2" t="s">
        <v>575</v>
      </c>
      <c r="F552" s="3" t="s">
        <v>1673</v>
      </c>
      <c r="G552" s="3" t="str">
        <f>IFERROR(__xludf.DUMMYFUNCTION("JOIN("", "", FILTER($D551:D1989, $B551:B1989 = F552))"),"")</f>
        <v/>
      </c>
    </row>
    <row r="553">
      <c r="A553" s="2" t="s">
        <v>559</v>
      </c>
      <c r="B553" s="1" t="s">
        <v>560</v>
      </c>
      <c r="C553" s="2" t="s">
        <v>69</v>
      </c>
      <c r="D553" s="1" t="s">
        <v>70</v>
      </c>
      <c r="F553" s="3" t="s">
        <v>1675</v>
      </c>
      <c r="G553" s="3" t="str">
        <f>IFERROR(__xludf.DUMMYFUNCTION("JOIN("", "", FILTER($D552:D1989, $B552:B1989 = F553))"),"")</f>
        <v/>
      </c>
    </row>
    <row r="554">
      <c r="A554" s="2" t="s">
        <v>563</v>
      </c>
      <c r="B554" s="1" t="s">
        <v>564</v>
      </c>
      <c r="C554" s="2" t="s">
        <v>92</v>
      </c>
      <c r="D554" s="1" t="s">
        <v>93</v>
      </c>
      <c r="F554" s="3" t="s">
        <v>1677</v>
      </c>
      <c r="G554" s="3" t="str">
        <f>IFERROR(__xludf.DUMMYFUNCTION("JOIN("", "", FILTER($D553:D1989, $B553:B1989 = F554))"),"")</f>
        <v/>
      </c>
    </row>
    <row r="555">
      <c r="A555" s="2" t="s">
        <v>571</v>
      </c>
      <c r="B555" s="1" t="s">
        <v>572</v>
      </c>
      <c r="C555" s="2" t="s">
        <v>49</v>
      </c>
      <c r="D555" s="1" t="s">
        <v>50</v>
      </c>
      <c r="F555" s="3" t="s">
        <v>1679</v>
      </c>
      <c r="G555" s="3" t="str">
        <f>IFERROR(__xludf.DUMMYFUNCTION("JOIN("", "", FILTER($D554:D1989, $B554:B1989 = F555))"),"politicus, tandarts, schrijver")</f>
        <v>politicus, tandarts, schrijver</v>
      </c>
    </row>
    <row r="556">
      <c r="A556" s="2" t="s">
        <v>565</v>
      </c>
      <c r="B556" s="1" t="s">
        <v>566</v>
      </c>
      <c r="C556" s="2" t="s">
        <v>576</v>
      </c>
      <c r="D556" s="1" t="s">
        <v>577</v>
      </c>
      <c r="F556" s="3" t="s">
        <v>1681</v>
      </c>
      <c r="G556" s="3" t="str">
        <f>IFERROR(__xludf.DUMMYFUNCTION("JOIN("", "", FILTER($D555:D1989, $B555:B1989 = F556))"),"")</f>
        <v/>
      </c>
    </row>
    <row r="557">
      <c r="A557" s="2" t="s">
        <v>561</v>
      </c>
      <c r="B557" s="1" t="s">
        <v>562</v>
      </c>
      <c r="C557" s="2" t="s">
        <v>69</v>
      </c>
      <c r="D557" s="1" t="s">
        <v>70</v>
      </c>
      <c r="F557" s="3" t="s">
        <v>1683</v>
      </c>
      <c r="G557" s="3" t="str">
        <f>IFERROR(__xludf.DUMMYFUNCTION("JOIN("", "", FILTER($D556:D1989, $B556:B1989 = F557))"),"")</f>
        <v/>
      </c>
    </row>
    <row r="558">
      <c r="A558" s="2" t="s">
        <v>551</v>
      </c>
      <c r="B558" s="1" t="s">
        <v>552</v>
      </c>
      <c r="C558" s="2" t="s">
        <v>280</v>
      </c>
      <c r="D558" s="1" t="s">
        <v>281</v>
      </c>
      <c r="F558" s="3" t="s">
        <v>1685</v>
      </c>
      <c r="G558" s="3" t="str">
        <f>IFERROR(__xludf.DUMMYFUNCTION("JOIN("", "", FILTER($D557:D1989, $B557:B1989 = F558))"),"")</f>
        <v/>
      </c>
    </row>
    <row r="559">
      <c r="A559" s="2" t="s">
        <v>423</v>
      </c>
      <c r="B559" s="1" t="s">
        <v>424</v>
      </c>
      <c r="C559" s="2" t="s">
        <v>133</v>
      </c>
      <c r="D559" s="1" t="s">
        <v>134</v>
      </c>
      <c r="E559" s="2" t="s">
        <v>425</v>
      </c>
      <c r="F559" s="3" t="s">
        <v>1687</v>
      </c>
      <c r="G559" s="3" t="str">
        <f>IFERROR(__xludf.DUMMYFUNCTION("JOIN("", "", FILTER($D558:D1989, $B558:B1989 = F559))"),"")</f>
        <v/>
      </c>
    </row>
    <row r="560">
      <c r="A560" s="2" t="s">
        <v>423</v>
      </c>
      <c r="B560" s="1" t="s">
        <v>424</v>
      </c>
      <c r="C560" s="2" t="s">
        <v>433</v>
      </c>
      <c r="D560" s="1" t="s">
        <v>434</v>
      </c>
      <c r="E560" s="2" t="s">
        <v>425</v>
      </c>
      <c r="F560" s="3" t="s">
        <v>1689</v>
      </c>
      <c r="G560" s="3" t="str">
        <f>IFERROR(__xludf.DUMMYFUNCTION("JOIN("", "", FILTER($D559:D1989, $B559:B1989 = F560))"),"onderwijzer, politicus")</f>
        <v>onderwijzer, politicus</v>
      </c>
    </row>
    <row r="561">
      <c r="A561" s="2" t="s">
        <v>539</v>
      </c>
      <c r="B561" s="1" t="s">
        <v>540</v>
      </c>
      <c r="C561" s="2" t="s">
        <v>12</v>
      </c>
      <c r="D561" s="1" t="s">
        <v>13</v>
      </c>
      <c r="F561" s="3" t="s">
        <v>1691</v>
      </c>
      <c r="G561" s="3" t="str">
        <f>IFERROR(__xludf.DUMMYFUNCTION("JOIN("", "", FILTER($D560:D1989, $B560:B1989 = F561))"),"")</f>
        <v/>
      </c>
    </row>
    <row r="562">
      <c r="A562" s="2" t="s">
        <v>571</v>
      </c>
      <c r="B562" s="1" t="s">
        <v>572</v>
      </c>
      <c r="C562" s="2" t="s">
        <v>69</v>
      </c>
      <c r="D562" s="1" t="s">
        <v>70</v>
      </c>
      <c r="F562" s="3" t="s">
        <v>1693</v>
      </c>
      <c r="G562" s="3" t="str">
        <f>IFERROR(__xludf.DUMMYFUNCTION("JOIN("", "", FILTER($D561:D1989, $B561:B1989 = F562))"),"")</f>
        <v/>
      </c>
    </row>
    <row r="563">
      <c r="A563" s="2" t="s">
        <v>557</v>
      </c>
      <c r="B563" s="1" t="s">
        <v>558</v>
      </c>
      <c r="C563" s="2" t="s">
        <v>578</v>
      </c>
      <c r="D563" s="1" t="s">
        <v>579</v>
      </c>
      <c r="F563" s="3" t="s">
        <v>1695</v>
      </c>
      <c r="G563" s="3" t="str">
        <f>IFERROR(__xludf.DUMMYFUNCTION("JOIN("", "", FILTER($D562:D1989, $B562:B1989 = F563))"),"")</f>
        <v/>
      </c>
    </row>
    <row r="564">
      <c r="A564" s="2" t="s">
        <v>580</v>
      </c>
      <c r="B564" s="1" t="s">
        <v>581</v>
      </c>
      <c r="C564" s="2" t="s">
        <v>84</v>
      </c>
      <c r="D564" s="1" t="s">
        <v>85</v>
      </c>
      <c r="F564" s="3" t="s">
        <v>1697</v>
      </c>
      <c r="G564" s="3" t="str">
        <f>IFERROR(__xludf.DUMMYFUNCTION("JOIN("", "", FILTER($D563:D1989, $B563:B1989 = F564))"),"")</f>
        <v/>
      </c>
    </row>
    <row r="565">
      <c r="A565" s="2" t="s">
        <v>582</v>
      </c>
      <c r="B565" s="1" t="s">
        <v>583</v>
      </c>
      <c r="C565" s="2" t="s">
        <v>56</v>
      </c>
      <c r="D565" s="1" t="s">
        <v>57</v>
      </c>
      <c r="F565" s="3" t="s">
        <v>1699</v>
      </c>
      <c r="G565" s="3" t="str">
        <f>IFERROR(__xludf.DUMMYFUNCTION("JOIN("", "", FILTER($D564:D1989, $B564:B1989 = F565))"),"")</f>
        <v/>
      </c>
    </row>
    <row r="566">
      <c r="A566" s="2" t="s">
        <v>582</v>
      </c>
      <c r="B566" s="1" t="s">
        <v>583</v>
      </c>
      <c r="C566" s="2" t="s">
        <v>43</v>
      </c>
      <c r="D566" s="1" t="s">
        <v>44</v>
      </c>
      <c r="F566" s="3" t="s">
        <v>1701</v>
      </c>
      <c r="G566" s="3" t="str">
        <f>IFERROR(__xludf.DUMMYFUNCTION("JOIN("", "", FILTER($D565:D1989, $B565:B1989 = F566))"),"")</f>
        <v/>
      </c>
    </row>
    <row r="567">
      <c r="A567" s="2" t="s">
        <v>580</v>
      </c>
      <c r="B567" s="1" t="s">
        <v>581</v>
      </c>
      <c r="C567" s="2" t="s">
        <v>43</v>
      </c>
      <c r="D567" s="1" t="s">
        <v>44</v>
      </c>
      <c r="F567" s="3" t="s">
        <v>1703</v>
      </c>
      <c r="G567" s="3" t="str">
        <f>IFERROR(__xludf.DUMMYFUNCTION("JOIN("", "", FILTER($D566:D1989, $B566:B1989 = F567))"),"")</f>
        <v/>
      </c>
    </row>
    <row r="568">
      <c r="A568" s="2" t="s">
        <v>423</v>
      </c>
      <c r="B568" s="1" t="s">
        <v>424</v>
      </c>
      <c r="C568" s="2" t="s">
        <v>79</v>
      </c>
      <c r="D568" s="1" t="s">
        <v>80</v>
      </c>
      <c r="E568" s="2" t="s">
        <v>425</v>
      </c>
      <c r="F568" s="3" t="s">
        <v>1705</v>
      </c>
      <c r="G568" s="3" t="str">
        <f>IFERROR(__xludf.DUMMYFUNCTION("JOIN("", "", FILTER($D567:D1989, $B567:B1989 = F568))"),"")</f>
        <v/>
      </c>
    </row>
    <row r="569">
      <c r="A569" s="2" t="s">
        <v>580</v>
      </c>
      <c r="B569" s="1" t="s">
        <v>581</v>
      </c>
      <c r="C569" s="2" t="s">
        <v>49</v>
      </c>
      <c r="D569" s="1" t="s">
        <v>50</v>
      </c>
      <c r="F569" s="3" t="s">
        <v>1707</v>
      </c>
      <c r="G569" s="3" t="str">
        <f>IFERROR(__xludf.DUMMYFUNCTION("JOIN("", "", FILTER($D568:D1989, $B568:B1989 = F569))"),"")</f>
        <v/>
      </c>
    </row>
    <row r="570">
      <c r="A570" s="2" t="s">
        <v>549</v>
      </c>
      <c r="B570" s="1" t="s">
        <v>550</v>
      </c>
      <c r="C570" s="2" t="s">
        <v>114</v>
      </c>
      <c r="D570" s="1" t="s">
        <v>115</v>
      </c>
      <c r="F570" s="3" t="s">
        <v>1709</v>
      </c>
      <c r="G570" s="3" t="str">
        <f>IFERROR(__xludf.DUMMYFUNCTION("JOIN("", "", FILTER($D569:D1989, $B569:B1989 = F570))"),"rector, non, onderwijzer")</f>
        <v>rector, non, onderwijzer</v>
      </c>
    </row>
    <row r="571">
      <c r="A571" s="2" t="s">
        <v>551</v>
      </c>
      <c r="B571" s="1" t="s">
        <v>552</v>
      </c>
      <c r="C571" s="2" t="s">
        <v>22</v>
      </c>
      <c r="D571" s="1" t="s">
        <v>23</v>
      </c>
      <c r="F571" s="3" t="s">
        <v>1711</v>
      </c>
      <c r="G571" s="3" t="str">
        <f>IFERROR(__xludf.DUMMYFUNCTION("JOIN("", "", FILTER($D570:D1989, $B570:B1989 = F571))"),"rentenier")</f>
        <v>rentenier</v>
      </c>
    </row>
    <row r="572">
      <c r="A572" s="2" t="s">
        <v>580</v>
      </c>
      <c r="B572" s="1" t="s">
        <v>581</v>
      </c>
      <c r="C572" s="2" t="s">
        <v>92</v>
      </c>
      <c r="D572" s="1" t="s">
        <v>93</v>
      </c>
      <c r="F572" s="3" t="s">
        <v>1713</v>
      </c>
      <c r="G572" s="3" t="str">
        <f>IFERROR(__xludf.DUMMYFUNCTION("JOIN("", "", FILTER($D571:D1989, $B571:B1989 = F572))"),"secretaris, penningmeester")</f>
        <v>secretaris, penningmeester</v>
      </c>
    </row>
    <row r="573">
      <c r="A573" s="2" t="s">
        <v>584</v>
      </c>
      <c r="B573" s="1" t="s">
        <v>585</v>
      </c>
      <c r="C573" s="2" t="s">
        <v>79</v>
      </c>
      <c r="D573" s="1" t="s">
        <v>80</v>
      </c>
      <c r="F573" s="3" t="s">
        <v>1715</v>
      </c>
      <c r="G573" s="3" t="str">
        <f>IFERROR(__xludf.DUMMYFUNCTION("JOIN("", "", FILTER($D572:D1989, $B572:B1989 = F573))"),"arts")</f>
        <v>arts</v>
      </c>
    </row>
    <row r="574">
      <c r="A574" s="2" t="s">
        <v>584</v>
      </c>
      <c r="B574" s="1" t="s">
        <v>585</v>
      </c>
      <c r="C574" s="2" t="s">
        <v>49</v>
      </c>
      <c r="D574" s="1" t="s">
        <v>50</v>
      </c>
      <c r="F574" s="3" t="s">
        <v>1717</v>
      </c>
      <c r="G574" s="3" t="str">
        <f>IFERROR(__xludf.DUMMYFUNCTION("JOIN("", "", FILTER($D573:D1989, $B573:B1989 = F574))"),"pater, schrijver, componist")</f>
        <v>pater, schrijver, componist</v>
      </c>
    </row>
    <row r="575">
      <c r="A575" s="2" t="s">
        <v>580</v>
      </c>
      <c r="B575" s="1" t="s">
        <v>581</v>
      </c>
      <c r="C575" s="2" t="s">
        <v>223</v>
      </c>
      <c r="D575" s="1" t="s">
        <v>224</v>
      </c>
      <c r="F575" s="3" t="s">
        <v>1719</v>
      </c>
      <c r="G575" s="3" t="str">
        <f>IFERROR(__xludf.DUMMYFUNCTION("JOIN("", "", FILTER($D574:D1989, $B574:B1989 = F575))"),"parochievicaris, vicerector")</f>
        <v>parochievicaris, vicerector</v>
      </c>
    </row>
    <row r="576">
      <c r="A576" s="2" t="s">
        <v>565</v>
      </c>
      <c r="B576" s="1" t="s">
        <v>566</v>
      </c>
      <c r="C576" s="2" t="s">
        <v>22</v>
      </c>
      <c r="D576" s="1" t="s">
        <v>23</v>
      </c>
      <c r="F576" s="3" t="s">
        <v>1721</v>
      </c>
      <c r="G576" s="3" t="str">
        <f>IFERROR(__xludf.DUMMYFUNCTION("JOIN("", "", FILTER($D575:D1989, $B575:B1989 = F576))"),"onderwijzer")</f>
        <v>onderwijzer</v>
      </c>
    </row>
    <row r="577">
      <c r="A577" s="2" t="s">
        <v>565</v>
      </c>
      <c r="B577" s="1" t="s">
        <v>566</v>
      </c>
      <c r="C577" s="2" t="s">
        <v>443</v>
      </c>
      <c r="D577" s="1" t="s">
        <v>444</v>
      </c>
      <c r="F577" s="3" t="s">
        <v>1723</v>
      </c>
      <c r="G577" s="3" t="str">
        <f>IFERROR(__xludf.DUMMYFUNCTION("JOIN("", "", FILTER($D576:D1989, $B576:B1989 = F577))"),"leerkracht")</f>
        <v>leerkracht</v>
      </c>
    </row>
    <row r="578">
      <c r="A578" s="2" t="s">
        <v>584</v>
      </c>
      <c r="B578" s="1" t="s">
        <v>585</v>
      </c>
      <c r="C578" s="2" t="s">
        <v>60</v>
      </c>
      <c r="D578" s="1" t="s">
        <v>61</v>
      </c>
      <c r="F578" s="3" t="s">
        <v>1725</v>
      </c>
      <c r="G578" s="3" t="str">
        <f>IFERROR(__xludf.DUMMYFUNCTION("JOIN("", "", FILTER($D577:D1989, $B577:B1989 = F578))"),"rooms-katholiek priester, parochievicaris, dichter")</f>
        <v>rooms-katholiek priester, parochievicaris, dichter</v>
      </c>
    </row>
    <row r="579">
      <c r="A579" s="2" t="s">
        <v>537</v>
      </c>
      <c r="B579" s="1" t="s">
        <v>538</v>
      </c>
      <c r="C579" s="2" t="s">
        <v>77</v>
      </c>
      <c r="D579" s="1" t="s">
        <v>78</v>
      </c>
      <c r="F579" s="3" t="s">
        <v>1729</v>
      </c>
      <c r="G579" s="3" t="str">
        <f>IFERROR(__xludf.DUMMYFUNCTION("JOIN("", "", FILTER($D578:D1989, $B578:B1989 = F579))"),"dienstmeid, gouvernante")</f>
        <v>dienstmeid, gouvernante</v>
      </c>
    </row>
    <row r="580">
      <c r="A580" s="2" t="s">
        <v>537</v>
      </c>
      <c r="B580" s="1" t="s">
        <v>538</v>
      </c>
      <c r="C580" s="2" t="s">
        <v>43</v>
      </c>
      <c r="D580" s="1" t="s">
        <v>44</v>
      </c>
      <c r="F580" s="3" t="s">
        <v>1731</v>
      </c>
      <c r="G580" s="3" t="str">
        <f>IFERROR(__xludf.DUMMYFUNCTION("JOIN("", "", FILTER($D579:D1989, $B579:B1989 = F580))"),"professor, directeur, leerkracht, rooms-katholiek priester, parochievicaris")</f>
        <v>professor, directeur, leerkracht, rooms-katholiek priester, parochievicaris</v>
      </c>
    </row>
    <row r="581">
      <c r="A581" s="2" t="s">
        <v>573</v>
      </c>
      <c r="B581" s="1" t="s">
        <v>574</v>
      </c>
      <c r="C581" s="2" t="s">
        <v>443</v>
      </c>
      <c r="D581" s="1" t="s">
        <v>444</v>
      </c>
      <c r="E581" s="2" t="s">
        <v>575</v>
      </c>
      <c r="F581" s="3" t="s">
        <v>1733</v>
      </c>
      <c r="G581" s="3" t="str">
        <f>IFERROR(__xludf.DUMMYFUNCTION("JOIN("", "", FILTER($D580:D1989, $B580:B1989 = F581))"),"directeur, redacteur")</f>
        <v>directeur, redacteur</v>
      </c>
    </row>
    <row r="582">
      <c r="A582" s="2" t="s">
        <v>524</v>
      </c>
      <c r="B582" s="1" t="s">
        <v>525</v>
      </c>
      <c r="C582" s="2" t="s">
        <v>41</v>
      </c>
      <c r="D582" s="1" t="s">
        <v>42</v>
      </c>
      <c r="E582" s="2" t="s">
        <v>526</v>
      </c>
      <c r="F582" s="3" t="s">
        <v>1735</v>
      </c>
      <c r="G582" s="3" t="str">
        <f>IFERROR(__xludf.DUMMYFUNCTION("JOIN("", "", FILTER($D581:D1989, $B581:B1989 = F582))"),"hoedenmaker, wijnhandelaar")</f>
        <v>hoedenmaker, wijnhandelaar</v>
      </c>
    </row>
    <row r="583">
      <c r="A583" s="2" t="s">
        <v>537</v>
      </c>
      <c r="B583" s="1" t="s">
        <v>538</v>
      </c>
      <c r="C583" s="2" t="s">
        <v>7</v>
      </c>
      <c r="D583" s="1" t="s">
        <v>8</v>
      </c>
      <c r="F583" s="3" t="s">
        <v>1737</v>
      </c>
      <c r="G583" s="3" t="str">
        <f>IFERROR(__xludf.DUMMYFUNCTION("JOIN("", "", FILTER($D582:D1989, $B582:B1989 = F583))"),"non, overste")</f>
        <v>non, overste</v>
      </c>
    </row>
    <row r="584">
      <c r="A584" s="2" t="s">
        <v>524</v>
      </c>
      <c r="B584" s="1" t="s">
        <v>525</v>
      </c>
      <c r="C584" s="2" t="s">
        <v>77</v>
      </c>
      <c r="D584" s="1" t="s">
        <v>78</v>
      </c>
      <c r="E584" s="2" t="s">
        <v>526</v>
      </c>
      <c r="F584" s="3" t="s">
        <v>1739</v>
      </c>
      <c r="G584" s="3" t="str">
        <f>IFERROR(__xludf.DUMMYFUNCTION("JOIN("", "", FILTER($D583:D1989, $B583:B1989 = F584))"),"marskramer")</f>
        <v>marskramer</v>
      </c>
    </row>
    <row r="585">
      <c r="A585" s="2" t="s">
        <v>537</v>
      </c>
      <c r="B585" s="1" t="s">
        <v>538</v>
      </c>
      <c r="C585" s="2" t="s">
        <v>90</v>
      </c>
      <c r="D585" s="1" t="s">
        <v>91</v>
      </c>
      <c r="F585" s="3" t="s">
        <v>1745</v>
      </c>
      <c r="G585" s="3" t="str">
        <f>IFERROR(__xludf.DUMMYFUNCTION("JOIN("", "", FILTER($D584:D1989, $B584:B1989 = F585))"),"klerk")</f>
        <v>klerk</v>
      </c>
    </row>
    <row r="586">
      <c r="A586" s="2" t="s">
        <v>586</v>
      </c>
      <c r="B586" s="1" t="s">
        <v>587</v>
      </c>
      <c r="F586" s="3" t="s">
        <v>1749</v>
      </c>
      <c r="G586" s="3" t="str">
        <f>IFERROR(__xludf.DUMMYFUNCTION("JOIN("", "", FILTER($D585:D1989, $B585:B1989 = F586))"),"winkelier")</f>
        <v>winkelier</v>
      </c>
    </row>
    <row r="587">
      <c r="A587" s="2" t="s">
        <v>588</v>
      </c>
      <c r="B587" s="1" t="s">
        <v>589</v>
      </c>
      <c r="C587" s="2" t="s">
        <v>341</v>
      </c>
      <c r="D587" s="1" t="s">
        <v>342</v>
      </c>
      <c r="F587" s="3" t="s">
        <v>1752</v>
      </c>
      <c r="G587" s="3" t="str">
        <f>IFERROR(__xludf.DUMMYFUNCTION("JOIN("", "", FILTER($D586:D1989, $B586:B1989 = F587))"),"non")</f>
        <v>non</v>
      </c>
    </row>
    <row r="588">
      <c r="A588" s="2" t="s">
        <v>588</v>
      </c>
      <c r="B588" s="1" t="s">
        <v>589</v>
      </c>
      <c r="C588" s="2" t="s">
        <v>103</v>
      </c>
      <c r="D588" s="1" t="s">
        <v>104</v>
      </c>
      <c r="F588" s="3" t="s">
        <v>1754</v>
      </c>
      <c r="G588" s="3" t="str">
        <f>IFERROR(__xludf.DUMMYFUNCTION("JOIN("", "", FILTER($D587:D1989, $B587:B1989 = F588))"),"non")</f>
        <v>non</v>
      </c>
    </row>
    <row r="589">
      <c r="A589" s="2" t="s">
        <v>590</v>
      </c>
      <c r="B589" s="1" t="s">
        <v>591</v>
      </c>
      <c r="C589" s="2" t="s">
        <v>216</v>
      </c>
      <c r="D589" s="1" t="s">
        <v>217</v>
      </c>
      <c r="F589" s="3" t="s">
        <v>1756</v>
      </c>
      <c r="G589" s="3" t="str">
        <f>IFERROR(__xludf.DUMMYFUNCTION("JOIN("", "", FILTER($D588:D1989, $B588:B1989 = F589))"),"missionaris")</f>
        <v>missionaris</v>
      </c>
    </row>
    <row r="590">
      <c r="A590" s="2" t="s">
        <v>590</v>
      </c>
      <c r="B590" s="1" t="s">
        <v>591</v>
      </c>
      <c r="C590" s="2" t="s">
        <v>133</v>
      </c>
      <c r="D590" s="1" t="s">
        <v>134</v>
      </c>
      <c r="F590" s="3" t="s">
        <v>1758</v>
      </c>
      <c r="G590" s="3" t="str">
        <f>IFERROR(__xludf.DUMMYFUNCTION("JOIN("", "", FILTER($D589:D1989, $B589:B1989 = F590))"),"non, overste")</f>
        <v>non, overste</v>
      </c>
    </row>
    <row r="591">
      <c r="A591" s="2" t="s">
        <v>590</v>
      </c>
      <c r="B591" s="1" t="s">
        <v>591</v>
      </c>
      <c r="C591" s="2" t="s">
        <v>43</v>
      </c>
      <c r="D591" s="1" t="s">
        <v>44</v>
      </c>
      <c r="F591" s="3" t="s">
        <v>1760</v>
      </c>
      <c r="G591" s="3" t="str">
        <f>IFERROR(__xludf.DUMMYFUNCTION("JOIN("", "", FILTER($D590:D1989, $B590:B1989 = F591))"),"non, overste")</f>
        <v>non, overste</v>
      </c>
    </row>
    <row r="592">
      <c r="A592" s="2" t="s">
        <v>588</v>
      </c>
      <c r="B592" s="1" t="s">
        <v>589</v>
      </c>
      <c r="C592" s="2" t="s">
        <v>139</v>
      </c>
      <c r="D592" s="1" t="s">
        <v>140</v>
      </c>
      <c r="F592" s="3" t="s">
        <v>1762</v>
      </c>
      <c r="G592" s="3" t="str">
        <f>IFERROR(__xludf.DUMMYFUNCTION("JOIN("", "", FILTER($D591:D1989, $B591:B1989 = F592))"),"grondeigenaar")</f>
        <v>grondeigenaar</v>
      </c>
    </row>
    <row r="593">
      <c r="A593" s="2" t="s">
        <v>592</v>
      </c>
      <c r="B593" s="1" t="s">
        <v>593</v>
      </c>
      <c r="C593" s="2" t="s">
        <v>594</v>
      </c>
      <c r="D593" s="1" t="s">
        <v>595</v>
      </c>
      <c r="F593" s="3" t="s">
        <v>1765</v>
      </c>
      <c r="G593" s="3" t="str">
        <f>IFERROR(__xludf.DUMMYFUNCTION("JOIN("", "", FILTER($D592:D1989, $B592:B1989 = F593))"),"arts")</f>
        <v>arts</v>
      </c>
    </row>
    <row r="594">
      <c r="A594" s="2" t="s">
        <v>596</v>
      </c>
      <c r="B594" s="1" t="s">
        <v>597</v>
      </c>
      <c r="C594" s="2" t="s">
        <v>508</v>
      </c>
      <c r="D594" s="1" t="s">
        <v>509</v>
      </c>
      <c r="F594" s="3" t="s">
        <v>1767</v>
      </c>
      <c r="G594" s="3" t="str">
        <f>IFERROR(__xludf.DUMMYFUNCTION("JOIN("", "", FILTER($D593:D1989, $B593:B1989 = F594))"),"apotheker")</f>
        <v>apotheker</v>
      </c>
    </row>
    <row r="595">
      <c r="A595" s="2" t="s">
        <v>596</v>
      </c>
      <c r="B595" s="1" t="s">
        <v>597</v>
      </c>
      <c r="C595" s="2" t="s">
        <v>69</v>
      </c>
      <c r="D595" s="1" t="s">
        <v>70</v>
      </c>
      <c r="F595" s="3" t="s">
        <v>1771</v>
      </c>
      <c r="G595" s="3" t="str">
        <f>IFERROR(__xludf.DUMMYFUNCTION("JOIN("", "", FILTER($D594:D1989, $B594:B1989 = F595))"),"industrieel")</f>
        <v>industrieel</v>
      </c>
    </row>
    <row r="596">
      <c r="A596" s="2" t="s">
        <v>598</v>
      </c>
      <c r="B596" s="1" t="s">
        <v>599</v>
      </c>
      <c r="C596" s="2" t="s">
        <v>600</v>
      </c>
      <c r="D596" s="1" t="s">
        <v>601</v>
      </c>
      <c r="F596" s="3" t="s">
        <v>1773</v>
      </c>
      <c r="G596" s="3" t="str">
        <f>IFERROR(__xludf.DUMMYFUNCTION("JOIN("", "", FILTER($D595:D1989, $B595:B1989 = F596))"),"fabrikant")</f>
        <v>fabrikant</v>
      </c>
    </row>
    <row r="597">
      <c r="A597" s="2" t="s">
        <v>602</v>
      </c>
      <c r="B597" s="1" t="s">
        <v>603</v>
      </c>
      <c r="C597" s="2" t="s">
        <v>604</v>
      </c>
      <c r="D597" s="1" t="s">
        <v>605</v>
      </c>
      <c r="E597" s="2" t="s">
        <v>606</v>
      </c>
      <c r="F597" s="3" t="s">
        <v>1775</v>
      </c>
      <c r="G597" s="3" t="str">
        <f>IFERROR(__xludf.DUMMYFUNCTION("JOIN("", "", FILTER($D596:D1989, $B596:B1989 = F597))"),"schrijver, onderwijzer")</f>
        <v>schrijver, onderwijzer</v>
      </c>
    </row>
    <row r="598">
      <c r="A598" s="2" t="s">
        <v>598</v>
      </c>
      <c r="B598" s="1" t="s">
        <v>599</v>
      </c>
      <c r="C598" s="2" t="s">
        <v>607</v>
      </c>
      <c r="D598" s="1" t="s">
        <v>608</v>
      </c>
      <c r="F598" s="3" t="s">
        <v>1777</v>
      </c>
      <c r="G598" s="3" t="str">
        <f>IFERROR(__xludf.DUMMYFUNCTION("JOIN("", "", FILTER($D597:D1989, $B597:B1989 = F598))"),"kapelmeester, componist, uitgever, muziekleraar")</f>
        <v>kapelmeester, componist, uitgever, muziekleraar</v>
      </c>
    </row>
    <row r="599">
      <c r="A599" s="2" t="s">
        <v>609</v>
      </c>
      <c r="B599" s="1" t="s">
        <v>610</v>
      </c>
      <c r="C599" s="2" t="s">
        <v>53</v>
      </c>
      <c r="D599" s="1" t="s">
        <v>54</v>
      </c>
      <c r="F599" s="3" t="s">
        <v>1781</v>
      </c>
      <c r="G599" s="3" t="str">
        <f>IFERROR(__xludf.DUMMYFUNCTION("JOIN("", "", FILTER($D598:D1989, $B598:B1989 = F599))"),"politicus, boomkweker, advocaat")</f>
        <v>politicus, boomkweker, advocaat</v>
      </c>
    </row>
    <row r="600">
      <c r="A600" s="2" t="s">
        <v>611</v>
      </c>
      <c r="B600" s="1" t="s">
        <v>612</v>
      </c>
      <c r="C600" s="2" t="s">
        <v>41</v>
      </c>
      <c r="D600" s="1" t="s">
        <v>42</v>
      </c>
      <c r="F600" s="3" t="s">
        <v>1784</v>
      </c>
      <c r="G600" s="3" t="str">
        <f>IFERROR(__xludf.DUMMYFUNCTION("JOIN("", "", FILTER($D599:D1989, $B599:B1989 = F600))"),"non, overste")</f>
        <v>non, overste</v>
      </c>
    </row>
    <row r="601">
      <c r="A601" s="2" t="s">
        <v>611</v>
      </c>
      <c r="B601" s="1" t="s">
        <v>612</v>
      </c>
      <c r="C601" s="2" t="s">
        <v>216</v>
      </c>
      <c r="D601" s="1" t="s">
        <v>217</v>
      </c>
      <c r="F601" s="3" t="s">
        <v>1786</v>
      </c>
      <c r="G601" s="3" t="str">
        <f>IFERROR(__xludf.DUMMYFUNCTION("JOIN("", "", FILTER($D600:D1989, $B600:B1989 = F601))"),"")</f>
        <v/>
      </c>
    </row>
    <row r="602">
      <c r="A602" s="2" t="s">
        <v>611</v>
      </c>
      <c r="B602" s="1" t="s">
        <v>612</v>
      </c>
      <c r="C602" s="2" t="s">
        <v>43</v>
      </c>
      <c r="D602" s="1" t="s">
        <v>44</v>
      </c>
      <c r="F602" s="3" t="s">
        <v>1788</v>
      </c>
      <c r="G602" s="3" t="str">
        <f>IFERROR(__xludf.DUMMYFUNCTION("JOIN("", "", FILTER($D601:D1989, $B601:B1989 = F602))"),"kleermaker")</f>
        <v>kleermaker</v>
      </c>
    </row>
    <row r="603">
      <c r="A603" s="2" t="s">
        <v>613</v>
      </c>
      <c r="B603" s="1" t="s">
        <v>614</v>
      </c>
      <c r="C603" s="2" t="s">
        <v>22</v>
      </c>
      <c r="D603" s="1" t="s">
        <v>23</v>
      </c>
      <c r="F603" s="3" t="s">
        <v>1790</v>
      </c>
      <c r="G603" s="3" t="str">
        <f>IFERROR(__xludf.DUMMYFUNCTION("JOIN("", "", FILTER($D602:D1989, $B602:B1989 = F603))"),"spinner")</f>
        <v>spinner</v>
      </c>
    </row>
    <row r="604">
      <c r="A604" s="2" t="s">
        <v>611</v>
      </c>
      <c r="B604" s="1" t="s">
        <v>612</v>
      </c>
      <c r="C604" s="2" t="s">
        <v>49</v>
      </c>
      <c r="D604" s="1" t="s">
        <v>50</v>
      </c>
      <c r="F604" s="3" t="s">
        <v>1795</v>
      </c>
      <c r="G604" s="3" t="str">
        <f>IFERROR(__xludf.DUMMYFUNCTION("JOIN("", "", FILTER($D603:D1989, $B603:B1989 = F604))"),"etnoloog, etnograaf, studie-historicus, geograaf, cartograaf")</f>
        <v>etnoloog, etnograaf, studie-historicus, geograaf, cartograaf</v>
      </c>
    </row>
    <row r="605">
      <c r="A605" s="2" t="s">
        <v>609</v>
      </c>
      <c r="B605" s="1" t="s">
        <v>610</v>
      </c>
      <c r="C605" s="2" t="s">
        <v>43</v>
      </c>
      <c r="D605" s="1" t="s">
        <v>44</v>
      </c>
      <c r="F605" s="3" t="s">
        <v>1798</v>
      </c>
      <c r="G605" s="3" t="str">
        <f>IFERROR(__xludf.DUMMYFUNCTION("JOIN("", "", FILTER($D604:D1989, $B604:B1989 = F605))"),"advocaat, schrijver, historicus, archivaris")</f>
        <v>advocaat, schrijver, historicus, archivaris</v>
      </c>
    </row>
    <row r="606">
      <c r="A606" s="2" t="s">
        <v>615</v>
      </c>
      <c r="B606" s="1" t="s">
        <v>616</v>
      </c>
      <c r="C606" s="2" t="s">
        <v>35</v>
      </c>
      <c r="D606" s="1" t="s">
        <v>36</v>
      </c>
      <c r="F606" s="3" t="s">
        <v>1806</v>
      </c>
      <c r="G606" s="3" t="str">
        <f>IFERROR(__xludf.DUMMYFUNCTION("JOIN("", "", FILTER($D605:D1989, $B605:B1989 = F606))"),"academisch docent, politicus, directeur, historicus, leerkracht, kanunnik, studiemeester, rector, taalkundige, katholiek priester")</f>
        <v>academisch docent, politicus, directeur, historicus, leerkracht, kanunnik, studiemeester, rector, taalkundige, katholiek priester</v>
      </c>
    </row>
    <row r="607">
      <c r="A607" s="2" t="s">
        <v>615</v>
      </c>
      <c r="B607" s="1" t="s">
        <v>616</v>
      </c>
      <c r="C607" s="2" t="s">
        <v>43</v>
      </c>
      <c r="D607" s="1" t="s">
        <v>44</v>
      </c>
      <c r="F607" s="3" t="s">
        <v>1809</v>
      </c>
      <c r="G607" s="3" t="str">
        <f>IFERROR(__xludf.DUMMYFUNCTION("JOIN("", "", FILTER($D606:D1989, $B606:B1989 = F607))"),"politicus, advocaat")</f>
        <v>politicus, advocaat</v>
      </c>
    </row>
    <row r="608">
      <c r="A608" s="2" t="s">
        <v>617</v>
      </c>
      <c r="B608" s="1" t="s">
        <v>618</v>
      </c>
      <c r="C608" s="2" t="s">
        <v>216</v>
      </c>
      <c r="D608" s="1" t="s">
        <v>217</v>
      </c>
      <c r="F608" s="3" t="s">
        <v>1812</v>
      </c>
      <c r="G608" s="3" t="str">
        <f>IFERROR(__xludf.DUMMYFUNCTION("JOIN("", "", FILTER($D607:D1989, $B607:B1989 = F608))"),"politicus, advocaat, gewoon hoogleraar, buitengewoon hoogleraar")</f>
        <v>politicus, advocaat, gewoon hoogleraar, buitengewoon hoogleraar</v>
      </c>
    </row>
    <row r="609">
      <c r="A609" s="2" t="s">
        <v>619</v>
      </c>
      <c r="B609" s="1" t="s">
        <v>620</v>
      </c>
      <c r="C609" s="2" t="s">
        <v>41</v>
      </c>
      <c r="D609" s="1" t="s">
        <v>42</v>
      </c>
      <c r="F609" s="3" t="s">
        <v>1815</v>
      </c>
      <c r="G609" s="3" t="str">
        <f>IFERROR(__xludf.DUMMYFUNCTION("JOIN("", "", FILTER($D608:D1989, $B608:B1989 = F609))"),"coadjutor, leerkracht, pater, parochievicaris, missionaris, katholiek priester, militair")</f>
        <v>coadjutor, leerkracht, pater, parochievicaris, missionaris, katholiek priester, militair</v>
      </c>
    </row>
    <row r="610">
      <c r="A610" s="2" t="s">
        <v>619</v>
      </c>
      <c r="B610" s="1" t="s">
        <v>620</v>
      </c>
      <c r="C610" s="2" t="s">
        <v>133</v>
      </c>
      <c r="D610" s="1" t="s">
        <v>134</v>
      </c>
      <c r="F610" s="3" t="s">
        <v>1818</v>
      </c>
      <c r="G610" s="3" t="str">
        <f>IFERROR(__xludf.DUMMYFUNCTION("JOIN("", "", FILTER($D609:D1989, $B609:B1989 = F610))"),"professor, bibliothecaris, toneelschrijver, monnik, letterkundige, schrijver, dichter")</f>
        <v>professor, bibliothecaris, toneelschrijver, monnik, letterkundige, schrijver, dichter</v>
      </c>
    </row>
    <row r="611">
      <c r="A611" s="2" t="s">
        <v>619</v>
      </c>
      <c r="B611" s="1" t="s">
        <v>620</v>
      </c>
      <c r="C611" s="2" t="s">
        <v>43</v>
      </c>
      <c r="D611" s="1" t="s">
        <v>44</v>
      </c>
      <c r="F611" s="3" t="s">
        <v>1820</v>
      </c>
      <c r="G611" s="3" t="str">
        <f>IFERROR(__xludf.DUMMYFUNCTION("JOIN("", "", FILTER($D610:D1989, $B610:B1989 = F611))"),"bankier, publicist, bibliofiel")</f>
        <v>bankier, publicist, bibliofiel</v>
      </c>
    </row>
    <row r="612">
      <c r="A612" s="2" t="s">
        <v>317</v>
      </c>
      <c r="B612" s="1" t="s">
        <v>318</v>
      </c>
      <c r="C612" s="2" t="s">
        <v>49</v>
      </c>
      <c r="D612" s="1" t="s">
        <v>50</v>
      </c>
      <c r="F612" s="3" t="s">
        <v>1822</v>
      </c>
      <c r="G612" s="3" t="str">
        <f>IFERROR(__xludf.DUMMYFUNCTION("JOIN("", "", FILTER($D611:D1989, $B611:B1989 = F612))"),"")</f>
        <v/>
      </c>
    </row>
    <row r="613">
      <c r="A613" s="2" t="s">
        <v>619</v>
      </c>
      <c r="B613" s="1" t="s">
        <v>620</v>
      </c>
      <c r="C613" s="2" t="s">
        <v>49</v>
      </c>
      <c r="D613" s="1" t="s">
        <v>50</v>
      </c>
      <c r="F613" s="3" t="s">
        <v>1824</v>
      </c>
      <c r="G613" s="3" t="str">
        <f>IFERROR(__xludf.DUMMYFUNCTION("JOIN("", "", FILTER($D612:D1989, $B612:B1989 = F613))"),"")</f>
        <v/>
      </c>
    </row>
    <row r="614">
      <c r="A614" s="2" t="s">
        <v>621</v>
      </c>
      <c r="B614" s="1" t="s">
        <v>622</v>
      </c>
      <c r="C614" s="2" t="s">
        <v>151</v>
      </c>
      <c r="D614" s="1" t="s">
        <v>152</v>
      </c>
      <c r="F614" s="3" t="s">
        <v>1826</v>
      </c>
      <c r="G614" s="3" t="str">
        <f>IFERROR(__xludf.DUMMYFUNCTION("JOIN("", "", FILTER($D613:D1989, $B613:B1989 = F614))"),"overste, leerkracht, non")</f>
        <v>overste, leerkracht, non</v>
      </c>
    </row>
    <row r="615">
      <c r="A615" s="2" t="s">
        <v>623</v>
      </c>
      <c r="B615" s="1" t="s">
        <v>624</v>
      </c>
      <c r="C615" s="2" t="s">
        <v>41</v>
      </c>
      <c r="D615" s="1" t="s">
        <v>42</v>
      </c>
      <c r="F615" s="3" t="s">
        <v>1828</v>
      </c>
      <c r="G615" s="3" t="str">
        <f>IFERROR(__xludf.DUMMYFUNCTION("JOIN("", "", FILTER($D614:D1989, $B614:B1989 = F615))"),"non, verpleegkundige, prior, abdis")</f>
        <v>non, verpleegkundige, prior, abdis</v>
      </c>
    </row>
    <row r="616">
      <c r="A616" s="2" t="s">
        <v>623</v>
      </c>
      <c r="B616" s="1" t="s">
        <v>624</v>
      </c>
      <c r="C616" s="2" t="s">
        <v>43</v>
      </c>
      <c r="D616" s="1" t="s">
        <v>44</v>
      </c>
      <c r="F616" s="3" t="s">
        <v>1831</v>
      </c>
      <c r="G616" s="3" t="str">
        <f>IFERROR(__xludf.DUMMYFUNCTION("JOIN("", "", FILTER($D615:D1989, $B615:B1989 = F616))"),"pastoor, directeur, katholiek priester, leerkracht, parochievicaris")</f>
        <v>pastoor, directeur, katholiek priester, leerkracht, parochievicaris</v>
      </c>
    </row>
    <row r="617">
      <c r="A617" s="2" t="s">
        <v>623</v>
      </c>
      <c r="B617" s="1" t="s">
        <v>624</v>
      </c>
      <c r="C617" s="2" t="s">
        <v>139</v>
      </c>
      <c r="D617" s="1" t="s">
        <v>140</v>
      </c>
      <c r="F617" s="3"/>
    </row>
    <row r="618">
      <c r="A618" s="2" t="s">
        <v>609</v>
      </c>
      <c r="B618" s="1" t="s">
        <v>610</v>
      </c>
      <c r="C618" s="2" t="s">
        <v>69</v>
      </c>
      <c r="D618" s="1" t="s">
        <v>70</v>
      </c>
    </row>
    <row r="619">
      <c r="A619" s="2" t="s">
        <v>623</v>
      </c>
      <c r="B619" s="1" t="s">
        <v>624</v>
      </c>
      <c r="C619" s="2" t="s">
        <v>49</v>
      </c>
      <c r="D619" s="1" t="s">
        <v>50</v>
      </c>
    </row>
    <row r="620">
      <c r="A620" s="2" t="s">
        <v>617</v>
      </c>
      <c r="B620" s="1" t="s">
        <v>618</v>
      </c>
      <c r="C620" s="2" t="s">
        <v>508</v>
      </c>
      <c r="D620" s="1" t="s">
        <v>509</v>
      </c>
    </row>
    <row r="621">
      <c r="A621" s="2" t="s">
        <v>317</v>
      </c>
      <c r="B621" s="1" t="s">
        <v>318</v>
      </c>
      <c r="C621" s="2" t="s">
        <v>69</v>
      </c>
      <c r="D621" s="1" t="s">
        <v>70</v>
      </c>
    </row>
    <row r="622">
      <c r="A622" s="2" t="s">
        <v>611</v>
      </c>
      <c r="B622" s="1" t="s">
        <v>612</v>
      </c>
      <c r="C622" s="2" t="s">
        <v>221</v>
      </c>
      <c r="D622" s="1" t="s">
        <v>222</v>
      </c>
    </row>
    <row r="623">
      <c r="A623" s="2" t="s">
        <v>625</v>
      </c>
      <c r="B623" s="1" t="s">
        <v>626</v>
      </c>
      <c r="C623" s="2" t="s">
        <v>604</v>
      </c>
      <c r="D623" s="1" t="s">
        <v>605</v>
      </c>
    </row>
    <row r="624">
      <c r="A624" s="2" t="s">
        <v>627</v>
      </c>
      <c r="B624" s="1" t="s">
        <v>628</v>
      </c>
      <c r="C624" s="2" t="s">
        <v>280</v>
      </c>
      <c r="D624" s="1" t="s">
        <v>281</v>
      </c>
      <c r="E624" s="2" t="s">
        <v>629</v>
      </c>
    </row>
    <row r="625">
      <c r="A625" s="2" t="s">
        <v>630</v>
      </c>
      <c r="B625" s="1" t="s">
        <v>631</v>
      </c>
      <c r="C625" s="2" t="s">
        <v>490</v>
      </c>
      <c r="D625" s="1" t="s">
        <v>491</v>
      </c>
    </row>
    <row r="626">
      <c r="A626" s="2" t="s">
        <v>615</v>
      </c>
      <c r="B626" s="1" t="s">
        <v>616</v>
      </c>
      <c r="C626" s="2" t="s">
        <v>221</v>
      </c>
      <c r="D626" s="1" t="s">
        <v>222</v>
      </c>
    </row>
    <row r="627">
      <c r="A627" s="2" t="s">
        <v>632</v>
      </c>
      <c r="B627" s="1" t="s">
        <v>633</v>
      </c>
      <c r="C627" s="2" t="s">
        <v>202</v>
      </c>
      <c r="D627" s="1" t="s">
        <v>203</v>
      </c>
    </row>
    <row r="628">
      <c r="A628" s="2" t="s">
        <v>634</v>
      </c>
      <c r="B628" s="1" t="s">
        <v>635</v>
      </c>
      <c r="C628" s="2" t="s">
        <v>636</v>
      </c>
      <c r="D628" s="1" t="s">
        <v>637</v>
      </c>
      <c r="E628" s="2" t="s">
        <v>638</v>
      </c>
    </row>
    <row r="629">
      <c r="A629" s="2" t="s">
        <v>639</v>
      </c>
      <c r="B629" s="1" t="s">
        <v>640</v>
      </c>
      <c r="C629" s="2" t="s">
        <v>216</v>
      </c>
      <c r="D629" s="1" t="s">
        <v>217</v>
      </c>
    </row>
    <row r="630">
      <c r="A630" s="2" t="s">
        <v>639</v>
      </c>
      <c r="B630" s="1" t="s">
        <v>640</v>
      </c>
      <c r="C630" s="2" t="s">
        <v>43</v>
      </c>
      <c r="D630" s="1" t="s">
        <v>44</v>
      </c>
    </row>
    <row r="631">
      <c r="A631" s="2" t="s">
        <v>621</v>
      </c>
      <c r="B631" s="1" t="s">
        <v>622</v>
      </c>
      <c r="C631" s="2" t="s">
        <v>641</v>
      </c>
      <c r="D631" s="1" t="s">
        <v>642</v>
      </c>
    </row>
    <row r="632">
      <c r="A632" s="2" t="s">
        <v>643</v>
      </c>
      <c r="B632" s="1" t="s">
        <v>644</v>
      </c>
      <c r="C632" s="2" t="s">
        <v>645</v>
      </c>
      <c r="D632" s="1" t="s">
        <v>646</v>
      </c>
    </row>
    <row r="633">
      <c r="A633" s="2" t="s">
        <v>623</v>
      </c>
      <c r="B633" s="1" t="s">
        <v>624</v>
      </c>
      <c r="C633" s="2" t="s">
        <v>647</v>
      </c>
      <c r="D633" s="1" t="s">
        <v>648</v>
      </c>
    </row>
    <row r="634">
      <c r="A634" s="2" t="s">
        <v>649</v>
      </c>
      <c r="B634" s="1" t="s">
        <v>650</v>
      </c>
      <c r="C634" s="2" t="s">
        <v>651</v>
      </c>
      <c r="D634" s="1" t="s">
        <v>652</v>
      </c>
    </row>
    <row r="635">
      <c r="A635" s="2" t="s">
        <v>653</v>
      </c>
      <c r="B635" s="1" t="s">
        <v>654</v>
      </c>
      <c r="C635" s="2" t="s">
        <v>490</v>
      </c>
      <c r="D635" s="1" t="s">
        <v>491</v>
      </c>
    </row>
    <row r="636">
      <c r="A636" s="2" t="s">
        <v>632</v>
      </c>
      <c r="B636" s="1" t="s">
        <v>633</v>
      </c>
      <c r="C636" s="2" t="s">
        <v>43</v>
      </c>
      <c r="D636" s="1" t="s">
        <v>44</v>
      </c>
    </row>
    <row r="637">
      <c r="A637" s="2" t="s">
        <v>632</v>
      </c>
      <c r="B637" s="1" t="s">
        <v>633</v>
      </c>
      <c r="C637" s="2" t="s">
        <v>79</v>
      </c>
      <c r="D637" s="1" t="s">
        <v>80</v>
      </c>
    </row>
    <row r="638">
      <c r="A638" s="2" t="s">
        <v>655</v>
      </c>
      <c r="B638" s="1" t="s">
        <v>656</v>
      </c>
      <c r="C638" s="2" t="s">
        <v>53</v>
      </c>
      <c r="D638" s="1" t="s">
        <v>54</v>
      </c>
    </row>
    <row r="639">
      <c r="A639" s="2" t="s">
        <v>655</v>
      </c>
      <c r="B639" s="1" t="s">
        <v>656</v>
      </c>
      <c r="C639" s="2" t="s">
        <v>202</v>
      </c>
      <c r="D639" s="1" t="s">
        <v>203</v>
      </c>
    </row>
    <row r="640">
      <c r="A640" s="2" t="s">
        <v>657</v>
      </c>
      <c r="B640" s="1" t="s">
        <v>658</v>
      </c>
      <c r="C640" s="2" t="s">
        <v>202</v>
      </c>
      <c r="D640" s="1" t="s">
        <v>203</v>
      </c>
    </row>
    <row r="641">
      <c r="A641" s="2" t="s">
        <v>659</v>
      </c>
      <c r="B641" s="1" t="s">
        <v>660</v>
      </c>
      <c r="C641" s="2" t="s">
        <v>607</v>
      </c>
      <c r="D641" s="1" t="s">
        <v>608</v>
      </c>
    </row>
    <row r="642">
      <c r="A642" s="2" t="s">
        <v>611</v>
      </c>
      <c r="B642" s="1" t="s">
        <v>612</v>
      </c>
      <c r="C642" s="2" t="s">
        <v>22</v>
      </c>
      <c r="D642" s="1" t="s">
        <v>23</v>
      </c>
    </row>
    <row r="643">
      <c r="A643" s="2" t="s">
        <v>661</v>
      </c>
      <c r="B643" s="1" t="s">
        <v>662</v>
      </c>
      <c r="C643" s="2" t="s">
        <v>41</v>
      </c>
      <c r="D643" s="1" t="s">
        <v>42</v>
      </c>
    </row>
    <row r="644">
      <c r="A644" s="2" t="s">
        <v>661</v>
      </c>
      <c r="B644" s="1" t="s">
        <v>662</v>
      </c>
      <c r="C644" s="2" t="s">
        <v>43</v>
      </c>
      <c r="D644" s="1" t="s">
        <v>44</v>
      </c>
    </row>
    <row r="645">
      <c r="A645" s="2" t="s">
        <v>627</v>
      </c>
      <c r="B645" s="1" t="s">
        <v>628</v>
      </c>
      <c r="C645" s="2" t="s">
        <v>22</v>
      </c>
      <c r="D645" s="1" t="s">
        <v>23</v>
      </c>
      <c r="E645" s="2" t="s">
        <v>629</v>
      </c>
    </row>
    <row r="646">
      <c r="A646" s="2" t="s">
        <v>655</v>
      </c>
      <c r="B646" s="1" t="s">
        <v>656</v>
      </c>
      <c r="C646" s="2" t="s">
        <v>41</v>
      </c>
      <c r="D646" s="1" t="s">
        <v>42</v>
      </c>
    </row>
    <row r="647">
      <c r="A647" s="2" t="s">
        <v>663</v>
      </c>
      <c r="B647" s="1" t="s">
        <v>664</v>
      </c>
      <c r="C647" s="2" t="s">
        <v>665</v>
      </c>
      <c r="D647" s="1" t="s">
        <v>666</v>
      </c>
    </row>
    <row r="648">
      <c r="A648" s="2" t="s">
        <v>657</v>
      </c>
      <c r="B648" s="1" t="s">
        <v>658</v>
      </c>
      <c r="C648" s="2" t="s">
        <v>41</v>
      </c>
      <c r="D648" s="1" t="s">
        <v>42</v>
      </c>
    </row>
    <row r="649">
      <c r="A649" s="2" t="s">
        <v>667</v>
      </c>
      <c r="B649" s="1" t="s">
        <v>668</v>
      </c>
      <c r="C649" s="2" t="s">
        <v>41</v>
      </c>
      <c r="D649" s="1" t="s">
        <v>42</v>
      </c>
    </row>
    <row r="650">
      <c r="A650" s="2" t="s">
        <v>667</v>
      </c>
      <c r="B650" s="1" t="s">
        <v>668</v>
      </c>
      <c r="C650" s="2" t="s">
        <v>288</v>
      </c>
      <c r="D650" s="1" t="s">
        <v>289</v>
      </c>
    </row>
    <row r="651">
      <c r="A651" s="2" t="s">
        <v>602</v>
      </c>
      <c r="B651" s="1" t="s">
        <v>603</v>
      </c>
      <c r="C651" s="2" t="s">
        <v>151</v>
      </c>
      <c r="D651" s="1" t="s">
        <v>152</v>
      </c>
      <c r="E651" s="2" t="s">
        <v>606</v>
      </c>
    </row>
    <row r="652">
      <c r="A652" s="2" t="s">
        <v>669</v>
      </c>
      <c r="B652" s="1" t="s">
        <v>670</v>
      </c>
      <c r="C652" s="2" t="s">
        <v>41</v>
      </c>
      <c r="D652" s="1" t="s">
        <v>42</v>
      </c>
    </row>
    <row r="653">
      <c r="A653" s="2" t="s">
        <v>671</v>
      </c>
      <c r="B653" s="1" t="s">
        <v>672</v>
      </c>
      <c r="C653" s="2" t="s">
        <v>41</v>
      </c>
      <c r="D653" s="1" t="s">
        <v>42</v>
      </c>
    </row>
    <row r="654">
      <c r="A654" s="2" t="s">
        <v>669</v>
      </c>
      <c r="B654" s="1" t="s">
        <v>670</v>
      </c>
      <c r="C654" s="2" t="s">
        <v>288</v>
      </c>
      <c r="D654" s="1" t="s">
        <v>289</v>
      </c>
    </row>
    <row r="655">
      <c r="A655" s="2" t="s">
        <v>655</v>
      </c>
      <c r="B655" s="1" t="s">
        <v>656</v>
      </c>
      <c r="C655" s="2" t="s">
        <v>43</v>
      </c>
      <c r="D655" s="1" t="s">
        <v>44</v>
      </c>
    </row>
    <row r="656">
      <c r="A656" s="2" t="s">
        <v>657</v>
      </c>
      <c r="B656" s="1" t="s">
        <v>658</v>
      </c>
      <c r="C656" s="2" t="s">
        <v>133</v>
      </c>
      <c r="D656" s="1" t="s">
        <v>134</v>
      </c>
    </row>
    <row r="657">
      <c r="A657" s="2" t="s">
        <v>657</v>
      </c>
      <c r="B657" s="1" t="s">
        <v>658</v>
      </c>
      <c r="C657" s="2" t="s">
        <v>43</v>
      </c>
      <c r="D657" s="1" t="s">
        <v>44</v>
      </c>
    </row>
    <row r="658">
      <c r="A658" s="2" t="s">
        <v>667</v>
      </c>
      <c r="B658" s="1" t="s">
        <v>668</v>
      </c>
      <c r="C658" s="2" t="s">
        <v>43</v>
      </c>
      <c r="D658" s="1" t="s">
        <v>44</v>
      </c>
    </row>
    <row r="659">
      <c r="A659" s="2" t="s">
        <v>669</v>
      </c>
      <c r="B659" s="1" t="s">
        <v>670</v>
      </c>
      <c r="C659" s="2" t="s">
        <v>43</v>
      </c>
      <c r="D659" s="1" t="s">
        <v>44</v>
      </c>
    </row>
    <row r="660">
      <c r="A660" s="2" t="s">
        <v>671</v>
      </c>
      <c r="B660" s="1" t="s">
        <v>672</v>
      </c>
      <c r="C660" s="2" t="s">
        <v>43</v>
      </c>
      <c r="D660" s="1" t="s">
        <v>44</v>
      </c>
    </row>
    <row r="661">
      <c r="A661" s="2" t="s">
        <v>615</v>
      </c>
      <c r="B661" s="1" t="s">
        <v>616</v>
      </c>
      <c r="C661" s="2" t="s">
        <v>22</v>
      </c>
      <c r="D661" s="1" t="s">
        <v>23</v>
      </c>
    </row>
    <row r="662">
      <c r="A662" s="2" t="s">
        <v>655</v>
      </c>
      <c r="B662" s="1" t="s">
        <v>656</v>
      </c>
      <c r="C662" s="2" t="s">
        <v>86</v>
      </c>
      <c r="D662" s="1" t="s">
        <v>87</v>
      </c>
    </row>
    <row r="663">
      <c r="A663" s="2" t="s">
        <v>657</v>
      </c>
      <c r="B663" s="1" t="s">
        <v>658</v>
      </c>
      <c r="C663" s="2" t="s">
        <v>86</v>
      </c>
      <c r="D663" s="1" t="s">
        <v>87</v>
      </c>
    </row>
    <row r="664">
      <c r="A664" s="2" t="s">
        <v>592</v>
      </c>
      <c r="B664" s="1" t="s">
        <v>593</v>
      </c>
      <c r="C664" s="2" t="s">
        <v>673</v>
      </c>
      <c r="D664" s="1" t="s">
        <v>674</v>
      </c>
    </row>
    <row r="665">
      <c r="A665" s="2" t="s">
        <v>655</v>
      </c>
      <c r="B665" s="1" t="s">
        <v>656</v>
      </c>
      <c r="C665" s="2" t="s">
        <v>49</v>
      </c>
      <c r="D665" s="1" t="s">
        <v>50</v>
      </c>
    </row>
    <row r="666">
      <c r="A666" s="2" t="s">
        <v>657</v>
      </c>
      <c r="B666" s="1" t="s">
        <v>658</v>
      </c>
      <c r="C666" s="2" t="s">
        <v>49</v>
      </c>
      <c r="D666" s="1" t="s">
        <v>50</v>
      </c>
    </row>
    <row r="667">
      <c r="A667" s="2" t="s">
        <v>667</v>
      </c>
      <c r="B667" s="1" t="s">
        <v>668</v>
      </c>
      <c r="C667" s="2" t="s">
        <v>49</v>
      </c>
      <c r="D667" s="1" t="s">
        <v>50</v>
      </c>
    </row>
    <row r="668">
      <c r="A668" s="2" t="s">
        <v>669</v>
      </c>
      <c r="B668" s="1" t="s">
        <v>670</v>
      </c>
      <c r="C668" s="2" t="s">
        <v>49</v>
      </c>
      <c r="D668" s="1" t="s">
        <v>50</v>
      </c>
    </row>
    <row r="669">
      <c r="A669" s="2" t="s">
        <v>671</v>
      </c>
      <c r="B669" s="1" t="s">
        <v>672</v>
      </c>
      <c r="C669" s="2" t="s">
        <v>49</v>
      </c>
      <c r="D669" s="1" t="s">
        <v>50</v>
      </c>
    </row>
    <row r="670">
      <c r="A670" s="2" t="s">
        <v>632</v>
      </c>
      <c r="B670" s="1" t="s">
        <v>633</v>
      </c>
      <c r="C670" s="2" t="s">
        <v>306</v>
      </c>
      <c r="D670" s="1" t="s">
        <v>307</v>
      </c>
    </row>
    <row r="671">
      <c r="A671" s="2" t="s">
        <v>663</v>
      </c>
      <c r="B671" s="1" t="s">
        <v>664</v>
      </c>
      <c r="C671" s="2" t="s">
        <v>675</v>
      </c>
      <c r="D671" s="1" t="s">
        <v>676</v>
      </c>
    </row>
    <row r="672">
      <c r="A672" s="2" t="s">
        <v>643</v>
      </c>
      <c r="B672" s="1" t="s">
        <v>644</v>
      </c>
      <c r="C672" s="2" t="s">
        <v>677</v>
      </c>
      <c r="D672" s="1" t="s">
        <v>678</v>
      </c>
    </row>
    <row r="673">
      <c r="A673" s="2" t="s">
        <v>679</v>
      </c>
      <c r="B673" s="1" t="s">
        <v>680</v>
      </c>
      <c r="C673" s="2" t="s">
        <v>520</v>
      </c>
      <c r="D673" s="1" t="s">
        <v>521</v>
      </c>
    </row>
    <row r="674">
      <c r="A674" s="2" t="s">
        <v>661</v>
      </c>
      <c r="B674" s="1" t="s">
        <v>662</v>
      </c>
      <c r="C674" s="2" t="s">
        <v>69</v>
      </c>
      <c r="D674" s="1" t="s">
        <v>70</v>
      </c>
    </row>
    <row r="675">
      <c r="A675" s="2" t="s">
        <v>667</v>
      </c>
      <c r="B675" s="1" t="s">
        <v>668</v>
      </c>
      <c r="C675" s="2" t="s">
        <v>92</v>
      </c>
      <c r="D675" s="1" t="s">
        <v>93</v>
      </c>
    </row>
    <row r="676">
      <c r="A676" s="2" t="s">
        <v>596</v>
      </c>
      <c r="B676" s="1" t="s">
        <v>597</v>
      </c>
      <c r="C676" s="2" t="s">
        <v>41</v>
      </c>
      <c r="D676" s="1" t="s">
        <v>42</v>
      </c>
    </row>
    <row r="677">
      <c r="A677" s="2" t="s">
        <v>613</v>
      </c>
      <c r="B677" s="1" t="s">
        <v>614</v>
      </c>
      <c r="C677" s="2" t="s">
        <v>681</v>
      </c>
      <c r="D677" s="1" t="s">
        <v>682</v>
      </c>
    </row>
    <row r="678">
      <c r="A678" s="2" t="s">
        <v>683</v>
      </c>
      <c r="B678" s="1" t="s">
        <v>684</v>
      </c>
    </row>
    <row r="679">
      <c r="A679" s="2" t="s">
        <v>685</v>
      </c>
      <c r="B679" s="1" t="s">
        <v>686</v>
      </c>
    </row>
    <row r="680">
      <c r="A680" s="2" t="s">
        <v>667</v>
      </c>
      <c r="B680" s="1" t="s">
        <v>668</v>
      </c>
      <c r="C680" s="2" t="s">
        <v>69</v>
      </c>
      <c r="D680" s="1" t="s">
        <v>70</v>
      </c>
    </row>
    <row r="681">
      <c r="A681" s="2" t="s">
        <v>669</v>
      </c>
      <c r="B681" s="1" t="s">
        <v>670</v>
      </c>
      <c r="C681" s="2" t="s">
        <v>69</v>
      </c>
      <c r="D681" s="1" t="s">
        <v>70</v>
      </c>
    </row>
    <row r="682">
      <c r="A682" s="2" t="s">
        <v>687</v>
      </c>
      <c r="B682" s="1" t="s">
        <v>688</v>
      </c>
    </row>
    <row r="683">
      <c r="A683" s="2" t="s">
        <v>671</v>
      </c>
      <c r="B683" s="1" t="s">
        <v>672</v>
      </c>
      <c r="C683" s="2" t="s">
        <v>69</v>
      </c>
      <c r="D683" s="1" t="s">
        <v>70</v>
      </c>
    </row>
    <row r="684">
      <c r="A684" s="2" t="s">
        <v>689</v>
      </c>
      <c r="B684" s="1" t="s">
        <v>690</v>
      </c>
      <c r="C684" s="2" t="s">
        <v>69</v>
      </c>
      <c r="D684" s="1" t="s">
        <v>70</v>
      </c>
    </row>
    <row r="685">
      <c r="A685" s="2" t="s">
        <v>691</v>
      </c>
      <c r="B685" s="1" t="s">
        <v>692</v>
      </c>
      <c r="C685" s="2" t="s">
        <v>69</v>
      </c>
      <c r="D685" s="1" t="s">
        <v>70</v>
      </c>
    </row>
    <row r="686">
      <c r="A686" s="2" t="s">
        <v>693</v>
      </c>
      <c r="B686" s="1" t="s">
        <v>694</v>
      </c>
      <c r="C686" s="2" t="s">
        <v>41</v>
      </c>
      <c r="D686" s="1" t="s">
        <v>42</v>
      </c>
    </row>
    <row r="687">
      <c r="A687" s="2" t="s">
        <v>695</v>
      </c>
      <c r="B687" s="1" t="s">
        <v>696</v>
      </c>
      <c r="C687" s="2" t="s">
        <v>151</v>
      </c>
      <c r="D687" s="1" t="s">
        <v>152</v>
      </c>
    </row>
    <row r="688">
      <c r="A688" s="2" t="s">
        <v>693</v>
      </c>
      <c r="B688" s="1" t="s">
        <v>694</v>
      </c>
      <c r="C688" s="2" t="s">
        <v>49</v>
      </c>
      <c r="D688" s="1" t="s">
        <v>50</v>
      </c>
    </row>
    <row r="689">
      <c r="A689" s="2" t="s">
        <v>697</v>
      </c>
      <c r="B689" s="1" t="s">
        <v>698</v>
      </c>
      <c r="C689" s="2" t="s">
        <v>69</v>
      </c>
      <c r="D689" s="1" t="s">
        <v>70</v>
      </c>
    </row>
    <row r="690">
      <c r="A690" s="2" t="s">
        <v>699</v>
      </c>
      <c r="B690" s="1" t="s">
        <v>700</v>
      </c>
      <c r="C690" s="2" t="s">
        <v>162</v>
      </c>
      <c r="D690" s="1" t="s">
        <v>163</v>
      </c>
    </row>
    <row r="691">
      <c r="A691" s="2" t="s">
        <v>701</v>
      </c>
      <c r="B691" s="1" t="s">
        <v>702</v>
      </c>
      <c r="C691" s="2" t="s">
        <v>703</v>
      </c>
      <c r="D691" s="1" t="s">
        <v>704</v>
      </c>
    </row>
    <row r="692">
      <c r="A692" s="2" t="s">
        <v>699</v>
      </c>
      <c r="B692" s="1" t="s">
        <v>700</v>
      </c>
      <c r="C692" s="2" t="s">
        <v>133</v>
      </c>
      <c r="D692" s="1" t="s">
        <v>134</v>
      </c>
    </row>
    <row r="693">
      <c r="A693" s="2" t="s">
        <v>699</v>
      </c>
      <c r="B693" s="1" t="s">
        <v>700</v>
      </c>
      <c r="C693" s="2" t="s">
        <v>49</v>
      </c>
      <c r="D693" s="1" t="s">
        <v>50</v>
      </c>
    </row>
    <row r="694">
      <c r="A694" s="2" t="s">
        <v>705</v>
      </c>
      <c r="B694" s="1" t="s">
        <v>706</v>
      </c>
      <c r="C694" s="2" t="s">
        <v>673</v>
      </c>
      <c r="D694" s="1" t="s">
        <v>674</v>
      </c>
    </row>
    <row r="695">
      <c r="A695" s="2" t="s">
        <v>705</v>
      </c>
      <c r="B695" s="1" t="s">
        <v>706</v>
      </c>
      <c r="C695" s="2" t="s">
        <v>490</v>
      </c>
      <c r="D695" s="1" t="s">
        <v>491</v>
      </c>
    </row>
    <row r="696">
      <c r="A696" s="2" t="s">
        <v>693</v>
      </c>
      <c r="B696" s="1" t="s">
        <v>694</v>
      </c>
      <c r="C696" s="2" t="s">
        <v>508</v>
      </c>
      <c r="D696" s="1" t="s">
        <v>509</v>
      </c>
    </row>
    <row r="697">
      <c r="A697" s="2" t="s">
        <v>707</v>
      </c>
      <c r="B697" s="1" t="s">
        <v>708</v>
      </c>
      <c r="C697" s="2" t="s">
        <v>22</v>
      </c>
      <c r="D697" s="1" t="s">
        <v>23</v>
      </c>
    </row>
    <row r="698">
      <c r="A698" s="2" t="s">
        <v>709</v>
      </c>
      <c r="B698" s="1" t="s">
        <v>710</v>
      </c>
      <c r="C698" s="2" t="s">
        <v>711</v>
      </c>
      <c r="D698" s="1" t="s">
        <v>712</v>
      </c>
    </row>
    <row r="699">
      <c r="A699" s="2" t="s">
        <v>713</v>
      </c>
      <c r="B699" s="1" t="s">
        <v>714</v>
      </c>
      <c r="C699" s="2" t="s">
        <v>143</v>
      </c>
      <c r="D699" s="1" t="s">
        <v>144</v>
      </c>
    </row>
    <row r="700">
      <c r="A700" s="2" t="s">
        <v>693</v>
      </c>
      <c r="B700" s="1" t="s">
        <v>694</v>
      </c>
      <c r="C700" s="2" t="s">
        <v>69</v>
      </c>
      <c r="D700" s="1" t="s">
        <v>70</v>
      </c>
    </row>
    <row r="701">
      <c r="A701" s="2" t="s">
        <v>715</v>
      </c>
      <c r="B701" s="1" t="s">
        <v>716</v>
      </c>
      <c r="C701" s="2" t="s">
        <v>717</v>
      </c>
      <c r="D701" s="1" t="s">
        <v>718</v>
      </c>
    </row>
    <row r="702">
      <c r="A702" s="2" t="s">
        <v>709</v>
      </c>
      <c r="B702" s="1" t="s">
        <v>710</v>
      </c>
      <c r="C702" s="2" t="s">
        <v>22</v>
      </c>
      <c r="D702" s="1" t="s">
        <v>23</v>
      </c>
    </row>
    <row r="703">
      <c r="A703" s="2" t="s">
        <v>709</v>
      </c>
      <c r="B703" s="1" t="s">
        <v>710</v>
      </c>
      <c r="C703" s="2" t="s">
        <v>25</v>
      </c>
      <c r="D703" s="1" t="s">
        <v>26</v>
      </c>
    </row>
    <row r="704">
      <c r="A704" s="2" t="s">
        <v>502</v>
      </c>
      <c r="B704" s="1" t="s">
        <v>503</v>
      </c>
      <c r="C704" s="2" t="s">
        <v>41</v>
      </c>
      <c r="D704" s="1" t="s">
        <v>42</v>
      </c>
    </row>
    <row r="705">
      <c r="A705" s="2" t="s">
        <v>719</v>
      </c>
      <c r="B705" s="1" t="s">
        <v>720</v>
      </c>
      <c r="C705" s="2" t="s">
        <v>41</v>
      </c>
      <c r="D705" s="1" t="s">
        <v>42</v>
      </c>
    </row>
    <row r="706">
      <c r="A706" s="2" t="s">
        <v>502</v>
      </c>
      <c r="B706" s="1" t="s">
        <v>503</v>
      </c>
      <c r="C706" s="2" t="s">
        <v>133</v>
      </c>
      <c r="D706" s="1" t="s">
        <v>134</v>
      </c>
    </row>
    <row r="707">
      <c r="A707" s="2" t="s">
        <v>719</v>
      </c>
      <c r="B707" s="1" t="s">
        <v>720</v>
      </c>
      <c r="C707" s="2" t="s">
        <v>133</v>
      </c>
      <c r="D707" s="1" t="s">
        <v>134</v>
      </c>
    </row>
    <row r="708">
      <c r="A708" s="2" t="s">
        <v>719</v>
      </c>
      <c r="B708" s="1" t="s">
        <v>720</v>
      </c>
      <c r="C708" s="2" t="s">
        <v>43</v>
      </c>
      <c r="D708" s="1" t="s">
        <v>44</v>
      </c>
    </row>
    <row r="709">
      <c r="A709" s="2" t="s">
        <v>721</v>
      </c>
      <c r="B709" s="1" t="s">
        <v>722</v>
      </c>
      <c r="C709" s="2" t="s">
        <v>118</v>
      </c>
      <c r="D709" s="1" t="s">
        <v>119</v>
      </c>
    </row>
    <row r="710">
      <c r="A710" s="2" t="s">
        <v>723</v>
      </c>
      <c r="B710" s="1" t="s">
        <v>724</v>
      </c>
      <c r="C710" s="2" t="s">
        <v>41</v>
      </c>
      <c r="D710" s="1" t="s">
        <v>42</v>
      </c>
    </row>
    <row r="711">
      <c r="A711" s="2" t="s">
        <v>725</v>
      </c>
      <c r="B711" s="1" t="s">
        <v>726</v>
      </c>
      <c r="C711" s="2" t="s">
        <v>727</v>
      </c>
      <c r="D711" s="1" t="s">
        <v>728</v>
      </c>
    </row>
    <row r="712">
      <c r="A712" s="2" t="s">
        <v>502</v>
      </c>
      <c r="B712" s="1" t="s">
        <v>503</v>
      </c>
      <c r="C712" s="2" t="s">
        <v>49</v>
      </c>
      <c r="D712" s="1" t="s">
        <v>50</v>
      </c>
    </row>
    <row r="713">
      <c r="A713" s="2" t="s">
        <v>723</v>
      </c>
      <c r="B713" s="1" t="s">
        <v>724</v>
      </c>
      <c r="C713" s="2" t="s">
        <v>133</v>
      </c>
      <c r="D713" s="1" t="s">
        <v>134</v>
      </c>
    </row>
    <row r="714">
      <c r="A714" s="2" t="s">
        <v>723</v>
      </c>
      <c r="B714" s="1" t="s">
        <v>724</v>
      </c>
      <c r="C714" s="2" t="s">
        <v>43</v>
      </c>
      <c r="D714" s="1" t="s">
        <v>44</v>
      </c>
    </row>
    <row r="715">
      <c r="A715" s="2" t="s">
        <v>719</v>
      </c>
      <c r="B715" s="1" t="s">
        <v>720</v>
      </c>
      <c r="C715" s="2" t="s">
        <v>49</v>
      </c>
      <c r="D715" s="1" t="s">
        <v>50</v>
      </c>
    </row>
    <row r="716">
      <c r="A716" s="2" t="s">
        <v>723</v>
      </c>
      <c r="B716" s="1" t="s">
        <v>724</v>
      </c>
      <c r="C716" s="2" t="s">
        <v>49</v>
      </c>
      <c r="D716" s="1" t="s">
        <v>50</v>
      </c>
    </row>
    <row r="717">
      <c r="A717" s="2" t="s">
        <v>719</v>
      </c>
      <c r="B717" s="1" t="s">
        <v>720</v>
      </c>
      <c r="C717" s="2" t="s">
        <v>90</v>
      </c>
      <c r="D717" s="1" t="s">
        <v>91</v>
      </c>
    </row>
    <row r="718">
      <c r="A718" s="2" t="s">
        <v>729</v>
      </c>
      <c r="B718" s="1" t="s">
        <v>730</v>
      </c>
      <c r="C718" s="2" t="s">
        <v>84</v>
      </c>
      <c r="D718" s="1" t="s">
        <v>85</v>
      </c>
    </row>
    <row r="719">
      <c r="A719" s="2" t="s">
        <v>731</v>
      </c>
      <c r="B719" s="1" t="s">
        <v>732</v>
      </c>
      <c r="C719" s="2" t="s">
        <v>41</v>
      </c>
      <c r="D719" s="1" t="s">
        <v>42</v>
      </c>
    </row>
    <row r="720">
      <c r="A720" s="2" t="s">
        <v>731</v>
      </c>
      <c r="B720" s="1" t="s">
        <v>732</v>
      </c>
      <c r="C720" s="2" t="s">
        <v>43</v>
      </c>
      <c r="D720" s="1" t="s">
        <v>44</v>
      </c>
    </row>
    <row r="721">
      <c r="A721" s="2" t="s">
        <v>733</v>
      </c>
      <c r="B721" s="1" t="s">
        <v>734</v>
      </c>
      <c r="C721" s="2" t="s">
        <v>151</v>
      </c>
      <c r="D721" s="1" t="s">
        <v>152</v>
      </c>
      <c r="E721" s="2" t="s">
        <v>735</v>
      </c>
    </row>
    <row r="722">
      <c r="A722" s="2" t="s">
        <v>736</v>
      </c>
      <c r="B722" s="1" t="s">
        <v>737</v>
      </c>
      <c r="C722" s="2" t="s">
        <v>49</v>
      </c>
      <c r="D722" s="1" t="s">
        <v>50</v>
      </c>
      <c r="E722" s="2" t="s">
        <v>738</v>
      </c>
    </row>
    <row r="723">
      <c r="A723" s="2" t="s">
        <v>731</v>
      </c>
      <c r="B723" s="1" t="s">
        <v>732</v>
      </c>
      <c r="C723" s="2" t="s">
        <v>739</v>
      </c>
      <c r="D723" s="1" t="s">
        <v>740</v>
      </c>
    </row>
    <row r="724">
      <c r="A724" s="2" t="s">
        <v>731</v>
      </c>
      <c r="B724" s="1" t="s">
        <v>732</v>
      </c>
      <c r="C724" s="2" t="s">
        <v>49</v>
      </c>
      <c r="D724" s="1" t="s">
        <v>50</v>
      </c>
    </row>
    <row r="725">
      <c r="A725" s="2" t="s">
        <v>731</v>
      </c>
      <c r="B725" s="1" t="s">
        <v>732</v>
      </c>
      <c r="C725" s="2" t="s">
        <v>90</v>
      </c>
      <c r="D725" s="1" t="s">
        <v>91</v>
      </c>
    </row>
    <row r="726">
      <c r="A726" s="2" t="s">
        <v>502</v>
      </c>
      <c r="B726" s="1" t="s">
        <v>503</v>
      </c>
      <c r="C726" s="2" t="s">
        <v>69</v>
      </c>
      <c r="D726" s="1" t="s">
        <v>70</v>
      </c>
    </row>
    <row r="727">
      <c r="A727" s="2" t="s">
        <v>741</v>
      </c>
      <c r="B727" s="1" t="s">
        <v>742</v>
      </c>
      <c r="C727" s="2" t="s">
        <v>743</v>
      </c>
      <c r="D727" s="1" t="s">
        <v>744</v>
      </c>
    </row>
    <row r="728">
      <c r="A728" s="2" t="s">
        <v>729</v>
      </c>
      <c r="B728" s="1" t="s">
        <v>730</v>
      </c>
      <c r="C728" s="2" t="s">
        <v>604</v>
      </c>
      <c r="D728" s="1" t="s">
        <v>605</v>
      </c>
    </row>
    <row r="729">
      <c r="A729" s="2" t="s">
        <v>715</v>
      </c>
      <c r="B729" s="1" t="s">
        <v>716</v>
      </c>
      <c r="C729" s="2" t="s">
        <v>151</v>
      </c>
      <c r="D729" s="1" t="s">
        <v>152</v>
      </c>
    </row>
    <row r="730">
      <c r="A730" s="2" t="s">
        <v>741</v>
      </c>
      <c r="B730" s="1" t="s">
        <v>742</v>
      </c>
      <c r="C730" s="2" t="s">
        <v>745</v>
      </c>
      <c r="D730" s="1" t="s">
        <v>746</v>
      </c>
    </row>
    <row r="731">
      <c r="A731" s="2" t="s">
        <v>723</v>
      </c>
      <c r="B731" s="1" t="s">
        <v>724</v>
      </c>
      <c r="C731" s="2" t="s">
        <v>69</v>
      </c>
      <c r="D731" s="1" t="s">
        <v>70</v>
      </c>
    </row>
    <row r="732">
      <c r="A732" s="2" t="s">
        <v>695</v>
      </c>
      <c r="B732" s="1" t="s">
        <v>696</v>
      </c>
      <c r="C732" s="2" t="s">
        <v>247</v>
      </c>
      <c r="D732" s="1" t="s">
        <v>248</v>
      </c>
    </row>
    <row r="733">
      <c r="A733" s="2" t="s">
        <v>731</v>
      </c>
      <c r="B733" s="1" t="s">
        <v>732</v>
      </c>
      <c r="C733" s="2" t="s">
        <v>69</v>
      </c>
      <c r="D733" s="1" t="s">
        <v>70</v>
      </c>
    </row>
    <row r="734">
      <c r="A734" s="2" t="s">
        <v>699</v>
      </c>
      <c r="B734" s="1" t="s">
        <v>700</v>
      </c>
      <c r="C734" s="2" t="s">
        <v>151</v>
      </c>
      <c r="D734" s="1" t="s">
        <v>152</v>
      </c>
    </row>
    <row r="735">
      <c r="A735" s="2" t="s">
        <v>736</v>
      </c>
      <c r="B735" s="1" t="s">
        <v>737</v>
      </c>
      <c r="C735" s="2" t="s">
        <v>133</v>
      </c>
      <c r="D735" s="1" t="s">
        <v>134</v>
      </c>
      <c r="E735" s="2" t="s">
        <v>738</v>
      </c>
    </row>
    <row r="736">
      <c r="A736" s="2" t="s">
        <v>713</v>
      </c>
      <c r="B736" s="1" t="s">
        <v>714</v>
      </c>
      <c r="C736" s="2" t="s">
        <v>41</v>
      </c>
      <c r="D736" s="1" t="s">
        <v>42</v>
      </c>
    </row>
    <row r="737">
      <c r="A737" s="2" t="s">
        <v>747</v>
      </c>
      <c r="B737" s="1" t="s">
        <v>748</v>
      </c>
      <c r="C737" s="2" t="s">
        <v>12</v>
      </c>
      <c r="D737" s="1" t="s">
        <v>13</v>
      </c>
    </row>
    <row r="738">
      <c r="A738" s="2" t="s">
        <v>713</v>
      </c>
      <c r="B738" s="1" t="s">
        <v>714</v>
      </c>
      <c r="C738" s="2" t="s">
        <v>133</v>
      </c>
      <c r="D738" s="1" t="s">
        <v>134</v>
      </c>
    </row>
    <row r="739">
      <c r="A739" s="2" t="s">
        <v>736</v>
      </c>
      <c r="B739" s="1" t="s">
        <v>737</v>
      </c>
      <c r="C739" s="2" t="s">
        <v>43</v>
      </c>
      <c r="D739" s="1" t="s">
        <v>44</v>
      </c>
      <c r="E739" s="2" t="s">
        <v>738</v>
      </c>
    </row>
    <row r="740">
      <c r="A740" s="2" t="s">
        <v>747</v>
      </c>
      <c r="B740" s="1" t="s">
        <v>748</v>
      </c>
      <c r="C740" s="2" t="s">
        <v>139</v>
      </c>
      <c r="D740" s="1" t="s">
        <v>140</v>
      </c>
    </row>
    <row r="741">
      <c r="A741" s="2" t="s">
        <v>713</v>
      </c>
      <c r="B741" s="1" t="s">
        <v>714</v>
      </c>
      <c r="C741" s="2" t="s">
        <v>49</v>
      </c>
      <c r="D741" s="1" t="s">
        <v>50</v>
      </c>
    </row>
    <row r="742">
      <c r="A742" s="2" t="s">
        <v>747</v>
      </c>
      <c r="B742" s="1" t="s">
        <v>748</v>
      </c>
      <c r="C742" s="2" t="s">
        <v>141</v>
      </c>
      <c r="D742" s="1" t="s">
        <v>142</v>
      </c>
    </row>
    <row r="743">
      <c r="A743" s="2" t="s">
        <v>733</v>
      </c>
      <c r="B743" s="1" t="s">
        <v>734</v>
      </c>
      <c r="C743" s="2" t="s">
        <v>743</v>
      </c>
      <c r="D743" s="1" t="s">
        <v>744</v>
      </c>
      <c r="E743" s="2" t="s">
        <v>735</v>
      </c>
    </row>
    <row r="744">
      <c r="A744" s="2" t="s">
        <v>749</v>
      </c>
      <c r="B744" s="1" t="s">
        <v>750</v>
      </c>
      <c r="C744" s="2" t="s">
        <v>216</v>
      </c>
      <c r="D744" s="1" t="s">
        <v>217</v>
      </c>
    </row>
    <row r="745">
      <c r="A745" s="2" t="s">
        <v>747</v>
      </c>
      <c r="B745" s="1" t="s">
        <v>748</v>
      </c>
      <c r="C745" s="2" t="s">
        <v>252</v>
      </c>
      <c r="D745" s="1" t="s">
        <v>253</v>
      </c>
    </row>
    <row r="746">
      <c r="A746" s="2" t="s">
        <v>751</v>
      </c>
      <c r="B746" s="1" t="s">
        <v>752</v>
      </c>
      <c r="C746" s="2" t="s">
        <v>221</v>
      </c>
      <c r="D746" s="1" t="s">
        <v>222</v>
      </c>
    </row>
    <row r="747">
      <c r="A747" s="2" t="s">
        <v>707</v>
      </c>
      <c r="B747" s="1" t="s">
        <v>708</v>
      </c>
      <c r="C747" s="2" t="s">
        <v>522</v>
      </c>
      <c r="D747" s="1" t="s">
        <v>523</v>
      </c>
    </row>
    <row r="748">
      <c r="A748" s="2" t="s">
        <v>713</v>
      </c>
      <c r="B748" s="1" t="s">
        <v>714</v>
      </c>
      <c r="C748" s="2" t="s">
        <v>92</v>
      </c>
      <c r="D748" s="1" t="s">
        <v>93</v>
      </c>
    </row>
    <row r="749">
      <c r="A749" s="2" t="s">
        <v>707</v>
      </c>
      <c r="B749" s="1" t="s">
        <v>708</v>
      </c>
      <c r="C749" s="2" t="s">
        <v>49</v>
      </c>
      <c r="D749" s="1" t="s">
        <v>50</v>
      </c>
    </row>
    <row r="750">
      <c r="A750" s="2" t="s">
        <v>707</v>
      </c>
      <c r="B750" s="1" t="s">
        <v>708</v>
      </c>
      <c r="C750" s="2" t="s">
        <v>439</v>
      </c>
      <c r="D750" s="1" t="s">
        <v>440</v>
      </c>
    </row>
    <row r="751">
      <c r="A751" s="2" t="s">
        <v>689</v>
      </c>
      <c r="B751" s="1" t="s">
        <v>690</v>
      </c>
      <c r="C751" s="2" t="s">
        <v>202</v>
      </c>
      <c r="D751" s="1" t="s">
        <v>203</v>
      </c>
    </row>
    <row r="752">
      <c r="A752" s="2" t="s">
        <v>713</v>
      </c>
      <c r="B752" s="1" t="s">
        <v>714</v>
      </c>
      <c r="C752" s="2" t="s">
        <v>508</v>
      </c>
      <c r="D752" s="1" t="s">
        <v>509</v>
      </c>
    </row>
    <row r="753">
      <c r="A753" s="2" t="s">
        <v>725</v>
      </c>
      <c r="B753" s="1" t="s">
        <v>726</v>
      </c>
      <c r="C753" s="2" t="s">
        <v>151</v>
      </c>
      <c r="D753" s="1" t="s">
        <v>152</v>
      </c>
    </row>
    <row r="754">
      <c r="A754" s="2" t="s">
        <v>709</v>
      </c>
      <c r="B754" s="1" t="s">
        <v>710</v>
      </c>
      <c r="C754" s="2" t="s">
        <v>116</v>
      </c>
      <c r="D754" s="1" t="s">
        <v>117</v>
      </c>
    </row>
    <row r="755">
      <c r="A755" s="2" t="s">
        <v>709</v>
      </c>
      <c r="B755" s="1" t="s">
        <v>710</v>
      </c>
      <c r="C755" s="2" t="s">
        <v>103</v>
      </c>
      <c r="D755" s="1" t="s">
        <v>104</v>
      </c>
    </row>
    <row r="756">
      <c r="A756" s="2" t="s">
        <v>709</v>
      </c>
      <c r="B756" s="1" t="s">
        <v>710</v>
      </c>
      <c r="C756" s="2" t="s">
        <v>124</v>
      </c>
      <c r="D756" s="1" t="s">
        <v>125</v>
      </c>
    </row>
    <row r="757">
      <c r="A757" s="2" t="s">
        <v>709</v>
      </c>
      <c r="B757" s="1" t="s">
        <v>710</v>
      </c>
      <c r="C757" s="2" t="s">
        <v>247</v>
      </c>
      <c r="D757" s="1" t="s">
        <v>248</v>
      </c>
    </row>
    <row r="758">
      <c r="A758" s="2" t="s">
        <v>709</v>
      </c>
      <c r="B758" s="1" t="s">
        <v>710</v>
      </c>
      <c r="C758" s="2" t="s">
        <v>753</v>
      </c>
      <c r="D758" s="1" t="s">
        <v>754</v>
      </c>
    </row>
    <row r="759">
      <c r="A759" s="2" t="s">
        <v>736</v>
      </c>
      <c r="B759" s="1" t="s">
        <v>737</v>
      </c>
      <c r="C759" s="2" t="s">
        <v>223</v>
      </c>
      <c r="D759" s="1" t="s">
        <v>224</v>
      </c>
      <c r="E759" s="2" t="s">
        <v>738</v>
      </c>
    </row>
    <row r="760">
      <c r="A760" s="2" t="s">
        <v>755</v>
      </c>
      <c r="B760" s="1" t="s">
        <v>756</v>
      </c>
      <c r="C760" s="2" t="s">
        <v>727</v>
      </c>
      <c r="D760" s="1" t="s">
        <v>728</v>
      </c>
    </row>
    <row r="761">
      <c r="A761" s="2" t="s">
        <v>709</v>
      </c>
      <c r="B761" s="1" t="s">
        <v>710</v>
      </c>
      <c r="C761" s="2" t="s">
        <v>141</v>
      </c>
      <c r="D761" s="1" t="s">
        <v>142</v>
      </c>
    </row>
    <row r="762">
      <c r="A762" s="2" t="s">
        <v>689</v>
      </c>
      <c r="B762" s="1" t="s">
        <v>690</v>
      </c>
      <c r="C762" s="2" t="s">
        <v>41</v>
      </c>
      <c r="D762" s="1" t="s">
        <v>42</v>
      </c>
    </row>
    <row r="763">
      <c r="A763" s="2" t="s">
        <v>691</v>
      </c>
      <c r="B763" s="1" t="s">
        <v>692</v>
      </c>
      <c r="C763" s="2" t="s">
        <v>41</v>
      </c>
      <c r="D763" s="1" t="s">
        <v>42</v>
      </c>
    </row>
    <row r="764">
      <c r="A764" s="2" t="s">
        <v>689</v>
      </c>
      <c r="B764" s="1" t="s">
        <v>690</v>
      </c>
      <c r="C764" s="2" t="s">
        <v>43</v>
      </c>
      <c r="D764" s="1" t="s">
        <v>44</v>
      </c>
    </row>
    <row r="765">
      <c r="A765" s="2" t="s">
        <v>691</v>
      </c>
      <c r="B765" s="1" t="s">
        <v>692</v>
      </c>
      <c r="C765" s="2" t="s">
        <v>43</v>
      </c>
      <c r="D765" s="1" t="s">
        <v>44</v>
      </c>
    </row>
    <row r="766">
      <c r="A766" s="2" t="s">
        <v>689</v>
      </c>
      <c r="B766" s="1" t="s">
        <v>690</v>
      </c>
      <c r="C766" s="2" t="s">
        <v>49</v>
      </c>
      <c r="D766" s="1" t="s">
        <v>50</v>
      </c>
    </row>
    <row r="767">
      <c r="A767" s="2" t="s">
        <v>691</v>
      </c>
      <c r="B767" s="1" t="s">
        <v>692</v>
      </c>
      <c r="C767" s="2" t="s">
        <v>49</v>
      </c>
      <c r="D767" s="1" t="s">
        <v>50</v>
      </c>
    </row>
    <row r="768">
      <c r="A768" s="2" t="s">
        <v>709</v>
      </c>
      <c r="B768" s="1" t="s">
        <v>710</v>
      </c>
      <c r="C768" s="2" t="s">
        <v>757</v>
      </c>
      <c r="D768" s="1" t="s">
        <v>758</v>
      </c>
    </row>
    <row r="769">
      <c r="A769" s="2" t="s">
        <v>759</v>
      </c>
      <c r="B769" s="1" t="s">
        <v>760</v>
      </c>
      <c r="C769" s="2" t="s">
        <v>743</v>
      </c>
      <c r="D769" s="1" t="s">
        <v>744</v>
      </c>
    </row>
    <row r="770">
      <c r="A770" s="2" t="s">
        <v>697</v>
      </c>
      <c r="B770" s="1" t="s">
        <v>698</v>
      </c>
      <c r="C770" s="2" t="s">
        <v>43</v>
      </c>
      <c r="D770" s="1" t="s">
        <v>44</v>
      </c>
    </row>
    <row r="771">
      <c r="A771" s="2" t="s">
        <v>759</v>
      </c>
      <c r="B771" s="1" t="s">
        <v>760</v>
      </c>
      <c r="C771" s="2" t="s">
        <v>761</v>
      </c>
      <c r="D771" s="1" t="s">
        <v>762</v>
      </c>
    </row>
    <row r="772">
      <c r="A772" s="2" t="s">
        <v>763</v>
      </c>
      <c r="B772" s="1" t="s">
        <v>764</v>
      </c>
    </row>
    <row r="773">
      <c r="A773" s="2" t="s">
        <v>765</v>
      </c>
      <c r="B773" s="1" t="s">
        <v>766</v>
      </c>
    </row>
    <row r="774">
      <c r="A774" s="2" t="s">
        <v>691</v>
      </c>
      <c r="B774" s="1" t="s">
        <v>692</v>
      </c>
      <c r="C774" s="2" t="s">
        <v>92</v>
      </c>
      <c r="D774" s="1" t="s">
        <v>93</v>
      </c>
    </row>
    <row r="775">
      <c r="A775" s="2" t="s">
        <v>697</v>
      </c>
      <c r="B775" s="1" t="s">
        <v>698</v>
      </c>
      <c r="C775" s="2" t="s">
        <v>49</v>
      </c>
      <c r="D775" s="1" t="s">
        <v>50</v>
      </c>
    </row>
    <row r="776">
      <c r="A776" s="2" t="s">
        <v>767</v>
      </c>
      <c r="B776" s="1" t="s">
        <v>768</v>
      </c>
    </row>
    <row r="777">
      <c r="A777" s="2" t="s">
        <v>751</v>
      </c>
      <c r="B777" s="1" t="s">
        <v>752</v>
      </c>
      <c r="C777" s="2" t="s">
        <v>151</v>
      </c>
      <c r="D777" s="1" t="s">
        <v>152</v>
      </c>
    </row>
    <row r="778">
      <c r="A778" s="2" t="s">
        <v>736</v>
      </c>
      <c r="B778" s="1" t="s">
        <v>737</v>
      </c>
      <c r="C778" s="2" t="s">
        <v>296</v>
      </c>
      <c r="D778" s="1" t="s">
        <v>297</v>
      </c>
      <c r="E778" s="2" t="s">
        <v>738</v>
      </c>
    </row>
    <row r="779">
      <c r="A779" s="2" t="s">
        <v>769</v>
      </c>
      <c r="B779" s="1" t="s">
        <v>770</v>
      </c>
    </row>
    <row r="780">
      <c r="A780" s="2" t="s">
        <v>771</v>
      </c>
      <c r="B780" s="1" t="s">
        <v>772</v>
      </c>
    </row>
    <row r="781">
      <c r="A781" s="2" t="s">
        <v>751</v>
      </c>
      <c r="B781" s="1" t="s">
        <v>752</v>
      </c>
      <c r="C781" s="2" t="s">
        <v>118</v>
      </c>
      <c r="D781" s="1" t="s">
        <v>119</v>
      </c>
    </row>
    <row r="782">
      <c r="A782" s="2" t="s">
        <v>721</v>
      </c>
      <c r="B782" s="1" t="s">
        <v>722</v>
      </c>
      <c r="C782" s="2" t="s">
        <v>147</v>
      </c>
      <c r="D782" s="1" t="s">
        <v>148</v>
      </c>
    </row>
    <row r="783">
      <c r="A783" s="2" t="s">
        <v>733</v>
      </c>
      <c r="B783" s="1" t="s">
        <v>734</v>
      </c>
      <c r="C783" s="2" t="s">
        <v>594</v>
      </c>
      <c r="D783" s="1" t="s">
        <v>595</v>
      </c>
      <c r="E783" s="2" t="s">
        <v>735</v>
      </c>
    </row>
    <row r="784">
      <c r="A784" s="2" t="s">
        <v>773</v>
      </c>
      <c r="B784" s="1" t="s">
        <v>774</v>
      </c>
    </row>
    <row r="785">
      <c r="A785" s="2" t="s">
        <v>775</v>
      </c>
      <c r="B785" s="1" t="s">
        <v>776</v>
      </c>
    </row>
    <row r="786">
      <c r="A786" s="2" t="s">
        <v>777</v>
      </c>
      <c r="B786" s="1" t="s">
        <v>778</v>
      </c>
      <c r="C786" s="2" t="s">
        <v>779</v>
      </c>
      <c r="D786" s="1" t="s">
        <v>780</v>
      </c>
    </row>
    <row r="787">
      <c r="A787" s="2" t="s">
        <v>781</v>
      </c>
      <c r="B787" s="1" t="s">
        <v>782</v>
      </c>
    </row>
    <row r="788">
      <c r="A788" s="2" t="s">
        <v>783</v>
      </c>
      <c r="B788" s="1" t="s">
        <v>784</v>
      </c>
      <c r="C788" s="2" t="s">
        <v>151</v>
      </c>
      <c r="D788" s="1" t="s">
        <v>152</v>
      </c>
    </row>
    <row r="789">
      <c r="A789" s="2" t="s">
        <v>777</v>
      </c>
      <c r="B789" s="1" t="s">
        <v>778</v>
      </c>
      <c r="C789" s="2" t="s">
        <v>141</v>
      </c>
      <c r="D789" s="1" t="s">
        <v>142</v>
      </c>
    </row>
    <row r="790">
      <c r="A790" s="2" t="s">
        <v>785</v>
      </c>
      <c r="B790" s="1" t="s">
        <v>786</v>
      </c>
      <c r="C790" s="2" t="s">
        <v>69</v>
      </c>
      <c r="D790" s="1" t="s">
        <v>70</v>
      </c>
    </row>
    <row r="791">
      <c r="A791" s="2" t="s">
        <v>787</v>
      </c>
      <c r="B791" s="1" t="s">
        <v>788</v>
      </c>
      <c r="C791" s="2" t="s">
        <v>151</v>
      </c>
      <c r="D791" s="1" t="s">
        <v>152</v>
      </c>
    </row>
    <row r="792">
      <c r="A792" s="2" t="s">
        <v>789</v>
      </c>
      <c r="B792" s="1" t="s">
        <v>790</v>
      </c>
      <c r="C792" s="2" t="s">
        <v>135</v>
      </c>
      <c r="D792" s="1" t="s">
        <v>136</v>
      </c>
    </row>
    <row r="793">
      <c r="A793" s="2" t="s">
        <v>791</v>
      </c>
      <c r="B793" s="1" t="s">
        <v>792</v>
      </c>
      <c r="C793" s="2" t="s">
        <v>793</v>
      </c>
      <c r="D793" s="1" t="s">
        <v>794</v>
      </c>
    </row>
    <row r="794">
      <c r="A794" s="2" t="s">
        <v>789</v>
      </c>
      <c r="B794" s="1" t="s">
        <v>790</v>
      </c>
      <c r="C794" s="2" t="s">
        <v>128</v>
      </c>
      <c r="D794" s="1" t="s">
        <v>129</v>
      </c>
    </row>
    <row r="795">
      <c r="A795" s="2" t="s">
        <v>795</v>
      </c>
      <c r="B795" s="1" t="s">
        <v>796</v>
      </c>
      <c r="C795" s="2" t="s">
        <v>84</v>
      </c>
      <c r="D795" s="1" t="s">
        <v>85</v>
      </c>
    </row>
    <row r="796">
      <c r="A796" s="2" t="s">
        <v>797</v>
      </c>
      <c r="B796" s="1" t="s">
        <v>798</v>
      </c>
      <c r="C796" s="2" t="s">
        <v>69</v>
      </c>
      <c r="D796" s="1" t="s">
        <v>70</v>
      </c>
    </row>
    <row r="797">
      <c r="A797" s="2" t="s">
        <v>789</v>
      </c>
      <c r="B797" s="1" t="s">
        <v>790</v>
      </c>
      <c r="C797" s="2" t="s">
        <v>49</v>
      </c>
      <c r="D797" s="1" t="s">
        <v>50</v>
      </c>
    </row>
    <row r="798">
      <c r="A798" s="2" t="s">
        <v>789</v>
      </c>
      <c r="B798" s="1" t="s">
        <v>790</v>
      </c>
      <c r="C798" s="2" t="s">
        <v>126</v>
      </c>
      <c r="D798" s="1" t="s">
        <v>127</v>
      </c>
    </row>
    <row r="799">
      <c r="A799" s="2" t="s">
        <v>799</v>
      </c>
      <c r="B799" s="1" t="s">
        <v>800</v>
      </c>
      <c r="C799" s="2" t="s">
        <v>77</v>
      </c>
      <c r="D799" s="1" t="s">
        <v>78</v>
      </c>
    </row>
    <row r="800">
      <c r="A800" s="2" t="s">
        <v>801</v>
      </c>
      <c r="B800" s="1" t="s">
        <v>802</v>
      </c>
      <c r="C800" s="2" t="s">
        <v>137</v>
      </c>
      <c r="D800" s="1" t="s">
        <v>138</v>
      </c>
    </row>
    <row r="801">
      <c r="A801" s="2" t="s">
        <v>795</v>
      </c>
      <c r="B801" s="1" t="s">
        <v>796</v>
      </c>
      <c r="C801" s="2" t="s">
        <v>49</v>
      </c>
      <c r="D801" s="1" t="s">
        <v>50</v>
      </c>
    </row>
    <row r="802">
      <c r="A802" s="2" t="s">
        <v>801</v>
      </c>
      <c r="B802" s="1" t="s">
        <v>802</v>
      </c>
      <c r="C802" s="2" t="s">
        <v>522</v>
      </c>
      <c r="D802" s="1" t="s">
        <v>523</v>
      </c>
    </row>
    <row r="803">
      <c r="A803" s="2" t="s">
        <v>803</v>
      </c>
      <c r="B803" s="1" t="s">
        <v>804</v>
      </c>
      <c r="C803" s="2" t="s">
        <v>22</v>
      </c>
      <c r="D803" s="1" t="s">
        <v>23</v>
      </c>
    </row>
    <row r="804">
      <c r="A804" s="2" t="s">
        <v>805</v>
      </c>
      <c r="B804" s="1" t="s">
        <v>806</v>
      </c>
      <c r="C804" s="2" t="s">
        <v>470</v>
      </c>
      <c r="D804" s="1" t="s">
        <v>471</v>
      </c>
    </row>
    <row r="805">
      <c r="A805" s="2" t="s">
        <v>805</v>
      </c>
      <c r="B805" s="1" t="s">
        <v>806</v>
      </c>
      <c r="C805" s="2" t="s">
        <v>807</v>
      </c>
      <c r="D805" s="1" t="s">
        <v>808</v>
      </c>
    </row>
    <row r="806">
      <c r="A806" s="2" t="s">
        <v>809</v>
      </c>
      <c r="B806" s="1" t="s">
        <v>810</v>
      </c>
      <c r="C806" s="2" t="s">
        <v>604</v>
      </c>
      <c r="D806" s="1" t="s">
        <v>605</v>
      </c>
    </row>
    <row r="807">
      <c r="A807" s="2" t="s">
        <v>811</v>
      </c>
      <c r="B807" s="1" t="s">
        <v>812</v>
      </c>
      <c r="C807" s="2" t="s">
        <v>22</v>
      </c>
      <c r="D807" s="1" t="s">
        <v>23</v>
      </c>
    </row>
    <row r="808">
      <c r="A808" s="2" t="s">
        <v>811</v>
      </c>
      <c r="B808" s="1" t="s">
        <v>812</v>
      </c>
      <c r="C808" s="2" t="s">
        <v>25</v>
      </c>
      <c r="D808" s="1" t="s">
        <v>26</v>
      </c>
    </row>
    <row r="809">
      <c r="A809" s="2" t="s">
        <v>813</v>
      </c>
      <c r="B809" s="1" t="s">
        <v>814</v>
      </c>
      <c r="C809" s="2" t="s">
        <v>815</v>
      </c>
      <c r="D809" s="1" t="s">
        <v>816</v>
      </c>
    </row>
    <row r="810">
      <c r="A810" s="2" t="s">
        <v>813</v>
      </c>
      <c r="B810" s="1" t="s">
        <v>814</v>
      </c>
      <c r="C810" s="2" t="s">
        <v>636</v>
      </c>
      <c r="D810" s="1" t="s">
        <v>637</v>
      </c>
    </row>
    <row r="811">
      <c r="A811" s="2" t="s">
        <v>809</v>
      </c>
      <c r="B811" s="1" t="s">
        <v>810</v>
      </c>
      <c r="C811" s="2" t="s">
        <v>306</v>
      </c>
      <c r="D811" s="1" t="s">
        <v>307</v>
      </c>
    </row>
    <row r="812">
      <c r="A812" s="2" t="s">
        <v>817</v>
      </c>
      <c r="B812" s="1" t="s">
        <v>818</v>
      </c>
      <c r="C812" s="2" t="s">
        <v>128</v>
      </c>
      <c r="D812" s="1" t="s">
        <v>129</v>
      </c>
    </row>
    <row r="813">
      <c r="A813" s="2" t="s">
        <v>819</v>
      </c>
      <c r="B813" s="1" t="s">
        <v>820</v>
      </c>
      <c r="C813" s="2" t="s">
        <v>94</v>
      </c>
      <c r="D813" s="1" t="s">
        <v>95</v>
      </c>
      <c r="E813" s="2" t="s">
        <v>821</v>
      </c>
    </row>
    <row r="814">
      <c r="A814" s="2" t="s">
        <v>817</v>
      </c>
      <c r="B814" s="1" t="s">
        <v>818</v>
      </c>
      <c r="C814" s="2" t="s">
        <v>522</v>
      </c>
      <c r="D814" s="1" t="s">
        <v>523</v>
      </c>
    </row>
    <row r="815">
      <c r="A815" s="2" t="s">
        <v>822</v>
      </c>
      <c r="B815" s="1" t="s">
        <v>823</v>
      </c>
      <c r="C815" s="2" t="s">
        <v>22</v>
      </c>
      <c r="D815" s="1" t="s">
        <v>23</v>
      </c>
    </row>
    <row r="816">
      <c r="A816" s="2" t="s">
        <v>824</v>
      </c>
      <c r="B816" s="1" t="s">
        <v>825</v>
      </c>
      <c r="C816" s="2" t="s">
        <v>151</v>
      </c>
      <c r="D816" s="1" t="s">
        <v>152</v>
      </c>
    </row>
    <row r="817">
      <c r="A817" s="2" t="s">
        <v>826</v>
      </c>
      <c r="B817" s="1" t="s">
        <v>827</v>
      </c>
      <c r="C817" s="2" t="s">
        <v>828</v>
      </c>
      <c r="D817" s="1" t="s">
        <v>829</v>
      </c>
    </row>
    <row r="818">
      <c r="A818" s="2" t="s">
        <v>830</v>
      </c>
      <c r="B818" s="1" t="s">
        <v>831</v>
      </c>
      <c r="C818" s="2" t="s">
        <v>832</v>
      </c>
      <c r="D818" s="1" t="s">
        <v>833</v>
      </c>
    </row>
    <row r="819">
      <c r="A819" s="2" t="s">
        <v>834</v>
      </c>
      <c r="B819" s="1" t="s">
        <v>835</v>
      </c>
      <c r="C819" s="2" t="s">
        <v>41</v>
      </c>
      <c r="D819" s="1" t="s">
        <v>42</v>
      </c>
    </row>
    <row r="820">
      <c r="A820" s="2" t="s">
        <v>834</v>
      </c>
      <c r="B820" s="1" t="s">
        <v>835</v>
      </c>
      <c r="C820" s="2" t="s">
        <v>216</v>
      </c>
      <c r="D820" s="1" t="s">
        <v>217</v>
      </c>
    </row>
    <row r="821">
      <c r="A821" s="2" t="s">
        <v>819</v>
      </c>
      <c r="B821" s="1" t="s">
        <v>820</v>
      </c>
      <c r="C821" s="2" t="s">
        <v>836</v>
      </c>
      <c r="D821" s="1" t="s">
        <v>837</v>
      </c>
      <c r="E821" s="2" t="s">
        <v>821</v>
      </c>
    </row>
    <row r="822">
      <c r="A822" s="2" t="s">
        <v>834</v>
      </c>
      <c r="B822" s="1" t="s">
        <v>835</v>
      </c>
      <c r="C822" s="2" t="s">
        <v>43</v>
      </c>
      <c r="D822" s="1" t="s">
        <v>44</v>
      </c>
    </row>
    <row r="823">
      <c r="A823" s="2" t="s">
        <v>838</v>
      </c>
      <c r="B823" s="1" t="s">
        <v>839</v>
      </c>
      <c r="C823" s="2" t="s">
        <v>604</v>
      </c>
      <c r="D823" s="1" t="s">
        <v>605</v>
      </c>
    </row>
    <row r="824">
      <c r="A824" s="2" t="s">
        <v>840</v>
      </c>
      <c r="B824" s="1" t="s">
        <v>841</v>
      </c>
      <c r="E824" s="2" t="s">
        <v>842</v>
      </c>
    </row>
    <row r="825">
      <c r="A825" s="2" t="s">
        <v>561</v>
      </c>
      <c r="B825" s="1" t="s">
        <v>562</v>
      </c>
      <c r="C825" s="2" t="s">
        <v>49</v>
      </c>
      <c r="D825" s="1" t="s">
        <v>50</v>
      </c>
    </row>
    <row r="826">
      <c r="A826" s="2" t="s">
        <v>838</v>
      </c>
      <c r="B826" s="1" t="s">
        <v>839</v>
      </c>
      <c r="C826" s="2" t="s">
        <v>306</v>
      </c>
      <c r="D826" s="1" t="s">
        <v>307</v>
      </c>
    </row>
    <row r="827">
      <c r="A827" s="2" t="s">
        <v>799</v>
      </c>
      <c r="B827" s="1" t="s">
        <v>800</v>
      </c>
      <c r="C827" s="2" t="s">
        <v>651</v>
      </c>
      <c r="D827" s="1" t="s">
        <v>652</v>
      </c>
    </row>
    <row r="828">
      <c r="A828" s="2" t="s">
        <v>819</v>
      </c>
      <c r="B828" s="1" t="s">
        <v>820</v>
      </c>
      <c r="C828" s="2" t="s">
        <v>636</v>
      </c>
      <c r="D828" s="1" t="s">
        <v>637</v>
      </c>
      <c r="E828" s="2" t="s">
        <v>821</v>
      </c>
    </row>
    <row r="829">
      <c r="A829" s="2" t="s">
        <v>843</v>
      </c>
      <c r="B829" s="1" t="s">
        <v>844</v>
      </c>
      <c r="C829" s="2" t="s">
        <v>41</v>
      </c>
      <c r="D829" s="1" t="s">
        <v>42</v>
      </c>
    </row>
    <row r="830">
      <c r="A830" s="2" t="s">
        <v>843</v>
      </c>
      <c r="B830" s="1" t="s">
        <v>844</v>
      </c>
      <c r="C830" s="2" t="s">
        <v>43</v>
      </c>
      <c r="D830" s="1" t="s">
        <v>44</v>
      </c>
    </row>
    <row r="831">
      <c r="A831" s="2" t="s">
        <v>845</v>
      </c>
      <c r="B831" s="1" t="s">
        <v>846</v>
      </c>
      <c r="C831" s="2" t="s">
        <v>727</v>
      </c>
      <c r="D831" s="1" t="s">
        <v>728</v>
      </c>
    </row>
    <row r="832">
      <c r="A832" s="2" t="s">
        <v>847</v>
      </c>
      <c r="B832" s="1" t="s">
        <v>848</v>
      </c>
      <c r="C832" s="2" t="s">
        <v>849</v>
      </c>
      <c r="D832" s="1" t="s">
        <v>850</v>
      </c>
    </row>
    <row r="833">
      <c r="A833" s="2" t="s">
        <v>843</v>
      </c>
      <c r="B833" s="1" t="s">
        <v>844</v>
      </c>
      <c r="C833" s="2" t="s">
        <v>49</v>
      </c>
      <c r="D833" s="1" t="s">
        <v>50</v>
      </c>
    </row>
    <row r="834">
      <c r="A834" s="2" t="s">
        <v>834</v>
      </c>
      <c r="B834" s="1" t="s">
        <v>835</v>
      </c>
      <c r="C834" s="2" t="s">
        <v>92</v>
      </c>
      <c r="D834" s="1" t="s">
        <v>93</v>
      </c>
    </row>
    <row r="835">
      <c r="A835" s="2" t="s">
        <v>851</v>
      </c>
      <c r="B835" s="1" t="s">
        <v>852</v>
      </c>
      <c r="C835" s="2" t="s">
        <v>853</v>
      </c>
      <c r="D835" s="1" t="s">
        <v>854</v>
      </c>
    </row>
    <row r="836">
      <c r="A836" s="2" t="s">
        <v>855</v>
      </c>
      <c r="B836" s="1" t="s">
        <v>856</v>
      </c>
      <c r="C836" s="2" t="s">
        <v>604</v>
      </c>
      <c r="D836" s="1" t="s">
        <v>605</v>
      </c>
    </row>
    <row r="837">
      <c r="A837" s="2" t="s">
        <v>857</v>
      </c>
      <c r="B837" s="1" t="s">
        <v>858</v>
      </c>
      <c r="C837" s="2" t="s">
        <v>173</v>
      </c>
      <c r="D837" s="1" t="s">
        <v>174</v>
      </c>
    </row>
    <row r="838">
      <c r="A838" s="2" t="s">
        <v>859</v>
      </c>
      <c r="B838" s="1" t="s">
        <v>860</v>
      </c>
      <c r="C838" s="2" t="s">
        <v>380</v>
      </c>
      <c r="D838" s="1" t="s">
        <v>381</v>
      </c>
    </row>
    <row r="839">
      <c r="A839" s="2" t="s">
        <v>783</v>
      </c>
      <c r="B839" s="1" t="s">
        <v>784</v>
      </c>
      <c r="C839" s="2" t="s">
        <v>753</v>
      </c>
      <c r="D839" s="1" t="s">
        <v>754</v>
      </c>
    </row>
    <row r="840">
      <c r="A840" s="2" t="s">
        <v>861</v>
      </c>
      <c r="B840" s="1" t="s">
        <v>862</v>
      </c>
      <c r="C840" s="2" t="s">
        <v>173</v>
      </c>
      <c r="D840" s="1" t="s">
        <v>174</v>
      </c>
    </row>
    <row r="841">
      <c r="A841" s="2" t="s">
        <v>863</v>
      </c>
      <c r="B841" s="1" t="s">
        <v>864</v>
      </c>
      <c r="C841" s="2" t="s">
        <v>116</v>
      </c>
      <c r="D841" s="1" t="s">
        <v>117</v>
      </c>
    </row>
    <row r="842">
      <c r="A842" s="2" t="s">
        <v>789</v>
      </c>
      <c r="B842" s="1" t="s">
        <v>790</v>
      </c>
      <c r="C842" s="2" t="s">
        <v>22</v>
      </c>
      <c r="D842" s="1" t="s">
        <v>23</v>
      </c>
    </row>
    <row r="843">
      <c r="A843" s="2" t="s">
        <v>809</v>
      </c>
      <c r="B843" s="1" t="s">
        <v>810</v>
      </c>
      <c r="C843" s="2" t="s">
        <v>151</v>
      </c>
      <c r="D843" s="1" t="s">
        <v>152</v>
      </c>
    </row>
    <row r="844">
      <c r="A844" s="2" t="s">
        <v>783</v>
      </c>
      <c r="B844" s="1" t="s">
        <v>784</v>
      </c>
      <c r="C844" s="2" t="s">
        <v>865</v>
      </c>
      <c r="D844" s="1" t="s">
        <v>866</v>
      </c>
    </row>
    <row r="845">
      <c r="A845" s="2" t="s">
        <v>843</v>
      </c>
      <c r="B845" s="1" t="s">
        <v>844</v>
      </c>
      <c r="C845" s="2" t="s">
        <v>69</v>
      </c>
      <c r="D845" s="1" t="s">
        <v>70</v>
      </c>
    </row>
    <row r="846">
      <c r="A846" s="2" t="s">
        <v>783</v>
      </c>
      <c r="B846" s="1" t="s">
        <v>784</v>
      </c>
      <c r="C846" s="2" t="s">
        <v>867</v>
      </c>
      <c r="D846" s="1" t="s">
        <v>868</v>
      </c>
    </row>
    <row r="847">
      <c r="A847" s="2" t="s">
        <v>834</v>
      </c>
      <c r="B847" s="1" t="s">
        <v>835</v>
      </c>
      <c r="C847" s="2" t="s">
        <v>221</v>
      </c>
      <c r="D847" s="1" t="s">
        <v>222</v>
      </c>
    </row>
    <row r="848">
      <c r="A848" s="2" t="s">
        <v>803</v>
      </c>
      <c r="B848" s="1" t="s">
        <v>804</v>
      </c>
      <c r="C848" s="2" t="s">
        <v>35</v>
      </c>
      <c r="D848" s="1" t="s">
        <v>36</v>
      </c>
    </row>
    <row r="849">
      <c r="A849" s="2" t="s">
        <v>803</v>
      </c>
      <c r="B849" s="1" t="s">
        <v>804</v>
      </c>
      <c r="C849" s="2" t="s">
        <v>135</v>
      </c>
      <c r="D849" s="1" t="s">
        <v>136</v>
      </c>
    </row>
    <row r="850">
      <c r="A850" s="2" t="s">
        <v>838</v>
      </c>
      <c r="B850" s="1" t="s">
        <v>839</v>
      </c>
      <c r="C850" s="2" t="s">
        <v>151</v>
      </c>
      <c r="D850" s="1" t="s">
        <v>152</v>
      </c>
    </row>
    <row r="851">
      <c r="A851" s="2" t="s">
        <v>869</v>
      </c>
      <c r="B851" s="1" t="s">
        <v>870</v>
      </c>
      <c r="C851" s="2" t="s">
        <v>103</v>
      </c>
      <c r="D851" s="1" t="s">
        <v>104</v>
      </c>
    </row>
    <row r="852">
      <c r="A852" s="2" t="s">
        <v>811</v>
      </c>
      <c r="B852" s="1" t="s">
        <v>812</v>
      </c>
      <c r="C852" s="2" t="s">
        <v>49</v>
      </c>
      <c r="D852" s="1" t="s">
        <v>50</v>
      </c>
    </row>
    <row r="853">
      <c r="A853" s="2" t="s">
        <v>817</v>
      </c>
      <c r="B853" s="1" t="s">
        <v>818</v>
      </c>
      <c r="C853" s="2" t="s">
        <v>22</v>
      </c>
      <c r="D853" s="1" t="s">
        <v>23</v>
      </c>
    </row>
    <row r="854">
      <c r="A854" s="2" t="s">
        <v>869</v>
      </c>
      <c r="B854" s="1" t="s">
        <v>870</v>
      </c>
      <c r="C854" s="2" t="s">
        <v>124</v>
      </c>
      <c r="D854" s="1" t="s">
        <v>125</v>
      </c>
    </row>
    <row r="855">
      <c r="A855" s="2" t="s">
        <v>869</v>
      </c>
      <c r="B855" s="1" t="s">
        <v>870</v>
      </c>
      <c r="C855" s="2" t="s">
        <v>871</v>
      </c>
      <c r="D855" s="1" t="s">
        <v>642</v>
      </c>
    </row>
    <row r="856">
      <c r="A856" s="2" t="s">
        <v>872</v>
      </c>
      <c r="B856" s="1" t="s">
        <v>873</v>
      </c>
      <c r="C856" s="2" t="s">
        <v>41</v>
      </c>
      <c r="D856" s="1" t="s">
        <v>42</v>
      </c>
    </row>
    <row r="857">
      <c r="A857" s="2" t="s">
        <v>874</v>
      </c>
      <c r="B857" s="1" t="s">
        <v>875</v>
      </c>
      <c r="C857" s="2" t="s">
        <v>41</v>
      </c>
      <c r="D857" s="1" t="s">
        <v>42</v>
      </c>
    </row>
    <row r="858">
      <c r="A858" s="2" t="s">
        <v>872</v>
      </c>
      <c r="B858" s="1" t="s">
        <v>873</v>
      </c>
      <c r="C858" s="2" t="s">
        <v>43</v>
      </c>
      <c r="D858" s="1" t="s">
        <v>44</v>
      </c>
    </row>
    <row r="859">
      <c r="A859" s="2" t="s">
        <v>791</v>
      </c>
      <c r="B859" s="1" t="s">
        <v>792</v>
      </c>
      <c r="C859" s="2" t="s">
        <v>607</v>
      </c>
      <c r="D859" s="1" t="s">
        <v>608</v>
      </c>
    </row>
    <row r="860">
      <c r="A860" s="2" t="s">
        <v>874</v>
      </c>
      <c r="B860" s="1" t="s">
        <v>875</v>
      </c>
      <c r="C860" s="2" t="s">
        <v>43</v>
      </c>
      <c r="D860" s="1" t="s">
        <v>44</v>
      </c>
    </row>
    <row r="861">
      <c r="A861" s="2" t="s">
        <v>822</v>
      </c>
      <c r="B861" s="1" t="s">
        <v>823</v>
      </c>
      <c r="C861" s="2" t="s">
        <v>43</v>
      </c>
      <c r="D861" s="1" t="s">
        <v>44</v>
      </c>
    </row>
    <row r="862">
      <c r="A862" s="2" t="s">
        <v>872</v>
      </c>
      <c r="B862" s="1" t="s">
        <v>873</v>
      </c>
      <c r="C862" s="2" t="s">
        <v>49</v>
      </c>
      <c r="D862" s="1" t="s">
        <v>50</v>
      </c>
    </row>
    <row r="863">
      <c r="A863" s="2" t="s">
        <v>874</v>
      </c>
      <c r="B863" s="1" t="s">
        <v>875</v>
      </c>
      <c r="C863" s="2" t="s">
        <v>49</v>
      </c>
      <c r="D863" s="1" t="s">
        <v>50</v>
      </c>
    </row>
    <row r="864">
      <c r="A864" s="2" t="s">
        <v>876</v>
      </c>
      <c r="B864" s="1" t="s">
        <v>877</v>
      </c>
      <c r="C864" s="2" t="s">
        <v>173</v>
      </c>
      <c r="D864" s="1" t="s">
        <v>174</v>
      </c>
    </row>
    <row r="865">
      <c r="A865" s="2" t="s">
        <v>822</v>
      </c>
      <c r="B865" s="1" t="s">
        <v>823</v>
      </c>
      <c r="C865" s="2" t="s">
        <v>49</v>
      </c>
      <c r="D865" s="1" t="s">
        <v>50</v>
      </c>
    </row>
    <row r="866">
      <c r="A866" s="2" t="s">
        <v>785</v>
      </c>
      <c r="B866" s="1" t="s">
        <v>786</v>
      </c>
      <c r="C866" s="2" t="s">
        <v>41</v>
      </c>
      <c r="D866" s="1" t="s">
        <v>42</v>
      </c>
    </row>
    <row r="867">
      <c r="A867" s="2" t="s">
        <v>785</v>
      </c>
      <c r="B867" s="1" t="s">
        <v>786</v>
      </c>
      <c r="C867" s="2" t="s">
        <v>84</v>
      </c>
      <c r="D867" s="1" t="s">
        <v>85</v>
      </c>
    </row>
    <row r="868">
      <c r="A868" s="2" t="s">
        <v>878</v>
      </c>
      <c r="B868" s="1" t="s">
        <v>879</v>
      </c>
      <c r="C868" s="2" t="s">
        <v>12</v>
      </c>
      <c r="D868" s="1" t="s">
        <v>13</v>
      </c>
    </row>
    <row r="869">
      <c r="A869" s="2" t="s">
        <v>785</v>
      </c>
      <c r="B869" s="1" t="s">
        <v>786</v>
      </c>
      <c r="C869" s="2" t="s">
        <v>43</v>
      </c>
      <c r="D869" s="1" t="s">
        <v>44</v>
      </c>
    </row>
    <row r="870">
      <c r="A870" s="2" t="s">
        <v>878</v>
      </c>
      <c r="B870" s="1" t="s">
        <v>879</v>
      </c>
      <c r="C870" s="2" t="s">
        <v>522</v>
      </c>
      <c r="D870" s="1" t="s">
        <v>523</v>
      </c>
    </row>
    <row r="871">
      <c r="A871" s="2" t="s">
        <v>785</v>
      </c>
      <c r="B871" s="1" t="s">
        <v>786</v>
      </c>
      <c r="C871" s="2" t="s">
        <v>49</v>
      </c>
      <c r="D871" s="1" t="s">
        <v>50</v>
      </c>
    </row>
    <row r="872">
      <c r="A872" s="2" t="s">
        <v>880</v>
      </c>
      <c r="B872" s="1" t="s">
        <v>881</v>
      </c>
    </row>
    <row r="873">
      <c r="A873" s="2" t="s">
        <v>882</v>
      </c>
      <c r="B873" s="1" t="s">
        <v>883</v>
      </c>
    </row>
    <row r="874">
      <c r="A874" s="2" t="s">
        <v>884</v>
      </c>
      <c r="B874" s="1" t="s">
        <v>885</v>
      </c>
    </row>
    <row r="875">
      <c r="A875" s="2" t="s">
        <v>797</v>
      </c>
      <c r="B875" s="1" t="s">
        <v>798</v>
      </c>
      <c r="C875" s="2" t="s">
        <v>41</v>
      </c>
      <c r="D875" s="1" t="s">
        <v>42</v>
      </c>
    </row>
    <row r="876">
      <c r="A876" s="2" t="s">
        <v>797</v>
      </c>
      <c r="B876" s="1" t="s">
        <v>798</v>
      </c>
      <c r="C876" s="2" t="s">
        <v>43</v>
      </c>
      <c r="D876" s="1" t="s">
        <v>44</v>
      </c>
    </row>
    <row r="877">
      <c r="A877" s="2" t="s">
        <v>822</v>
      </c>
      <c r="B877" s="1" t="s">
        <v>823</v>
      </c>
      <c r="C877" s="2" t="s">
        <v>147</v>
      </c>
      <c r="D877" s="1" t="s">
        <v>148</v>
      </c>
    </row>
    <row r="878">
      <c r="A878" s="2" t="s">
        <v>886</v>
      </c>
      <c r="B878" s="1" t="s">
        <v>887</v>
      </c>
    </row>
    <row r="879">
      <c r="A879" s="2" t="s">
        <v>872</v>
      </c>
      <c r="B879" s="1" t="s">
        <v>873</v>
      </c>
      <c r="C879" s="2" t="s">
        <v>69</v>
      </c>
      <c r="D879" s="1" t="s">
        <v>70</v>
      </c>
    </row>
    <row r="880">
      <c r="A880" s="2" t="s">
        <v>888</v>
      </c>
      <c r="B880" s="1" t="s">
        <v>889</v>
      </c>
    </row>
    <row r="881">
      <c r="A881" s="2" t="s">
        <v>874</v>
      </c>
      <c r="B881" s="1" t="s">
        <v>875</v>
      </c>
      <c r="C881" s="2" t="s">
        <v>69</v>
      </c>
      <c r="D881" s="1" t="s">
        <v>70</v>
      </c>
    </row>
    <row r="882">
      <c r="A882" s="2" t="s">
        <v>890</v>
      </c>
      <c r="B882" s="1" t="s">
        <v>891</v>
      </c>
    </row>
    <row r="883">
      <c r="A883" s="2" t="s">
        <v>797</v>
      </c>
      <c r="B883" s="1" t="s">
        <v>798</v>
      </c>
      <c r="C883" s="2" t="s">
        <v>49</v>
      </c>
      <c r="D883" s="1" t="s">
        <v>50</v>
      </c>
    </row>
    <row r="884">
      <c r="A884" s="2" t="s">
        <v>892</v>
      </c>
      <c r="B884" s="1" t="s">
        <v>893</v>
      </c>
      <c r="C884" s="2" t="s">
        <v>49</v>
      </c>
      <c r="D884" s="1" t="s">
        <v>50</v>
      </c>
      <c r="E884" s="2" t="s">
        <v>894</v>
      </c>
    </row>
    <row r="885">
      <c r="A885" s="2" t="s">
        <v>895</v>
      </c>
      <c r="B885" s="1" t="s">
        <v>896</v>
      </c>
      <c r="C885" s="2" t="s">
        <v>69</v>
      </c>
      <c r="D885" s="1" t="s">
        <v>70</v>
      </c>
    </row>
    <row r="886">
      <c r="A886" s="2" t="s">
        <v>897</v>
      </c>
      <c r="B886" s="1" t="s">
        <v>898</v>
      </c>
      <c r="C886" s="2" t="s">
        <v>221</v>
      </c>
      <c r="D886" s="1" t="s">
        <v>222</v>
      </c>
    </row>
    <row r="887">
      <c r="A887" s="2" t="s">
        <v>899</v>
      </c>
      <c r="B887" s="1" t="s">
        <v>900</v>
      </c>
      <c r="C887" s="2" t="s">
        <v>114</v>
      </c>
      <c r="D887" s="1" t="s">
        <v>115</v>
      </c>
      <c r="E887" s="2" t="s">
        <v>901</v>
      </c>
    </row>
    <row r="888">
      <c r="A888" s="2" t="s">
        <v>899</v>
      </c>
      <c r="B888" s="1" t="s">
        <v>900</v>
      </c>
      <c r="C888" s="2" t="s">
        <v>902</v>
      </c>
      <c r="D888" s="1" t="s">
        <v>903</v>
      </c>
      <c r="E888" s="2" t="s">
        <v>901</v>
      </c>
    </row>
    <row r="889">
      <c r="A889" s="2" t="s">
        <v>899</v>
      </c>
      <c r="B889" s="1" t="s">
        <v>900</v>
      </c>
      <c r="C889" s="2" t="s">
        <v>22</v>
      </c>
      <c r="D889" s="1" t="s">
        <v>23</v>
      </c>
      <c r="E889" s="2" t="s">
        <v>901</v>
      </c>
    </row>
    <row r="890">
      <c r="A890" s="2" t="s">
        <v>899</v>
      </c>
      <c r="B890" s="1" t="s">
        <v>900</v>
      </c>
      <c r="C890" s="2" t="s">
        <v>25</v>
      </c>
      <c r="D890" s="1" t="s">
        <v>26</v>
      </c>
      <c r="E890" s="2" t="s">
        <v>901</v>
      </c>
    </row>
    <row r="891">
      <c r="A891" s="2" t="s">
        <v>904</v>
      </c>
      <c r="B891" s="1" t="s">
        <v>905</v>
      </c>
      <c r="C891" s="2" t="s">
        <v>906</v>
      </c>
      <c r="D891" s="1" t="s">
        <v>907</v>
      </c>
    </row>
    <row r="892">
      <c r="A892" s="2" t="s">
        <v>908</v>
      </c>
      <c r="B892" s="1" t="s">
        <v>909</v>
      </c>
      <c r="C892" s="2" t="s">
        <v>60</v>
      </c>
      <c r="D892" s="1" t="s">
        <v>61</v>
      </c>
      <c r="E892" s="2" t="s">
        <v>910</v>
      </c>
    </row>
    <row r="893">
      <c r="A893" s="2" t="s">
        <v>911</v>
      </c>
      <c r="B893" s="1" t="s">
        <v>912</v>
      </c>
      <c r="C893" s="2" t="s">
        <v>22</v>
      </c>
      <c r="D893" s="1" t="s">
        <v>23</v>
      </c>
    </row>
    <row r="894">
      <c r="A894" s="2" t="s">
        <v>911</v>
      </c>
      <c r="B894" s="1" t="s">
        <v>912</v>
      </c>
      <c r="C894" s="2" t="s">
        <v>151</v>
      </c>
      <c r="D894" s="1" t="s">
        <v>152</v>
      </c>
    </row>
    <row r="895">
      <c r="A895" s="2" t="s">
        <v>913</v>
      </c>
      <c r="B895" s="1" t="s">
        <v>914</v>
      </c>
      <c r="C895" s="2" t="s">
        <v>116</v>
      </c>
      <c r="D895" s="1" t="s">
        <v>117</v>
      </c>
    </row>
    <row r="896">
      <c r="A896" s="2" t="s">
        <v>915</v>
      </c>
      <c r="B896" s="1" t="s">
        <v>916</v>
      </c>
      <c r="C896" s="2" t="s">
        <v>492</v>
      </c>
      <c r="D896" s="1" t="s">
        <v>493</v>
      </c>
    </row>
    <row r="897">
      <c r="A897" s="2" t="s">
        <v>913</v>
      </c>
      <c r="B897" s="1" t="s">
        <v>914</v>
      </c>
      <c r="C897" s="2" t="s">
        <v>405</v>
      </c>
      <c r="D897" s="1" t="s">
        <v>406</v>
      </c>
    </row>
    <row r="898">
      <c r="A898" s="2" t="s">
        <v>917</v>
      </c>
      <c r="B898" s="1" t="s">
        <v>918</v>
      </c>
      <c r="C898" s="2" t="s">
        <v>60</v>
      </c>
      <c r="D898" s="1" t="s">
        <v>61</v>
      </c>
      <c r="E898" s="2" t="s">
        <v>919</v>
      </c>
    </row>
    <row r="899">
      <c r="A899" s="2" t="s">
        <v>908</v>
      </c>
      <c r="B899" s="1" t="s">
        <v>909</v>
      </c>
      <c r="C899" s="2" t="s">
        <v>103</v>
      </c>
      <c r="D899" s="1" t="s">
        <v>104</v>
      </c>
      <c r="E899" s="2" t="s">
        <v>910</v>
      </c>
    </row>
    <row r="900">
      <c r="A900" s="2" t="s">
        <v>913</v>
      </c>
      <c r="B900" s="1" t="s">
        <v>914</v>
      </c>
      <c r="C900" s="2" t="s">
        <v>807</v>
      </c>
      <c r="D900" s="1" t="s">
        <v>808</v>
      </c>
    </row>
    <row r="901">
      <c r="A901" s="2" t="s">
        <v>920</v>
      </c>
      <c r="B901" s="1" t="s">
        <v>921</v>
      </c>
      <c r="C901" s="2" t="s">
        <v>12</v>
      </c>
      <c r="D901" s="1" t="s">
        <v>13</v>
      </c>
    </row>
    <row r="902">
      <c r="A902" s="2" t="s">
        <v>920</v>
      </c>
      <c r="B902" s="1" t="s">
        <v>921</v>
      </c>
      <c r="C902" s="2" t="s">
        <v>247</v>
      </c>
      <c r="D902" s="1" t="s">
        <v>248</v>
      </c>
    </row>
    <row r="903">
      <c r="A903" s="2" t="s">
        <v>922</v>
      </c>
      <c r="B903" s="1" t="s">
        <v>923</v>
      </c>
      <c r="C903" s="2" t="s">
        <v>12</v>
      </c>
      <c r="D903" s="1" t="s">
        <v>13</v>
      </c>
      <c r="E903" s="2" t="s">
        <v>924</v>
      </c>
    </row>
    <row r="904">
      <c r="A904" s="2" t="s">
        <v>925</v>
      </c>
      <c r="B904" s="1" t="s">
        <v>926</v>
      </c>
      <c r="C904" s="2" t="s">
        <v>114</v>
      </c>
      <c r="D904" s="1" t="s">
        <v>115</v>
      </c>
      <c r="E904" s="2" t="s">
        <v>927</v>
      </c>
    </row>
    <row r="905">
      <c r="A905" s="2" t="s">
        <v>892</v>
      </c>
      <c r="B905" s="1" t="s">
        <v>893</v>
      </c>
      <c r="C905" s="2" t="s">
        <v>665</v>
      </c>
      <c r="D905" s="1" t="s">
        <v>666</v>
      </c>
      <c r="E905" s="2" t="s">
        <v>894</v>
      </c>
    </row>
    <row r="906">
      <c r="A906" s="2" t="s">
        <v>928</v>
      </c>
      <c r="B906" s="1" t="s">
        <v>929</v>
      </c>
      <c r="C906" s="2" t="s">
        <v>41</v>
      </c>
      <c r="D906" s="1" t="s">
        <v>42</v>
      </c>
    </row>
    <row r="907">
      <c r="A907" s="2" t="s">
        <v>928</v>
      </c>
      <c r="B907" s="1" t="s">
        <v>929</v>
      </c>
      <c r="C907" s="2" t="s">
        <v>43</v>
      </c>
      <c r="D907" s="1" t="s">
        <v>44</v>
      </c>
    </row>
    <row r="908">
      <c r="A908" s="2" t="s">
        <v>897</v>
      </c>
      <c r="B908" s="1" t="s">
        <v>898</v>
      </c>
      <c r="C908" s="2" t="s">
        <v>118</v>
      </c>
      <c r="D908" s="1" t="s">
        <v>119</v>
      </c>
    </row>
    <row r="909">
      <c r="A909" s="2" t="s">
        <v>908</v>
      </c>
      <c r="B909" s="1" t="s">
        <v>909</v>
      </c>
      <c r="C909" s="2" t="s">
        <v>247</v>
      </c>
      <c r="D909" s="1" t="s">
        <v>248</v>
      </c>
      <c r="E909" s="2" t="s">
        <v>910</v>
      </c>
    </row>
    <row r="910">
      <c r="A910" s="2" t="s">
        <v>930</v>
      </c>
      <c r="B910" s="1" t="s">
        <v>931</v>
      </c>
      <c r="C910" s="2" t="s">
        <v>12</v>
      </c>
      <c r="D910" s="1" t="s">
        <v>13</v>
      </c>
    </row>
    <row r="911">
      <c r="A911" s="2" t="s">
        <v>917</v>
      </c>
      <c r="B911" s="1" t="s">
        <v>918</v>
      </c>
      <c r="C911" s="2" t="s">
        <v>932</v>
      </c>
      <c r="D911" s="1" t="s">
        <v>933</v>
      </c>
      <c r="E911" s="2" t="s">
        <v>919</v>
      </c>
    </row>
    <row r="912">
      <c r="A912" s="2" t="s">
        <v>934</v>
      </c>
      <c r="B912" s="1" t="s">
        <v>935</v>
      </c>
      <c r="C912" s="2" t="s">
        <v>22</v>
      </c>
      <c r="D912" s="1" t="s">
        <v>23</v>
      </c>
    </row>
    <row r="913">
      <c r="A913" s="2" t="s">
        <v>934</v>
      </c>
      <c r="B913" s="1" t="s">
        <v>935</v>
      </c>
      <c r="C913" s="2" t="s">
        <v>25</v>
      </c>
      <c r="D913" s="1" t="s">
        <v>26</v>
      </c>
    </row>
    <row r="914">
      <c r="A914" s="2" t="s">
        <v>936</v>
      </c>
      <c r="B914" s="1" t="s">
        <v>937</v>
      </c>
      <c r="C914" s="2" t="s">
        <v>938</v>
      </c>
      <c r="D914" s="1" t="s">
        <v>939</v>
      </c>
    </row>
    <row r="915">
      <c r="A915" s="2" t="s">
        <v>940</v>
      </c>
      <c r="B915" s="1" t="s">
        <v>941</v>
      </c>
      <c r="C915" s="2" t="s">
        <v>12</v>
      </c>
      <c r="D915" s="1" t="s">
        <v>13</v>
      </c>
      <c r="E915" s="2" t="s">
        <v>942</v>
      </c>
    </row>
    <row r="916">
      <c r="A916" s="2" t="s">
        <v>895</v>
      </c>
      <c r="B916" s="1" t="s">
        <v>896</v>
      </c>
      <c r="C916" s="2" t="s">
        <v>22</v>
      </c>
      <c r="D916" s="1" t="s">
        <v>23</v>
      </c>
    </row>
    <row r="917">
      <c r="A917" s="2" t="s">
        <v>895</v>
      </c>
      <c r="B917" s="1" t="s">
        <v>896</v>
      </c>
      <c r="C917" s="2" t="s">
        <v>25</v>
      </c>
      <c r="D917" s="1" t="s">
        <v>26</v>
      </c>
    </row>
    <row r="918">
      <c r="A918" s="2" t="s">
        <v>917</v>
      </c>
      <c r="B918" s="1" t="s">
        <v>918</v>
      </c>
      <c r="C918" s="2" t="s">
        <v>225</v>
      </c>
      <c r="D918" s="1" t="s">
        <v>226</v>
      </c>
      <c r="E918" s="2" t="s">
        <v>919</v>
      </c>
    </row>
    <row r="919">
      <c r="A919" s="2" t="s">
        <v>922</v>
      </c>
      <c r="B919" s="1" t="s">
        <v>923</v>
      </c>
      <c r="C919" s="2" t="s">
        <v>141</v>
      </c>
      <c r="D919" s="1" t="s">
        <v>142</v>
      </c>
      <c r="E919" s="2" t="s">
        <v>924</v>
      </c>
    </row>
    <row r="920">
      <c r="A920" s="2" t="s">
        <v>943</v>
      </c>
      <c r="B920" s="1" t="s">
        <v>944</v>
      </c>
      <c r="C920" s="2" t="s">
        <v>12</v>
      </c>
      <c r="D920" s="1" t="s">
        <v>13</v>
      </c>
    </row>
    <row r="921">
      <c r="A921" s="2" t="s">
        <v>943</v>
      </c>
      <c r="B921" s="1" t="s">
        <v>944</v>
      </c>
      <c r="C921" s="2" t="s">
        <v>124</v>
      </c>
      <c r="D921" s="1" t="s">
        <v>125</v>
      </c>
    </row>
    <row r="922">
      <c r="A922" s="2" t="s">
        <v>943</v>
      </c>
      <c r="B922" s="1" t="s">
        <v>944</v>
      </c>
      <c r="C922" s="2" t="s">
        <v>139</v>
      </c>
      <c r="D922" s="1" t="s">
        <v>140</v>
      </c>
    </row>
    <row r="923">
      <c r="A923" s="2" t="s">
        <v>917</v>
      </c>
      <c r="B923" s="1" t="s">
        <v>918</v>
      </c>
      <c r="C923" s="2" t="s">
        <v>22</v>
      </c>
      <c r="D923" s="1" t="s">
        <v>23</v>
      </c>
      <c r="E923" s="2" t="s">
        <v>919</v>
      </c>
    </row>
    <row r="924">
      <c r="A924" s="2" t="s">
        <v>936</v>
      </c>
      <c r="B924" s="1" t="s">
        <v>937</v>
      </c>
      <c r="C924" s="2" t="s">
        <v>12</v>
      </c>
      <c r="D924" s="1" t="s">
        <v>13</v>
      </c>
    </row>
    <row r="925">
      <c r="A925" s="2" t="s">
        <v>936</v>
      </c>
      <c r="B925" s="1" t="s">
        <v>937</v>
      </c>
      <c r="C925" s="2" t="s">
        <v>405</v>
      </c>
      <c r="D925" s="1" t="s">
        <v>406</v>
      </c>
    </row>
    <row r="926">
      <c r="A926" s="2" t="s">
        <v>945</v>
      </c>
      <c r="B926" s="1" t="s">
        <v>946</v>
      </c>
      <c r="C926" s="2" t="s">
        <v>12</v>
      </c>
      <c r="D926" s="1" t="s">
        <v>13</v>
      </c>
    </row>
    <row r="927">
      <c r="A927" s="2" t="s">
        <v>908</v>
      </c>
      <c r="B927" s="1" t="s">
        <v>909</v>
      </c>
      <c r="C927" s="2" t="s">
        <v>79</v>
      </c>
      <c r="D927" s="1" t="s">
        <v>80</v>
      </c>
      <c r="E927" s="2" t="s">
        <v>910</v>
      </c>
    </row>
    <row r="928">
      <c r="A928" s="2" t="s">
        <v>947</v>
      </c>
      <c r="B928" s="1" t="s">
        <v>948</v>
      </c>
      <c r="C928" s="2" t="s">
        <v>116</v>
      </c>
      <c r="D928" s="1" t="s">
        <v>117</v>
      </c>
      <c r="E928" s="2" t="s">
        <v>949</v>
      </c>
    </row>
    <row r="929">
      <c r="A929" s="2" t="s">
        <v>936</v>
      </c>
      <c r="B929" s="1" t="s">
        <v>937</v>
      </c>
      <c r="C929" s="2" t="s">
        <v>49</v>
      </c>
      <c r="D929" s="1" t="s">
        <v>50</v>
      </c>
    </row>
    <row r="930">
      <c r="A930" s="2" t="s">
        <v>950</v>
      </c>
      <c r="B930" s="1" t="s">
        <v>951</v>
      </c>
      <c r="C930" s="2" t="s">
        <v>952</v>
      </c>
      <c r="D930" s="1" t="s">
        <v>953</v>
      </c>
    </row>
    <row r="931">
      <c r="A931" s="2" t="s">
        <v>945</v>
      </c>
      <c r="B931" s="1" t="s">
        <v>946</v>
      </c>
      <c r="C931" s="2" t="s">
        <v>49</v>
      </c>
      <c r="D931" s="1" t="s">
        <v>50</v>
      </c>
    </row>
    <row r="932">
      <c r="A932" s="2" t="s">
        <v>922</v>
      </c>
      <c r="B932" s="1" t="s">
        <v>923</v>
      </c>
      <c r="C932" s="2" t="s">
        <v>22</v>
      </c>
      <c r="D932" s="1" t="s">
        <v>23</v>
      </c>
      <c r="E932" s="2" t="s">
        <v>924</v>
      </c>
    </row>
    <row r="933">
      <c r="A933" s="2" t="s">
        <v>917</v>
      </c>
      <c r="B933" s="1" t="s">
        <v>918</v>
      </c>
      <c r="C933" s="2" t="s">
        <v>79</v>
      </c>
      <c r="D933" s="1" t="s">
        <v>80</v>
      </c>
      <c r="E933" s="2" t="s">
        <v>919</v>
      </c>
    </row>
    <row r="934">
      <c r="A934" s="2" t="s">
        <v>950</v>
      </c>
      <c r="B934" s="1" t="s">
        <v>951</v>
      </c>
      <c r="C934" s="2" t="s">
        <v>49</v>
      </c>
      <c r="D934" s="1" t="s">
        <v>50</v>
      </c>
    </row>
    <row r="935">
      <c r="A935" s="2" t="s">
        <v>904</v>
      </c>
      <c r="B935" s="1" t="s">
        <v>905</v>
      </c>
      <c r="C935" s="2" t="s">
        <v>118</v>
      </c>
      <c r="D935" s="1" t="s">
        <v>119</v>
      </c>
    </row>
    <row r="936">
      <c r="A936" s="2" t="s">
        <v>936</v>
      </c>
      <c r="B936" s="1" t="s">
        <v>937</v>
      </c>
      <c r="C936" s="2" t="s">
        <v>69</v>
      </c>
      <c r="D936" s="1" t="s">
        <v>70</v>
      </c>
    </row>
    <row r="937">
      <c r="A937" s="2" t="s">
        <v>940</v>
      </c>
      <c r="B937" s="1" t="s">
        <v>941</v>
      </c>
      <c r="C937" s="2" t="s">
        <v>114</v>
      </c>
      <c r="D937" s="1" t="s">
        <v>115</v>
      </c>
      <c r="E937" s="2" t="s">
        <v>942</v>
      </c>
    </row>
    <row r="938">
      <c r="A938" s="2" t="s">
        <v>945</v>
      </c>
      <c r="B938" s="1" t="s">
        <v>946</v>
      </c>
      <c r="C938" s="2" t="s">
        <v>69</v>
      </c>
      <c r="D938" s="1" t="s">
        <v>70</v>
      </c>
    </row>
    <row r="939">
      <c r="A939" s="2" t="s">
        <v>913</v>
      </c>
      <c r="B939" s="1" t="s">
        <v>914</v>
      </c>
      <c r="C939" s="2" t="s">
        <v>22</v>
      </c>
      <c r="D939" s="1" t="s">
        <v>23</v>
      </c>
    </row>
    <row r="940">
      <c r="A940" s="2" t="s">
        <v>913</v>
      </c>
      <c r="B940" s="1" t="s">
        <v>914</v>
      </c>
      <c r="C940" s="2" t="s">
        <v>151</v>
      </c>
      <c r="D940" s="1" t="s">
        <v>152</v>
      </c>
    </row>
    <row r="941">
      <c r="A941" s="2" t="s">
        <v>913</v>
      </c>
      <c r="B941" s="1" t="s">
        <v>914</v>
      </c>
      <c r="C941" s="2" t="s">
        <v>25</v>
      </c>
      <c r="D941" s="1" t="s">
        <v>26</v>
      </c>
    </row>
    <row r="942">
      <c r="A942" s="2" t="s">
        <v>954</v>
      </c>
      <c r="B942" s="1" t="s">
        <v>955</v>
      </c>
      <c r="C942" s="2" t="s">
        <v>173</v>
      </c>
      <c r="D942" s="1" t="s">
        <v>174</v>
      </c>
      <c r="E942" s="2" t="s">
        <v>956</v>
      </c>
    </row>
    <row r="943">
      <c r="A943" s="2" t="s">
        <v>954</v>
      </c>
      <c r="B943" s="1" t="s">
        <v>955</v>
      </c>
      <c r="C943" s="2" t="s">
        <v>22</v>
      </c>
      <c r="D943" s="1" t="s">
        <v>23</v>
      </c>
      <c r="E943" s="2" t="s">
        <v>956</v>
      </c>
    </row>
    <row r="944">
      <c r="A944" s="2" t="s">
        <v>954</v>
      </c>
      <c r="B944" s="1" t="s">
        <v>955</v>
      </c>
      <c r="C944" s="2" t="s">
        <v>25</v>
      </c>
      <c r="D944" s="1" t="s">
        <v>26</v>
      </c>
      <c r="E944" s="2" t="s">
        <v>956</v>
      </c>
    </row>
    <row r="945">
      <c r="A945" s="2" t="s">
        <v>950</v>
      </c>
      <c r="B945" s="1" t="s">
        <v>951</v>
      </c>
      <c r="C945" s="2" t="s">
        <v>280</v>
      </c>
      <c r="D945" s="1" t="s">
        <v>281</v>
      </c>
    </row>
    <row r="946">
      <c r="A946" s="2" t="s">
        <v>957</v>
      </c>
      <c r="B946" s="1" t="s">
        <v>958</v>
      </c>
      <c r="C946" s="2" t="s">
        <v>12</v>
      </c>
      <c r="D946" s="1" t="s">
        <v>13</v>
      </c>
      <c r="E946" s="2" t="s">
        <v>959</v>
      </c>
    </row>
    <row r="947">
      <c r="A947" s="2" t="s">
        <v>947</v>
      </c>
      <c r="B947" s="1" t="s">
        <v>948</v>
      </c>
      <c r="C947" s="2" t="s">
        <v>49</v>
      </c>
      <c r="D947" s="1" t="s">
        <v>50</v>
      </c>
      <c r="E947" s="2" t="s">
        <v>949</v>
      </c>
    </row>
    <row r="948">
      <c r="A948" s="2" t="s">
        <v>920</v>
      </c>
      <c r="B948" s="1" t="s">
        <v>921</v>
      </c>
      <c r="C948" s="2" t="s">
        <v>114</v>
      </c>
      <c r="D948" s="1" t="s">
        <v>115</v>
      </c>
    </row>
    <row r="949">
      <c r="A949" s="2" t="s">
        <v>957</v>
      </c>
      <c r="B949" s="1" t="s">
        <v>958</v>
      </c>
      <c r="C949" s="2" t="s">
        <v>35</v>
      </c>
      <c r="D949" s="1" t="s">
        <v>36</v>
      </c>
      <c r="E949" s="2" t="s">
        <v>959</v>
      </c>
    </row>
    <row r="950">
      <c r="A950" s="2" t="s">
        <v>928</v>
      </c>
      <c r="B950" s="1" t="s">
        <v>929</v>
      </c>
      <c r="C950" s="2" t="s">
        <v>22</v>
      </c>
      <c r="D950" s="1" t="s">
        <v>23</v>
      </c>
    </row>
    <row r="951">
      <c r="A951" s="2" t="s">
        <v>922</v>
      </c>
      <c r="B951" s="1" t="s">
        <v>923</v>
      </c>
      <c r="C951" s="2" t="s">
        <v>139</v>
      </c>
      <c r="D951" s="1" t="s">
        <v>140</v>
      </c>
      <c r="E951" s="2" t="s">
        <v>924</v>
      </c>
    </row>
    <row r="952">
      <c r="A952" s="2" t="s">
        <v>897</v>
      </c>
      <c r="B952" s="1" t="s">
        <v>898</v>
      </c>
      <c r="C952" s="2" t="s">
        <v>41</v>
      </c>
      <c r="D952" s="1" t="s">
        <v>42</v>
      </c>
    </row>
    <row r="953">
      <c r="A953" s="2" t="s">
        <v>892</v>
      </c>
      <c r="B953" s="1" t="s">
        <v>893</v>
      </c>
      <c r="C953" s="2" t="s">
        <v>353</v>
      </c>
      <c r="D953" s="1" t="s">
        <v>354</v>
      </c>
      <c r="E953" s="2" t="s">
        <v>894</v>
      </c>
    </row>
    <row r="954">
      <c r="A954" s="2" t="s">
        <v>897</v>
      </c>
      <c r="B954" s="1" t="s">
        <v>898</v>
      </c>
      <c r="C954" s="2" t="s">
        <v>79</v>
      </c>
      <c r="D954" s="1" t="s">
        <v>80</v>
      </c>
    </row>
    <row r="955">
      <c r="A955" s="2" t="s">
        <v>897</v>
      </c>
      <c r="B955" s="1" t="s">
        <v>898</v>
      </c>
      <c r="C955" s="2" t="s">
        <v>120</v>
      </c>
      <c r="D955" s="1" t="s">
        <v>121</v>
      </c>
    </row>
    <row r="956">
      <c r="A956" s="2" t="s">
        <v>930</v>
      </c>
      <c r="B956" s="1" t="s">
        <v>931</v>
      </c>
      <c r="C956" s="2" t="s">
        <v>114</v>
      </c>
      <c r="D956" s="1" t="s">
        <v>115</v>
      </c>
    </row>
    <row r="957">
      <c r="A957" s="2" t="s">
        <v>947</v>
      </c>
      <c r="B957" s="1" t="s">
        <v>948</v>
      </c>
      <c r="C957" s="2" t="s">
        <v>124</v>
      </c>
      <c r="D957" s="1" t="s">
        <v>125</v>
      </c>
      <c r="E957" s="2" t="s">
        <v>949</v>
      </c>
    </row>
    <row r="958">
      <c r="A958" s="2" t="s">
        <v>934</v>
      </c>
      <c r="B958" s="1" t="s">
        <v>935</v>
      </c>
      <c r="C958" s="2" t="s">
        <v>12</v>
      </c>
      <c r="D958" s="1" t="s">
        <v>13</v>
      </c>
    </row>
    <row r="959">
      <c r="A959" s="2" t="s">
        <v>934</v>
      </c>
      <c r="B959" s="1" t="s">
        <v>935</v>
      </c>
      <c r="C959" s="2" t="s">
        <v>84</v>
      </c>
      <c r="D959" s="1" t="s">
        <v>85</v>
      </c>
    </row>
    <row r="960">
      <c r="A960" s="2" t="s">
        <v>934</v>
      </c>
      <c r="B960" s="1" t="s">
        <v>935</v>
      </c>
      <c r="C960" s="2" t="s">
        <v>43</v>
      </c>
      <c r="D960" s="1" t="s">
        <v>44</v>
      </c>
    </row>
    <row r="961">
      <c r="A961" s="2" t="s">
        <v>934</v>
      </c>
      <c r="B961" s="1" t="s">
        <v>935</v>
      </c>
      <c r="C961" s="2" t="s">
        <v>49</v>
      </c>
      <c r="D961" s="1" t="s">
        <v>50</v>
      </c>
    </row>
    <row r="962">
      <c r="A962" s="2" t="s">
        <v>895</v>
      </c>
      <c r="B962" s="1" t="s">
        <v>896</v>
      </c>
      <c r="C962" s="2" t="s">
        <v>41</v>
      </c>
      <c r="D962" s="1" t="s">
        <v>42</v>
      </c>
    </row>
    <row r="963">
      <c r="A963" s="2" t="s">
        <v>895</v>
      </c>
      <c r="B963" s="1" t="s">
        <v>896</v>
      </c>
      <c r="C963" s="2" t="s">
        <v>960</v>
      </c>
      <c r="D963" s="1" t="s">
        <v>961</v>
      </c>
    </row>
    <row r="964">
      <c r="A964" s="2" t="s">
        <v>895</v>
      </c>
      <c r="B964" s="1" t="s">
        <v>896</v>
      </c>
      <c r="C964" s="2" t="s">
        <v>43</v>
      </c>
      <c r="D964" s="1" t="s">
        <v>44</v>
      </c>
    </row>
    <row r="965">
      <c r="A965" s="2" t="s">
        <v>954</v>
      </c>
      <c r="B965" s="1" t="s">
        <v>955</v>
      </c>
      <c r="C965" s="2" t="s">
        <v>962</v>
      </c>
      <c r="D965" s="1" t="s">
        <v>963</v>
      </c>
      <c r="E965" s="2" t="s">
        <v>956</v>
      </c>
    </row>
    <row r="966">
      <c r="A966" s="2" t="s">
        <v>957</v>
      </c>
      <c r="B966" s="1" t="s">
        <v>958</v>
      </c>
      <c r="C966" s="2" t="s">
        <v>964</v>
      </c>
      <c r="D966" s="1" t="s">
        <v>965</v>
      </c>
      <c r="E966" s="2" t="s">
        <v>959</v>
      </c>
    </row>
    <row r="967">
      <c r="A967" s="2" t="s">
        <v>945</v>
      </c>
      <c r="B967" s="1" t="s">
        <v>946</v>
      </c>
      <c r="C967" s="2" t="s">
        <v>25</v>
      </c>
      <c r="D967" s="1" t="s">
        <v>26</v>
      </c>
    </row>
    <row r="968">
      <c r="A968" s="2" t="s">
        <v>915</v>
      </c>
      <c r="B968" s="1" t="s">
        <v>916</v>
      </c>
      <c r="C968" s="2" t="s">
        <v>77</v>
      </c>
      <c r="D968" s="1" t="s">
        <v>78</v>
      </c>
    </row>
    <row r="969">
      <c r="A969" s="2" t="s">
        <v>936</v>
      </c>
      <c r="B969" s="1" t="s">
        <v>937</v>
      </c>
      <c r="C969" s="2" t="s">
        <v>118</v>
      </c>
      <c r="D969" s="1" t="s">
        <v>119</v>
      </c>
    </row>
    <row r="970">
      <c r="A970" s="2" t="s">
        <v>945</v>
      </c>
      <c r="B970" s="1" t="s">
        <v>946</v>
      </c>
      <c r="C970" s="2" t="s">
        <v>370</v>
      </c>
      <c r="D970" s="1" t="s">
        <v>371</v>
      </c>
    </row>
    <row r="971">
      <c r="A971" s="2" t="s">
        <v>915</v>
      </c>
      <c r="B971" s="1" t="s">
        <v>916</v>
      </c>
      <c r="C971" s="2" t="s">
        <v>43</v>
      </c>
      <c r="D971" s="1" t="s">
        <v>44</v>
      </c>
    </row>
    <row r="972">
      <c r="A972" s="2" t="s">
        <v>897</v>
      </c>
      <c r="B972" s="1" t="s">
        <v>898</v>
      </c>
      <c r="C972" s="2" t="s">
        <v>69</v>
      </c>
      <c r="D972" s="1" t="s">
        <v>70</v>
      </c>
    </row>
    <row r="973">
      <c r="A973" s="2" t="s">
        <v>945</v>
      </c>
      <c r="B973" s="1" t="s">
        <v>946</v>
      </c>
      <c r="C973" s="2" t="s">
        <v>118</v>
      </c>
      <c r="D973" s="1" t="s">
        <v>119</v>
      </c>
    </row>
    <row r="974">
      <c r="A974" s="2" t="s">
        <v>915</v>
      </c>
      <c r="B974" s="1" t="s">
        <v>916</v>
      </c>
      <c r="C974" s="2" t="s">
        <v>79</v>
      </c>
      <c r="D974" s="1" t="s">
        <v>80</v>
      </c>
    </row>
    <row r="975">
      <c r="A975" s="2" t="s">
        <v>957</v>
      </c>
      <c r="B975" s="1" t="s">
        <v>958</v>
      </c>
      <c r="C975" s="2" t="s">
        <v>173</v>
      </c>
      <c r="D975" s="1" t="s">
        <v>174</v>
      </c>
      <c r="E975" s="2" t="s">
        <v>959</v>
      </c>
    </row>
    <row r="976">
      <c r="A976" s="2" t="s">
        <v>934</v>
      </c>
      <c r="B976" s="1" t="s">
        <v>935</v>
      </c>
      <c r="C976" s="2" t="s">
        <v>92</v>
      </c>
      <c r="D976" s="1" t="s">
        <v>93</v>
      </c>
    </row>
    <row r="977">
      <c r="A977" s="2" t="s">
        <v>950</v>
      </c>
      <c r="B977" s="1" t="s">
        <v>951</v>
      </c>
      <c r="C977" s="2" t="s">
        <v>22</v>
      </c>
      <c r="D977" s="1" t="s">
        <v>23</v>
      </c>
    </row>
    <row r="978">
      <c r="A978" s="2" t="s">
        <v>925</v>
      </c>
      <c r="B978" s="1" t="s">
        <v>926</v>
      </c>
      <c r="C978" s="2" t="s">
        <v>12</v>
      </c>
      <c r="D978" s="1" t="s">
        <v>13</v>
      </c>
      <c r="E978" s="2" t="s">
        <v>927</v>
      </c>
    </row>
    <row r="979">
      <c r="A979" s="2" t="s">
        <v>895</v>
      </c>
      <c r="B979" s="1" t="s">
        <v>896</v>
      </c>
      <c r="C979" s="2" t="s">
        <v>92</v>
      </c>
      <c r="D979" s="1" t="s">
        <v>93</v>
      </c>
    </row>
    <row r="980">
      <c r="A980" s="2" t="s">
        <v>934</v>
      </c>
      <c r="B980" s="1" t="s">
        <v>935</v>
      </c>
      <c r="C980" s="2" t="s">
        <v>69</v>
      </c>
      <c r="D980" s="1" t="s">
        <v>70</v>
      </c>
    </row>
    <row r="981">
      <c r="A981" s="2" t="s">
        <v>915</v>
      </c>
      <c r="B981" s="1" t="s">
        <v>916</v>
      </c>
      <c r="C981" s="2" t="s">
        <v>90</v>
      </c>
      <c r="D981" s="1" t="s">
        <v>91</v>
      </c>
    </row>
    <row r="982">
      <c r="A982" s="2" t="s">
        <v>897</v>
      </c>
      <c r="B982" s="1" t="s">
        <v>898</v>
      </c>
      <c r="C982" s="2" t="s">
        <v>966</v>
      </c>
      <c r="D982" s="1" t="s">
        <v>967</v>
      </c>
    </row>
    <row r="983">
      <c r="A983" s="2" t="s">
        <v>922</v>
      </c>
      <c r="B983" s="1" t="s">
        <v>923</v>
      </c>
      <c r="C983" s="2" t="s">
        <v>341</v>
      </c>
      <c r="D983" s="1" t="s">
        <v>342</v>
      </c>
      <c r="E983" s="2" t="s">
        <v>924</v>
      </c>
    </row>
    <row r="984">
      <c r="A984" s="2" t="s">
        <v>968</v>
      </c>
      <c r="B984" s="1" t="s">
        <v>969</v>
      </c>
      <c r="C984" s="2" t="s">
        <v>970</v>
      </c>
      <c r="D984" s="1" t="s">
        <v>971</v>
      </c>
      <c r="E984" s="2" t="s">
        <v>972</v>
      </c>
    </row>
    <row r="985">
      <c r="A985" s="2" t="s">
        <v>973</v>
      </c>
      <c r="B985" s="1" t="s">
        <v>974</v>
      </c>
      <c r="C985" s="2" t="s">
        <v>41</v>
      </c>
      <c r="D985" s="1" t="s">
        <v>42</v>
      </c>
      <c r="E985" s="2" t="s">
        <v>975</v>
      </c>
    </row>
    <row r="986">
      <c r="A986" s="2" t="s">
        <v>976</v>
      </c>
      <c r="B986" s="1" t="s">
        <v>977</v>
      </c>
      <c r="C986" s="2" t="s">
        <v>22</v>
      </c>
      <c r="D986" s="1" t="s">
        <v>23</v>
      </c>
    </row>
    <row r="987">
      <c r="A987" s="2" t="s">
        <v>978</v>
      </c>
      <c r="B987" s="1" t="s">
        <v>979</v>
      </c>
      <c r="C987" s="2" t="s">
        <v>12</v>
      </c>
      <c r="D987" s="1" t="s">
        <v>13</v>
      </c>
    </row>
    <row r="988">
      <c r="A988" s="2" t="s">
        <v>973</v>
      </c>
      <c r="B988" s="1" t="s">
        <v>974</v>
      </c>
      <c r="C988" s="2" t="s">
        <v>12</v>
      </c>
      <c r="D988" s="1" t="s">
        <v>13</v>
      </c>
      <c r="E988" s="2" t="s">
        <v>975</v>
      </c>
    </row>
    <row r="989">
      <c r="A989" s="2" t="s">
        <v>980</v>
      </c>
      <c r="B989" s="1" t="s">
        <v>981</v>
      </c>
      <c r="C989" s="2" t="s">
        <v>49</v>
      </c>
      <c r="D989" s="1" t="s">
        <v>50</v>
      </c>
      <c r="E989" s="2" t="s">
        <v>982</v>
      </c>
    </row>
    <row r="990">
      <c r="A990" s="2" t="s">
        <v>983</v>
      </c>
      <c r="B990" s="1" t="s">
        <v>984</v>
      </c>
      <c r="C990" s="2" t="s">
        <v>77</v>
      </c>
      <c r="D990" s="1" t="s">
        <v>78</v>
      </c>
    </row>
    <row r="991">
      <c r="A991" s="2" t="s">
        <v>985</v>
      </c>
      <c r="B991" s="1" t="s">
        <v>986</v>
      </c>
      <c r="C991" s="2" t="s">
        <v>116</v>
      </c>
      <c r="D991" s="1" t="s">
        <v>117</v>
      </c>
    </row>
    <row r="992">
      <c r="A992" s="2" t="s">
        <v>973</v>
      </c>
      <c r="B992" s="1" t="s">
        <v>974</v>
      </c>
      <c r="C992" s="2" t="s">
        <v>77</v>
      </c>
      <c r="D992" s="1" t="s">
        <v>78</v>
      </c>
      <c r="E992" s="2" t="s">
        <v>975</v>
      </c>
    </row>
    <row r="993">
      <c r="A993" s="2" t="s">
        <v>987</v>
      </c>
      <c r="B993" s="1" t="s">
        <v>988</v>
      </c>
      <c r="C993" s="2" t="s">
        <v>22</v>
      </c>
      <c r="D993" s="1" t="s">
        <v>23</v>
      </c>
    </row>
    <row r="994">
      <c r="A994" s="2" t="s">
        <v>987</v>
      </c>
      <c r="B994" s="1" t="s">
        <v>988</v>
      </c>
      <c r="C994" s="2" t="s">
        <v>151</v>
      </c>
      <c r="D994" s="1" t="s">
        <v>152</v>
      </c>
    </row>
    <row r="995">
      <c r="A995" s="2" t="s">
        <v>987</v>
      </c>
      <c r="B995" s="1" t="s">
        <v>988</v>
      </c>
      <c r="C995" s="2" t="s">
        <v>25</v>
      </c>
      <c r="D995" s="1" t="s">
        <v>26</v>
      </c>
    </row>
    <row r="996">
      <c r="A996" s="2" t="s">
        <v>985</v>
      </c>
      <c r="B996" s="1" t="s">
        <v>986</v>
      </c>
      <c r="C996" s="2" t="s">
        <v>79</v>
      </c>
      <c r="D996" s="1" t="s">
        <v>80</v>
      </c>
    </row>
    <row r="997">
      <c r="A997" s="2" t="s">
        <v>989</v>
      </c>
      <c r="B997" s="1" t="s">
        <v>990</v>
      </c>
      <c r="C997" s="2" t="s">
        <v>319</v>
      </c>
      <c r="D997" s="1" t="s">
        <v>320</v>
      </c>
      <c r="E997" s="2" t="s">
        <v>991</v>
      </c>
    </row>
    <row r="998">
      <c r="A998" s="2" t="s">
        <v>973</v>
      </c>
      <c r="B998" s="1" t="s">
        <v>974</v>
      </c>
      <c r="C998" s="2" t="s">
        <v>49</v>
      </c>
      <c r="D998" s="1" t="s">
        <v>50</v>
      </c>
      <c r="E998" s="2" t="s">
        <v>975</v>
      </c>
    </row>
    <row r="999">
      <c r="A999" s="2" t="s">
        <v>992</v>
      </c>
      <c r="B999" s="1" t="s">
        <v>993</v>
      </c>
      <c r="C999" s="2" t="s">
        <v>12</v>
      </c>
      <c r="D999" s="1" t="s">
        <v>13</v>
      </c>
      <c r="E999" s="2" t="s">
        <v>994</v>
      </c>
    </row>
    <row r="1000">
      <c r="A1000" s="2" t="s">
        <v>995</v>
      </c>
      <c r="B1000" s="1" t="s">
        <v>996</v>
      </c>
      <c r="C1000" s="2" t="s">
        <v>997</v>
      </c>
      <c r="D1000" s="1" t="s">
        <v>998</v>
      </c>
    </row>
    <row r="1001">
      <c r="A1001" s="2" t="s">
        <v>968</v>
      </c>
      <c r="B1001" s="1" t="s">
        <v>969</v>
      </c>
      <c r="C1001" s="2" t="s">
        <v>22</v>
      </c>
      <c r="D1001" s="1" t="s">
        <v>23</v>
      </c>
      <c r="E1001" s="2" t="s">
        <v>972</v>
      </c>
    </row>
    <row r="1002">
      <c r="A1002" s="2" t="s">
        <v>999</v>
      </c>
      <c r="B1002" s="1" t="s">
        <v>1000</v>
      </c>
      <c r="C1002" s="2" t="s">
        <v>173</v>
      </c>
      <c r="D1002" s="1" t="s">
        <v>174</v>
      </c>
      <c r="E1002" s="2" t="s">
        <v>1001</v>
      </c>
    </row>
    <row r="1003">
      <c r="A1003" s="2" t="s">
        <v>999</v>
      </c>
      <c r="B1003" s="1" t="s">
        <v>1000</v>
      </c>
      <c r="C1003" s="2" t="s">
        <v>22</v>
      </c>
      <c r="D1003" s="1" t="s">
        <v>23</v>
      </c>
      <c r="E1003" s="2" t="s">
        <v>1001</v>
      </c>
    </row>
    <row r="1004">
      <c r="A1004" s="2" t="s">
        <v>999</v>
      </c>
      <c r="B1004" s="1" t="s">
        <v>1000</v>
      </c>
      <c r="C1004" s="2" t="s">
        <v>25</v>
      </c>
      <c r="D1004" s="1" t="s">
        <v>26</v>
      </c>
      <c r="E1004" s="2" t="s">
        <v>1001</v>
      </c>
    </row>
    <row r="1005">
      <c r="A1005" s="2" t="s">
        <v>983</v>
      </c>
      <c r="B1005" s="1" t="s">
        <v>984</v>
      </c>
      <c r="C1005" s="2" t="s">
        <v>60</v>
      </c>
      <c r="D1005" s="1" t="s">
        <v>61</v>
      </c>
    </row>
    <row r="1006">
      <c r="A1006" s="2" t="s">
        <v>973</v>
      </c>
      <c r="B1006" s="1" t="s">
        <v>974</v>
      </c>
      <c r="C1006" s="2" t="s">
        <v>421</v>
      </c>
      <c r="D1006" s="1" t="s">
        <v>422</v>
      </c>
      <c r="E1006" s="2" t="s">
        <v>975</v>
      </c>
    </row>
    <row r="1007">
      <c r="A1007" s="2" t="s">
        <v>985</v>
      </c>
      <c r="B1007" s="1" t="s">
        <v>986</v>
      </c>
      <c r="C1007" s="2" t="s">
        <v>300</v>
      </c>
      <c r="D1007" s="1" t="s">
        <v>301</v>
      </c>
    </row>
    <row r="1008">
      <c r="A1008" s="2" t="s">
        <v>992</v>
      </c>
      <c r="B1008" s="1" t="s">
        <v>993</v>
      </c>
      <c r="C1008" s="2" t="s">
        <v>315</v>
      </c>
      <c r="D1008" s="1" t="s">
        <v>316</v>
      </c>
      <c r="E1008" s="2" t="s">
        <v>994</v>
      </c>
    </row>
    <row r="1009">
      <c r="A1009" s="2" t="s">
        <v>1002</v>
      </c>
      <c r="B1009" s="1" t="s">
        <v>1003</v>
      </c>
      <c r="C1009" s="2" t="s">
        <v>12</v>
      </c>
      <c r="D1009" s="1" t="s">
        <v>13</v>
      </c>
    </row>
    <row r="1010">
      <c r="A1010" s="2" t="s">
        <v>1002</v>
      </c>
      <c r="B1010" s="1" t="s">
        <v>1003</v>
      </c>
      <c r="C1010" s="2" t="s">
        <v>1004</v>
      </c>
      <c r="D1010" s="1" t="s">
        <v>1005</v>
      </c>
    </row>
    <row r="1011">
      <c r="A1011" s="2" t="s">
        <v>1006</v>
      </c>
      <c r="B1011" s="1" t="s">
        <v>1007</v>
      </c>
      <c r="C1011" s="2" t="s">
        <v>84</v>
      </c>
      <c r="D1011" s="1" t="s">
        <v>85</v>
      </c>
    </row>
    <row r="1012">
      <c r="A1012" s="2" t="s">
        <v>973</v>
      </c>
      <c r="B1012" s="1" t="s">
        <v>974</v>
      </c>
      <c r="C1012" s="2" t="s">
        <v>69</v>
      </c>
      <c r="D1012" s="1" t="s">
        <v>70</v>
      </c>
      <c r="E1012" s="2" t="s">
        <v>975</v>
      </c>
    </row>
    <row r="1013">
      <c r="A1013" s="2" t="s">
        <v>1006</v>
      </c>
      <c r="B1013" s="1" t="s">
        <v>1007</v>
      </c>
      <c r="C1013" s="2" t="s">
        <v>133</v>
      </c>
      <c r="D1013" s="1" t="s">
        <v>134</v>
      </c>
    </row>
    <row r="1014">
      <c r="A1014" s="2" t="s">
        <v>1006</v>
      </c>
      <c r="B1014" s="1" t="s">
        <v>1007</v>
      </c>
      <c r="C1014" s="2" t="s">
        <v>43</v>
      </c>
      <c r="D1014" s="1" t="s">
        <v>44</v>
      </c>
    </row>
    <row r="1015">
      <c r="A1015" s="2" t="s">
        <v>1008</v>
      </c>
      <c r="B1015" s="1" t="s">
        <v>1009</v>
      </c>
      <c r="C1015" s="2" t="s">
        <v>103</v>
      </c>
      <c r="D1015" s="1" t="s">
        <v>104</v>
      </c>
      <c r="E1015" s="2" t="s">
        <v>1010</v>
      </c>
    </row>
    <row r="1016">
      <c r="A1016" s="2" t="s">
        <v>1002</v>
      </c>
      <c r="B1016" s="1" t="s">
        <v>1003</v>
      </c>
      <c r="C1016" s="2" t="s">
        <v>49</v>
      </c>
      <c r="D1016" s="1" t="s">
        <v>50</v>
      </c>
    </row>
    <row r="1017">
      <c r="A1017" s="2" t="s">
        <v>980</v>
      </c>
      <c r="B1017" s="1" t="s">
        <v>981</v>
      </c>
      <c r="C1017" s="2" t="s">
        <v>43</v>
      </c>
      <c r="D1017" s="1" t="s">
        <v>44</v>
      </c>
      <c r="E1017" s="2" t="s">
        <v>982</v>
      </c>
    </row>
    <row r="1018">
      <c r="A1018" s="2" t="s">
        <v>980</v>
      </c>
      <c r="B1018" s="1" t="s">
        <v>981</v>
      </c>
      <c r="C1018" s="2" t="s">
        <v>22</v>
      </c>
      <c r="D1018" s="1" t="s">
        <v>23</v>
      </c>
      <c r="E1018" s="2" t="s">
        <v>982</v>
      </c>
    </row>
    <row r="1019">
      <c r="A1019" s="2" t="s">
        <v>973</v>
      </c>
      <c r="B1019" s="1" t="s">
        <v>974</v>
      </c>
      <c r="C1019" s="2" t="s">
        <v>43</v>
      </c>
      <c r="D1019" s="1" t="s">
        <v>44</v>
      </c>
      <c r="E1019" s="2" t="s">
        <v>975</v>
      </c>
    </row>
    <row r="1020">
      <c r="A1020" s="2" t="s">
        <v>1002</v>
      </c>
      <c r="B1020" s="1" t="s">
        <v>1003</v>
      </c>
      <c r="C1020" s="2" t="s">
        <v>757</v>
      </c>
      <c r="D1020" s="1" t="s">
        <v>758</v>
      </c>
    </row>
    <row r="1021">
      <c r="A1021" s="2" t="s">
        <v>992</v>
      </c>
      <c r="B1021" s="1" t="s">
        <v>993</v>
      </c>
      <c r="C1021" s="2" t="s">
        <v>407</v>
      </c>
      <c r="D1021" s="1" t="s">
        <v>408</v>
      </c>
      <c r="E1021" s="2" t="s">
        <v>994</v>
      </c>
    </row>
    <row r="1022">
      <c r="A1022" s="2" t="s">
        <v>992</v>
      </c>
      <c r="B1022" s="1" t="s">
        <v>993</v>
      </c>
      <c r="C1022" s="2" t="s">
        <v>25</v>
      </c>
      <c r="D1022" s="1" t="s">
        <v>26</v>
      </c>
      <c r="E1022" s="2" t="s">
        <v>994</v>
      </c>
    </row>
    <row r="1023">
      <c r="A1023" s="2" t="s">
        <v>992</v>
      </c>
      <c r="B1023" s="1" t="s">
        <v>993</v>
      </c>
      <c r="C1023" s="2" t="s">
        <v>75</v>
      </c>
      <c r="D1023" s="1" t="s">
        <v>76</v>
      </c>
      <c r="E1023" s="2" t="s">
        <v>994</v>
      </c>
    </row>
    <row r="1024">
      <c r="A1024" s="2" t="s">
        <v>1011</v>
      </c>
      <c r="B1024" s="1" t="s">
        <v>1012</v>
      </c>
      <c r="C1024" s="2" t="s">
        <v>35</v>
      </c>
      <c r="D1024" s="1" t="s">
        <v>36</v>
      </c>
    </row>
    <row r="1025">
      <c r="A1025" s="2" t="s">
        <v>1011</v>
      </c>
      <c r="B1025" s="1" t="s">
        <v>1012</v>
      </c>
      <c r="C1025" s="2" t="s">
        <v>56</v>
      </c>
      <c r="D1025" s="1" t="s">
        <v>57</v>
      </c>
    </row>
    <row r="1026">
      <c r="A1026" s="2" t="s">
        <v>1011</v>
      </c>
      <c r="B1026" s="1" t="s">
        <v>1012</v>
      </c>
      <c r="C1026" s="2" t="s">
        <v>133</v>
      </c>
      <c r="D1026" s="1" t="s">
        <v>134</v>
      </c>
    </row>
    <row r="1027">
      <c r="A1027" s="2" t="s">
        <v>995</v>
      </c>
      <c r="B1027" s="1" t="s">
        <v>996</v>
      </c>
      <c r="C1027" s="2" t="s">
        <v>1013</v>
      </c>
      <c r="D1027" s="1" t="s">
        <v>1014</v>
      </c>
    </row>
    <row r="1028">
      <c r="A1028" s="2" t="s">
        <v>1011</v>
      </c>
      <c r="B1028" s="1" t="s">
        <v>1012</v>
      </c>
      <c r="C1028" s="2" t="s">
        <v>43</v>
      </c>
      <c r="D1028" s="1" t="s">
        <v>44</v>
      </c>
    </row>
    <row r="1029">
      <c r="A1029" s="2" t="s">
        <v>1015</v>
      </c>
      <c r="B1029" s="1" t="s">
        <v>1016</v>
      </c>
      <c r="C1029" s="2" t="s">
        <v>1017</v>
      </c>
      <c r="D1029" s="1" t="s">
        <v>1018</v>
      </c>
      <c r="E1029" s="2" t="s">
        <v>1019</v>
      </c>
    </row>
    <row r="1030">
      <c r="A1030" s="2" t="s">
        <v>1020</v>
      </c>
      <c r="B1030" s="1" t="s">
        <v>1021</v>
      </c>
      <c r="C1030" s="2" t="s">
        <v>56</v>
      </c>
      <c r="D1030" s="1" t="s">
        <v>57</v>
      </c>
    </row>
    <row r="1031">
      <c r="A1031" s="2" t="s">
        <v>1020</v>
      </c>
      <c r="B1031" s="1" t="s">
        <v>1021</v>
      </c>
      <c r="C1031" s="2" t="s">
        <v>133</v>
      </c>
      <c r="D1031" s="1" t="s">
        <v>134</v>
      </c>
    </row>
    <row r="1032">
      <c r="A1032" s="2" t="s">
        <v>1020</v>
      </c>
      <c r="B1032" s="1" t="s">
        <v>1021</v>
      </c>
      <c r="C1032" s="2" t="s">
        <v>43</v>
      </c>
      <c r="D1032" s="1" t="s">
        <v>44</v>
      </c>
    </row>
    <row r="1033">
      <c r="A1033" s="2" t="s">
        <v>1020</v>
      </c>
      <c r="B1033" s="1" t="s">
        <v>1021</v>
      </c>
      <c r="C1033" s="2" t="s">
        <v>871</v>
      </c>
      <c r="D1033" s="1" t="s">
        <v>642</v>
      </c>
    </row>
    <row r="1034">
      <c r="A1034" s="2" t="s">
        <v>989</v>
      </c>
      <c r="B1034" s="1" t="s">
        <v>990</v>
      </c>
      <c r="C1034" s="2" t="s">
        <v>77</v>
      </c>
      <c r="D1034" s="1" t="s">
        <v>78</v>
      </c>
      <c r="E1034" s="2" t="s">
        <v>991</v>
      </c>
    </row>
    <row r="1035">
      <c r="A1035" s="2" t="s">
        <v>1008</v>
      </c>
      <c r="B1035" s="1" t="s">
        <v>1009</v>
      </c>
      <c r="C1035" s="2" t="s">
        <v>43</v>
      </c>
      <c r="D1035" s="1" t="s">
        <v>44</v>
      </c>
      <c r="E1035" s="2" t="s">
        <v>1010</v>
      </c>
    </row>
    <row r="1036">
      <c r="A1036" s="2" t="s">
        <v>1022</v>
      </c>
      <c r="B1036" s="1" t="s">
        <v>1023</v>
      </c>
      <c r="C1036" s="2" t="s">
        <v>41</v>
      </c>
      <c r="D1036" s="1" t="s">
        <v>42</v>
      </c>
    </row>
    <row r="1037">
      <c r="A1037" s="2" t="s">
        <v>1022</v>
      </c>
      <c r="B1037" s="1" t="s">
        <v>1023</v>
      </c>
      <c r="C1037" s="2" t="s">
        <v>43</v>
      </c>
      <c r="D1037" s="1" t="s">
        <v>44</v>
      </c>
    </row>
    <row r="1038">
      <c r="A1038" s="2" t="s">
        <v>1011</v>
      </c>
      <c r="B1038" s="1" t="s">
        <v>1012</v>
      </c>
      <c r="C1038" s="2" t="s">
        <v>225</v>
      </c>
      <c r="D1038" s="1" t="s">
        <v>226</v>
      </c>
    </row>
    <row r="1039">
      <c r="A1039" s="2" t="s">
        <v>1024</v>
      </c>
      <c r="B1039" s="1" t="s">
        <v>1025</v>
      </c>
      <c r="C1039" s="2" t="s">
        <v>133</v>
      </c>
      <c r="D1039" s="1" t="s">
        <v>134</v>
      </c>
      <c r="E1039" s="2" t="s">
        <v>1026</v>
      </c>
    </row>
    <row r="1040">
      <c r="A1040" s="2" t="s">
        <v>1022</v>
      </c>
      <c r="B1040" s="1" t="s">
        <v>1023</v>
      </c>
      <c r="C1040" s="2" t="s">
        <v>49</v>
      </c>
      <c r="D1040" s="1" t="s">
        <v>50</v>
      </c>
    </row>
    <row r="1041">
      <c r="A1041" s="2" t="s">
        <v>1024</v>
      </c>
      <c r="B1041" s="1" t="s">
        <v>1025</v>
      </c>
      <c r="C1041" s="2" t="s">
        <v>1027</v>
      </c>
      <c r="D1041" s="1" t="s">
        <v>1028</v>
      </c>
      <c r="E1041" s="2" t="s">
        <v>1026</v>
      </c>
    </row>
    <row r="1042">
      <c r="A1042" s="2" t="s">
        <v>1029</v>
      </c>
      <c r="B1042" s="1" t="s">
        <v>1030</v>
      </c>
      <c r="C1042" s="2" t="s">
        <v>1031</v>
      </c>
      <c r="D1042" s="1" t="s">
        <v>1032</v>
      </c>
    </row>
    <row r="1043">
      <c r="A1043" s="2" t="s">
        <v>995</v>
      </c>
      <c r="B1043" s="1" t="s">
        <v>996</v>
      </c>
      <c r="C1043" s="2" t="s">
        <v>22</v>
      </c>
      <c r="D1043" s="1" t="s">
        <v>23</v>
      </c>
    </row>
    <row r="1044">
      <c r="A1044" s="2" t="s">
        <v>1015</v>
      </c>
      <c r="B1044" s="1" t="s">
        <v>1016</v>
      </c>
      <c r="C1044" s="2" t="s">
        <v>193</v>
      </c>
      <c r="D1044" s="1" t="s">
        <v>194</v>
      </c>
      <c r="E1044" s="2" t="s">
        <v>1019</v>
      </c>
    </row>
    <row r="1045">
      <c r="A1045" s="2" t="s">
        <v>1033</v>
      </c>
      <c r="B1045" s="1" t="s">
        <v>1034</v>
      </c>
      <c r="C1045" s="2" t="s">
        <v>77</v>
      </c>
      <c r="D1045" s="1" t="s">
        <v>78</v>
      </c>
      <c r="E1045" s="2" t="s">
        <v>1035</v>
      </c>
    </row>
    <row r="1046">
      <c r="A1046" s="2" t="s">
        <v>976</v>
      </c>
      <c r="B1046" s="1" t="s">
        <v>977</v>
      </c>
      <c r="C1046" s="2" t="s">
        <v>41</v>
      </c>
      <c r="D1046" s="1" t="s">
        <v>42</v>
      </c>
    </row>
    <row r="1047">
      <c r="A1047" s="2" t="s">
        <v>976</v>
      </c>
      <c r="B1047" s="1" t="s">
        <v>977</v>
      </c>
      <c r="C1047" s="2" t="s">
        <v>43</v>
      </c>
      <c r="D1047" s="1" t="s">
        <v>44</v>
      </c>
    </row>
    <row r="1048">
      <c r="A1048" s="2" t="s">
        <v>1033</v>
      </c>
      <c r="B1048" s="1" t="s">
        <v>1034</v>
      </c>
      <c r="C1048" s="2" t="s">
        <v>49</v>
      </c>
      <c r="D1048" s="1" t="s">
        <v>50</v>
      </c>
      <c r="E1048" s="2" t="s">
        <v>1035</v>
      </c>
    </row>
    <row r="1049">
      <c r="A1049" s="2" t="s">
        <v>976</v>
      </c>
      <c r="B1049" s="1" t="s">
        <v>977</v>
      </c>
      <c r="C1049" s="2" t="s">
        <v>49</v>
      </c>
      <c r="D1049" s="1" t="s">
        <v>50</v>
      </c>
    </row>
    <row r="1050">
      <c r="A1050" s="2" t="s">
        <v>1020</v>
      </c>
      <c r="B1050" s="1" t="s">
        <v>1021</v>
      </c>
      <c r="C1050" s="2" t="s">
        <v>17</v>
      </c>
      <c r="D1050" s="1" t="s">
        <v>18</v>
      </c>
    </row>
    <row r="1051">
      <c r="A1051" s="2" t="s">
        <v>1036</v>
      </c>
      <c r="B1051" s="1" t="s">
        <v>1037</v>
      </c>
      <c r="C1051" s="2" t="s">
        <v>128</v>
      </c>
      <c r="D1051" s="1" t="s">
        <v>129</v>
      </c>
      <c r="E1051" s="2" t="s">
        <v>1038</v>
      </c>
    </row>
    <row r="1052">
      <c r="A1052" s="2" t="s">
        <v>1036</v>
      </c>
      <c r="B1052" s="1" t="s">
        <v>1037</v>
      </c>
      <c r="C1052" s="2" t="s">
        <v>225</v>
      </c>
      <c r="D1052" s="1" t="s">
        <v>226</v>
      </c>
      <c r="E1052" s="2" t="s">
        <v>1038</v>
      </c>
    </row>
    <row r="1053">
      <c r="A1053" s="2" t="s">
        <v>1022</v>
      </c>
      <c r="B1053" s="1" t="s">
        <v>1023</v>
      </c>
      <c r="C1053" s="2" t="s">
        <v>69</v>
      </c>
      <c r="D1053" s="1" t="s">
        <v>70</v>
      </c>
    </row>
    <row r="1054">
      <c r="A1054" s="2" t="s">
        <v>987</v>
      </c>
      <c r="B1054" s="1" t="s">
        <v>988</v>
      </c>
      <c r="C1054" s="2" t="s">
        <v>49</v>
      </c>
      <c r="D1054" s="1" t="s">
        <v>50</v>
      </c>
    </row>
    <row r="1055">
      <c r="A1055" s="2" t="s">
        <v>989</v>
      </c>
      <c r="B1055" s="1" t="s">
        <v>990</v>
      </c>
      <c r="C1055" s="2" t="s">
        <v>114</v>
      </c>
      <c r="D1055" s="1" t="s">
        <v>115</v>
      </c>
      <c r="E1055" s="2" t="s">
        <v>991</v>
      </c>
    </row>
    <row r="1056">
      <c r="A1056" s="2" t="s">
        <v>989</v>
      </c>
      <c r="B1056" s="1" t="s">
        <v>990</v>
      </c>
      <c r="C1056" s="2" t="s">
        <v>22</v>
      </c>
      <c r="D1056" s="1" t="s">
        <v>23</v>
      </c>
      <c r="E1056" s="2" t="s">
        <v>991</v>
      </c>
    </row>
    <row r="1057">
      <c r="A1057" s="2" t="s">
        <v>1036</v>
      </c>
      <c r="B1057" s="1" t="s">
        <v>1037</v>
      </c>
      <c r="C1057" s="2" t="s">
        <v>173</v>
      </c>
      <c r="D1057" s="1" t="s">
        <v>174</v>
      </c>
      <c r="E1057" s="2" t="s">
        <v>1038</v>
      </c>
    </row>
    <row r="1058">
      <c r="A1058" s="2" t="s">
        <v>1036</v>
      </c>
      <c r="B1058" s="1" t="s">
        <v>1037</v>
      </c>
      <c r="C1058" s="2" t="s">
        <v>22</v>
      </c>
      <c r="D1058" s="1" t="s">
        <v>23</v>
      </c>
      <c r="E1058" s="2" t="s">
        <v>1038</v>
      </c>
    </row>
    <row r="1059">
      <c r="A1059" s="2" t="s">
        <v>1002</v>
      </c>
      <c r="B1059" s="1" t="s">
        <v>1003</v>
      </c>
      <c r="C1059" s="2" t="s">
        <v>25</v>
      </c>
      <c r="D1059" s="1" t="s">
        <v>26</v>
      </c>
    </row>
    <row r="1060">
      <c r="A1060" s="2" t="s">
        <v>1029</v>
      </c>
      <c r="B1060" s="1" t="s">
        <v>1030</v>
      </c>
      <c r="C1060" s="2" t="s">
        <v>645</v>
      </c>
      <c r="D1060" s="1" t="s">
        <v>646</v>
      </c>
    </row>
    <row r="1061">
      <c r="A1061" s="2" t="s">
        <v>1002</v>
      </c>
      <c r="B1061" s="1" t="s">
        <v>1003</v>
      </c>
      <c r="C1061" s="2" t="s">
        <v>370</v>
      </c>
      <c r="D1061" s="1" t="s">
        <v>371</v>
      </c>
    </row>
    <row r="1062">
      <c r="A1062" s="2" t="s">
        <v>976</v>
      </c>
      <c r="B1062" s="1" t="s">
        <v>977</v>
      </c>
      <c r="C1062" s="2" t="s">
        <v>69</v>
      </c>
      <c r="D1062" s="1" t="s">
        <v>70</v>
      </c>
    </row>
    <row r="1063">
      <c r="A1063" s="2" t="s">
        <v>1029</v>
      </c>
      <c r="B1063" s="1" t="s">
        <v>1030</v>
      </c>
      <c r="C1063" s="2" t="s">
        <v>345</v>
      </c>
      <c r="D1063" s="1" t="s">
        <v>346</v>
      </c>
    </row>
    <row r="1064">
      <c r="A1064" s="2" t="s">
        <v>1024</v>
      </c>
      <c r="B1064" s="1" t="s">
        <v>1025</v>
      </c>
      <c r="C1064" s="2" t="s">
        <v>234</v>
      </c>
      <c r="D1064" s="1" t="s">
        <v>235</v>
      </c>
      <c r="E1064" s="2" t="s">
        <v>1026</v>
      </c>
    </row>
    <row r="1065">
      <c r="A1065" s="2" t="s">
        <v>1039</v>
      </c>
      <c r="B1065" s="1" t="s">
        <v>1040</v>
      </c>
      <c r="C1065" s="2" t="s">
        <v>12</v>
      </c>
      <c r="D1065" s="1" t="s">
        <v>13</v>
      </c>
    </row>
    <row r="1066">
      <c r="A1066" s="2" t="s">
        <v>1024</v>
      </c>
      <c r="B1066" s="1" t="s">
        <v>1025</v>
      </c>
      <c r="C1066" s="2" t="s">
        <v>370</v>
      </c>
      <c r="D1066" s="1" t="s">
        <v>371</v>
      </c>
      <c r="E1066" s="2" t="s">
        <v>1026</v>
      </c>
    </row>
    <row r="1067">
      <c r="A1067" s="2" t="s">
        <v>1033</v>
      </c>
      <c r="B1067" s="1" t="s">
        <v>1034</v>
      </c>
      <c r="C1067" s="2" t="s">
        <v>22</v>
      </c>
      <c r="D1067" s="1" t="s">
        <v>23</v>
      </c>
      <c r="E1067" s="2" t="s">
        <v>1035</v>
      </c>
    </row>
    <row r="1068">
      <c r="A1068" s="2" t="s">
        <v>1041</v>
      </c>
      <c r="B1068" s="1" t="s">
        <v>1042</v>
      </c>
      <c r="C1068" s="2" t="s">
        <v>216</v>
      </c>
      <c r="D1068" s="1" t="s">
        <v>217</v>
      </c>
      <c r="E1068" s="2" t="s">
        <v>1043</v>
      </c>
    </row>
    <row r="1069">
      <c r="A1069" s="2" t="s">
        <v>1015</v>
      </c>
      <c r="B1069" s="1" t="s">
        <v>1016</v>
      </c>
      <c r="C1069" s="2" t="s">
        <v>43</v>
      </c>
      <c r="D1069" s="1" t="s">
        <v>44</v>
      </c>
      <c r="E1069" s="2" t="s">
        <v>1019</v>
      </c>
    </row>
    <row r="1070">
      <c r="A1070" s="2" t="s">
        <v>1036</v>
      </c>
      <c r="B1070" s="1" t="s">
        <v>1037</v>
      </c>
      <c r="C1070" s="2" t="s">
        <v>1044</v>
      </c>
      <c r="D1070" s="1" t="s">
        <v>1045</v>
      </c>
      <c r="E1070" s="2" t="s">
        <v>1038</v>
      </c>
    </row>
    <row r="1071">
      <c r="A1071" s="2" t="s">
        <v>1015</v>
      </c>
      <c r="B1071" s="1" t="s">
        <v>1016</v>
      </c>
      <c r="C1071" s="2" t="s">
        <v>22</v>
      </c>
      <c r="D1071" s="1" t="s">
        <v>23</v>
      </c>
      <c r="E1071" s="2" t="s">
        <v>1019</v>
      </c>
    </row>
    <row r="1072">
      <c r="A1072" s="2" t="s">
        <v>1015</v>
      </c>
      <c r="B1072" s="1" t="s">
        <v>1016</v>
      </c>
      <c r="C1072" s="2" t="s">
        <v>25</v>
      </c>
      <c r="D1072" s="1" t="s">
        <v>26</v>
      </c>
      <c r="E1072" s="2" t="s">
        <v>1019</v>
      </c>
    </row>
    <row r="1073">
      <c r="A1073" s="2" t="s">
        <v>1041</v>
      </c>
      <c r="B1073" s="1" t="s">
        <v>1042</v>
      </c>
      <c r="C1073" s="2" t="s">
        <v>43</v>
      </c>
      <c r="D1073" s="1" t="s">
        <v>44</v>
      </c>
      <c r="E1073" s="2" t="s">
        <v>1043</v>
      </c>
    </row>
    <row r="1074">
      <c r="A1074" s="2" t="s">
        <v>980</v>
      </c>
      <c r="B1074" s="1" t="s">
        <v>981</v>
      </c>
      <c r="C1074" s="2" t="s">
        <v>53</v>
      </c>
      <c r="D1074" s="1" t="s">
        <v>54</v>
      </c>
      <c r="E1074" s="2" t="s">
        <v>982</v>
      </c>
    </row>
    <row r="1075">
      <c r="A1075" s="2" t="s">
        <v>1033</v>
      </c>
      <c r="B1075" s="1" t="s">
        <v>1034</v>
      </c>
      <c r="C1075" s="2" t="s">
        <v>252</v>
      </c>
      <c r="D1075" s="1" t="s">
        <v>253</v>
      </c>
      <c r="E1075" s="2" t="s">
        <v>1035</v>
      </c>
    </row>
    <row r="1076">
      <c r="A1076" s="2" t="s">
        <v>1029</v>
      </c>
      <c r="B1076" s="1" t="s">
        <v>1030</v>
      </c>
      <c r="C1076" s="2" t="s">
        <v>677</v>
      </c>
      <c r="D1076" s="1" t="s">
        <v>678</v>
      </c>
    </row>
    <row r="1077">
      <c r="A1077" s="2" t="s">
        <v>1041</v>
      </c>
      <c r="B1077" s="1" t="s">
        <v>1042</v>
      </c>
      <c r="C1077" s="2" t="s">
        <v>1046</v>
      </c>
      <c r="D1077" s="1" t="s">
        <v>1047</v>
      </c>
      <c r="E1077" s="2" t="s">
        <v>1043</v>
      </c>
    </row>
    <row r="1078">
      <c r="A1078" s="2" t="s">
        <v>989</v>
      </c>
      <c r="B1078" s="1" t="s">
        <v>990</v>
      </c>
      <c r="C1078" s="2" t="s">
        <v>139</v>
      </c>
      <c r="D1078" s="1" t="s">
        <v>140</v>
      </c>
      <c r="E1078" s="2" t="s">
        <v>991</v>
      </c>
    </row>
    <row r="1079">
      <c r="A1079" s="2" t="s">
        <v>1015</v>
      </c>
      <c r="B1079" s="1" t="s">
        <v>1016</v>
      </c>
      <c r="C1079" s="2" t="s">
        <v>120</v>
      </c>
      <c r="D1079" s="1" t="s">
        <v>121</v>
      </c>
      <c r="E1079" s="2" t="s">
        <v>1019</v>
      </c>
    </row>
    <row r="1080">
      <c r="A1080" s="2" t="s">
        <v>1048</v>
      </c>
      <c r="B1080" s="1" t="s">
        <v>1049</v>
      </c>
      <c r="C1080" s="2" t="s">
        <v>47</v>
      </c>
      <c r="D1080" s="1" t="s">
        <v>48</v>
      </c>
      <c r="E1080" s="2" t="s">
        <v>1050</v>
      </c>
    </row>
    <row r="1081">
      <c r="A1081" s="2" t="s">
        <v>1022</v>
      </c>
      <c r="B1081" s="1" t="s">
        <v>1023</v>
      </c>
      <c r="C1081" s="2" t="s">
        <v>370</v>
      </c>
      <c r="D1081" s="1" t="s">
        <v>371</v>
      </c>
    </row>
    <row r="1082">
      <c r="A1082" s="2" t="s">
        <v>1048</v>
      </c>
      <c r="B1082" s="1" t="s">
        <v>1049</v>
      </c>
      <c r="C1082" s="2" t="s">
        <v>35</v>
      </c>
      <c r="D1082" s="1" t="s">
        <v>36</v>
      </c>
      <c r="E1082" s="2" t="s">
        <v>1050</v>
      </c>
    </row>
    <row r="1083">
      <c r="A1083" s="2" t="s">
        <v>1041</v>
      </c>
      <c r="B1083" s="1" t="s">
        <v>1042</v>
      </c>
      <c r="C1083" s="2" t="s">
        <v>120</v>
      </c>
      <c r="D1083" s="1" t="s">
        <v>121</v>
      </c>
      <c r="E1083" s="2" t="s">
        <v>1043</v>
      </c>
    </row>
    <row r="1084">
      <c r="A1084" s="2" t="s">
        <v>1051</v>
      </c>
      <c r="B1084" s="1" t="s">
        <v>1052</v>
      </c>
      <c r="C1084" s="2" t="s">
        <v>151</v>
      </c>
      <c r="D1084" s="1" t="s">
        <v>152</v>
      </c>
    </row>
    <row r="1085">
      <c r="A1085" s="2" t="s">
        <v>1053</v>
      </c>
      <c r="B1085" s="1" t="s">
        <v>1054</v>
      </c>
      <c r="C1085" s="2" t="s">
        <v>41</v>
      </c>
      <c r="D1085" s="1" t="s">
        <v>42</v>
      </c>
    </row>
    <row r="1086">
      <c r="A1086" s="2" t="s">
        <v>1055</v>
      </c>
      <c r="B1086" s="1" t="s">
        <v>1056</v>
      </c>
      <c r="C1086" s="2" t="s">
        <v>41</v>
      </c>
      <c r="D1086" s="1" t="s">
        <v>42</v>
      </c>
    </row>
    <row r="1087">
      <c r="A1087" s="2" t="s">
        <v>1057</v>
      </c>
      <c r="B1087" s="1" t="s">
        <v>1058</v>
      </c>
      <c r="C1087" s="2" t="s">
        <v>41</v>
      </c>
      <c r="D1087" s="1" t="s">
        <v>42</v>
      </c>
    </row>
    <row r="1088">
      <c r="A1088" s="2" t="s">
        <v>1057</v>
      </c>
      <c r="B1088" s="1" t="s">
        <v>1058</v>
      </c>
      <c r="C1088" s="2" t="s">
        <v>288</v>
      </c>
      <c r="D1088" s="1" t="s">
        <v>289</v>
      </c>
    </row>
    <row r="1089">
      <c r="A1089" s="2" t="s">
        <v>1053</v>
      </c>
      <c r="B1089" s="1" t="s">
        <v>1054</v>
      </c>
      <c r="C1089" s="2" t="s">
        <v>49</v>
      </c>
      <c r="D1089" s="1" t="s">
        <v>50</v>
      </c>
    </row>
    <row r="1090">
      <c r="A1090" s="2" t="s">
        <v>1055</v>
      </c>
      <c r="B1090" s="1" t="s">
        <v>1056</v>
      </c>
      <c r="C1090" s="2" t="s">
        <v>43</v>
      </c>
      <c r="D1090" s="1" t="s">
        <v>44</v>
      </c>
    </row>
    <row r="1091">
      <c r="A1091" s="2" t="s">
        <v>1057</v>
      </c>
      <c r="B1091" s="1" t="s">
        <v>1058</v>
      </c>
      <c r="C1091" s="2" t="s">
        <v>43</v>
      </c>
      <c r="D1091" s="1" t="s">
        <v>44</v>
      </c>
    </row>
    <row r="1092">
      <c r="A1092" s="2" t="s">
        <v>1055</v>
      </c>
      <c r="B1092" s="1" t="s">
        <v>1056</v>
      </c>
      <c r="C1092" s="2" t="s">
        <v>49</v>
      </c>
      <c r="D1092" s="1" t="s">
        <v>50</v>
      </c>
    </row>
    <row r="1093">
      <c r="A1093" s="2" t="s">
        <v>1057</v>
      </c>
      <c r="B1093" s="1" t="s">
        <v>1058</v>
      </c>
      <c r="C1093" s="2" t="s">
        <v>49</v>
      </c>
      <c r="D1093" s="1" t="s">
        <v>50</v>
      </c>
    </row>
    <row r="1094">
      <c r="A1094" s="2" t="s">
        <v>1059</v>
      </c>
      <c r="B1094" s="1" t="s">
        <v>1060</v>
      </c>
      <c r="C1094" s="2" t="s">
        <v>41</v>
      </c>
      <c r="D1094" s="1" t="s">
        <v>42</v>
      </c>
    </row>
    <row r="1095">
      <c r="A1095" s="2" t="s">
        <v>1061</v>
      </c>
      <c r="B1095" s="1" t="s">
        <v>1062</v>
      </c>
      <c r="C1095" s="2" t="s">
        <v>43</v>
      </c>
      <c r="D1095" s="1" t="s">
        <v>44</v>
      </c>
    </row>
    <row r="1096">
      <c r="A1096" s="2" t="s">
        <v>1059</v>
      </c>
      <c r="B1096" s="1" t="s">
        <v>1060</v>
      </c>
      <c r="C1096" s="2" t="s">
        <v>49</v>
      </c>
      <c r="D1096" s="1" t="s">
        <v>50</v>
      </c>
    </row>
    <row r="1097">
      <c r="A1097" s="2" t="s">
        <v>1063</v>
      </c>
      <c r="B1097" s="1" t="s">
        <v>1064</v>
      </c>
      <c r="C1097" s="2" t="s">
        <v>41</v>
      </c>
      <c r="D1097" s="1" t="s">
        <v>42</v>
      </c>
    </row>
    <row r="1098">
      <c r="A1098" s="2" t="s">
        <v>1063</v>
      </c>
      <c r="B1098" s="1" t="s">
        <v>1064</v>
      </c>
      <c r="C1098" s="2" t="s">
        <v>84</v>
      </c>
      <c r="D1098" s="1" t="s">
        <v>85</v>
      </c>
    </row>
    <row r="1099">
      <c r="A1099" s="2" t="s">
        <v>1065</v>
      </c>
      <c r="B1099" s="1" t="s">
        <v>1066</v>
      </c>
      <c r="C1099" s="2" t="s">
        <v>41</v>
      </c>
      <c r="D1099" s="1" t="s">
        <v>42</v>
      </c>
    </row>
    <row r="1100">
      <c r="A1100" s="2" t="s">
        <v>1063</v>
      </c>
      <c r="B1100" s="1" t="s">
        <v>1064</v>
      </c>
      <c r="C1100" s="2" t="s">
        <v>43</v>
      </c>
      <c r="D1100" s="1" t="s">
        <v>44</v>
      </c>
    </row>
    <row r="1101">
      <c r="A1101" s="2" t="s">
        <v>1065</v>
      </c>
      <c r="B1101" s="1" t="s">
        <v>1066</v>
      </c>
      <c r="C1101" s="2" t="s">
        <v>43</v>
      </c>
      <c r="D1101" s="1" t="s">
        <v>44</v>
      </c>
    </row>
    <row r="1102">
      <c r="A1102" s="2" t="s">
        <v>1067</v>
      </c>
      <c r="B1102" s="1" t="s">
        <v>1068</v>
      </c>
      <c r="C1102" s="2" t="s">
        <v>216</v>
      </c>
      <c r="D1102" s="1" t="s">
        <v>217</v>
      </c>
    </row>
    <row r="1103">
      <c r="A1103" s="2" t="s">
        <v>1053</v>
      </c>
      <c r="B1103" s="1" t="s">
        <v>1054</v>
      </c>
      <c r="C1103" s="2" t="s">
        <v>69</v>
      </c>
      <c r="D1103" s="1" t="s">
        <v>70</v>
      </c>
    </row>
    <row r="1104">
      <c r="A1104" s="2" t="s">
        <v>1061</v>
      </c>
      <c r="B1104" s="1" t="s">
        <v>1062</v>
      </c>
      <c r="C1104" s="2" t="s">
        <v>49</v>
      </c>
      <c r="D1104" s="1" t="s">
        <v>50</v>
      </c>
    </row>
    <row r="1105">
      <c r="A1105" s="2" t="s">
        <v>1069</v>
      </c>
      <c r="B1105" s="1" t="s">
        <v>1070</v>
      </c>
      <c r="C1105" s="2" t="s">
        <v>370</v>
      </c>
      <c r="D1105" s="1" t="s">
        <v>371</v>
      </c>
      <c r="E1105" s="2" t="s">
        <v>1071</v>
      </c>
    </row>
    <row r="1106">
      <c r="A1106" s="2" t="s">
        <v>1072</v>
      </c>
      <c r="B1106" s="1" t="s">
        <v>1073</v>
      </c>
      <c r="C1106" s="2" t="s">
        <v>341</v>
      </c>
      <c r="D1106" s="1" t="s">
        <v>342</v>
      </c>
    </row>
    <row r="1107">
      <c r="A1107" s="2" t="s">
        <v>1074</v>
      </c>
      <c r="B1107" s="1" t="s">
        <v>1075</v>
      </c>
      <c r="C1107" s="2" t="s">
        <v>41</v>
      </c>
      <c r="D1107" s="1" t="s">
        <v>42</v>
      </c>
    </row>
    <row r="1108">
      <c r="A1108" s="2" t="s">
        <v>1074</v>
      </c>
      <c r="B1108" s="1" t="s">
        <v>1075</v>
      </c>
      <c r="C1108" s="2" t="s">
        <v>133</v>
      </c>
      <c r="D1108" s="1" t="s">
        <v>134</v>
      </c>
    </row>
    <row r="1109">
      <c r="A1109" s="2" t="s">
        <v>1074</v>
      </c>
      <c r="B1109" s="1" t="s">
        <v>1075</v>
      </c>
      <c r="C1109" s="2" t="s">
        <v>43</v>
      </c>
      <c r="D1109" s="1" t="s">
        <v>44</v>
      </c>
    </row>
    <row r="1110">
      <c r="A1110" s="2" t="s">
        <v>1065</v>
      </c>
      <c r="B1110" s="1" t="s">
        <v>1066</v>
      </c>
      <c r="C1110" s="2" t="s">
        <v>49</v>
      </c>
      <c r="D1110" s="1" t="s">
        <v>50</v>
      </c>
    </row>
    <row r="1111">
      <c r="A1111" s="2" t="s">
        <v>1055</v>
      </c>
      <c r="B1111" s="1" t="s">
        <v>1056</v>
      </c>
      <c r="C1111" s="2" t="s">
        <v>69</v>
      </c>
      <c r="D1111" s="1" t="s">
        <v>70</v>
      </c>
    </row>
    <row r="1112">
      <c r="A1112" s="2" t="s">
        <v>1076</v>
      </c>
      <c r="B1112" s="1" t="s">
        <v>1077</v>
      </c>
      <c r="C1112" s="2" t="s">
        <v>77</v>
      </c>
      <c r="D1112" s="1" t="s">
        <v>78</v>
      </c>
    </row>
    <row r="1113">
      <c r="A1113" s="2" t="s">
        <v>1057</v>
      </c>
      <c r="B1113" s="1" t="s">
        <v>1058</v>
      </c>
      <c r="C1113" s="2" t="s">
        <v>69</v>
      </c>
      <c r="D1113" s="1" t="s">
        <v>70</v>
      </c>
    </row>
    <row r="1114">
      <c r="A1114" s="2" t="s">
        <v>1076</v>
      </c>
      <c r="B1114" s="1" t="s">
        <v>1077</v>
      </c>
      <c r="C1114" s="2" t="s">
        <v>124</v>
      </c>
      <c r="D1114" s="1" t="s">
        <v>125</v>
      </c>
    </row>
    <row r="1115">
      <c r="A1115" s="2" t="s">
        <v>1072</v>
      </c>
      <c r="B1115" s="1" t="s">
        <v>1073</v>
      </c>
      <c r="C1115" s="2" t="s">
        <v>139</v>
      </c>
      <c r="D1115" s="1" t="s">
        <v>140</v>
      </c>
    </row>
    <row r="1116">
      <c r="A1116" s="2" t="s">
        <v>1078</v>
      </c>
      <c r="B1116" s="1" t="s">
        <v>1079</v>
      </c>
      <c r="C1116" s="2" t="s">
        <v>462</v>
      </c>
      <c r="D1116" s="1" t="s">
        <v>463</v>
      </c>
    </row>
    <row r="1117">
      <c r="A1117" s="2" t="s">
        <v>1074</v>
      </c>
      <c r="B1117" s="1" t="s">
        <v>1075</v>
      </c>
      <c r="C1117" s="2" t="s">
        <v>49</v>
      </c>
      <c r="D1117" s="1" t="s">
        <v>50</v>
      </c>
    </row>
    <row r="1118">
      <c r="A1118" s="2" t="s">
        <v>1080</v>
      </c>
      <c r="B1118" s="1" t="s">
        <v>1081</v>
      </c>
      <c r="C1118" s="2" t="s">
        <v>53</v>
      </c>
      <c r="D1118" s="1" t="s">
        <v>54</v>
      </c>
    </row>
    <row r="1119">
      <c r="A1119" s="2" t="s">
        <v>928</v>
      </c>
      <c r="B1119" s="1" t="s">
        <v>929</v>
      </c>
      <c r="C1119" s="2" t="s">
        <v>49</v>
      </c>
      <c r="D1119" s="1" t="s">
        <v>50</v>
      </c>
    </row>
    <row r="1120">
      <c r="A1120" s="2" t="s">
        <v>1082</v>
      </c>
      <c r="B1120" s="1" t="s">
        <v>1083</v>
      </c>
      <c r="C1120" s="2" t="s">
        <v>53</v>
      </c>
      <c r="D1120" s="1" t="s">
        <v>54</v>
      </c>
    </row>
    <row r="1121">
      <c r="A1121" s="2" t="s">
        <v>1076</v>
      </c>
      <c r="B1121" s="1" t="s">
        <v>1077</v>
      </c>
      <c r="C1121" s="2" t="s">
        <v>49</v>
      </c>
      <c r="D1121" s="1" t="s">
        <v>50</v>
      </c>
    </row>
    <row r="1122">
      <c r="A1122" s="2" t="s">
        <v>1084</v>
      </c>
      <c r="B1122" s="1" t="s">
        <v>1085</v>
      </c>
      <c r="E1122" s="2" t="s">
        <v>1086</v>
      </c>
    </row>
    <row r="1123">
      <c r="A1123" s="2" t="s">
        <v>1078</v>
      </c>
      <c r="B1123" s="1" t="s">
        <v>1079</v>
      </c>
      <c r="C1123" s="2" t="s">
        <v>43</v>
      </c>
      <c r="D1123" s="1" t="s">
        <v>44</v>
      </c>
    </row>
    <row r="1124">
      <c r="A1124" s="2" t="s">
        <v>1059</v>
      </c>
      <c r="B1124" s="1" t="s">
        <v>1060</v>
      </c>
      <c r="C1124" s="2" t="s">
        <v>69</v>
      </c>
      <c r="D1124" s="1" t="s">
        <v>70</v>
      </c>
    </row>
    <row r="1125">
      <c r="A1125" s="2" t="s">
        <v>1076</v>
      </c>
      <c r="B1125" s="1" t="s">
        <v>1077</v>
      </c>
      <c r="C1125" s="2" t="s">
        <v>518</v>
      </c>
      <c r="D1125" s="1" t="s">
        <v>519</v>
      </c>
    </row>
    <row r="1126">
      <c r="A1126" s="2" t="s">
        <v>1087</v>
      </c>
      <c r="B1126" s="1" t="s">
        <v>1088</v>
      </c>
      <c r="C1126" s="2" t="s">
        <v>41</v>
      </c>
      <c r="D1126" s="1" t="s">
        <v>42</v>
      </c>
    </row>
    <row r="1127">
      <c r="A1127" s="2" t="s">
        <v>1087</v>
      </c>
      <c r="B1127" s="1" t="s">
        <v>1088</v>
      </c>
      <c r="C1127" s="2" t="s">
        <v>43</v>
      </c>
      <c r="D1127" s="1" t="s">
        <v>44</v>
      </c>
    </row>
    <row r="1128">
      <c r="A1128" s="2" t="s">
        <v>1074</v>
      </c>
      <c r="B1128" s="1" t="s">
        <v>1075</v>
      </c>
      <c r="C1128" s="2" t="s">
        <v>92</v>
      </c>
      <c r="D1128" s="1" t="s">
        <v>93</v>
      </c>
    </row>
    <row r="1129">
      <c r="A1129" s="2" t="s">
        <v>1087</v>
      </c>
      <c r="B1129" s="1" t="s">
        <v>1088</v>
      </c>
      <c r="C1129" s="2" t="s">
        <v>79</v>
      </c>
      <c r="D1129" s="1" t="s">
        <v>80</v>
      </c>
    </row>
    <row r="1130">
      <c r="A1130" s="2" t="s">
        <v>1087</v>
      </c>
      <c r="B1130" s="1" t="s">
        <v>1088</v>
      </c>
      <c r="C1130" s="2" t="s">
        <v>1089</v>
      </c>
      <c r="D1130" s="1" t="s">
        <v>1090</v>
      </c>
    </row>
    <row r="1131">
      <c r="A1131" s="2" t="s">
        <v>1080</v>
      </c>
      <c r="B1131" s="1" t="s">
        <v>1081</v>
      </c>
      <c r="C1131" s="2" t="s">
        <v>41</v>
      </c>
      <c r="D1131" s="1" t="s">
        <v>42</v>
      </c>
    </row>
    <row r="1132">
      <c r="A1132" s="2" t="s">
        <v>1063</v>
      </c>
      <c r="B1132" s="1" t="s">
        <v>1064</v>
      </c>
      <c r="C1132" s="2" t="s">
        <v>69</v>
      </c>
      <c r="D1132" s="1" t="s">
        <v>70</v>
      </c>
    </row>
    <row r="1133">
      <c r="A1133" s="2" t="s">
        <v>1065</v>
      </c>
      <c r="B1133" s="1" t="s">
        <v>1066</v>
      </c>
      <c r="C1133" s="2" t="s">
        <v>69</v>
      </c>
      <c r="D1133" s="1" t="s">
        <v>70</v>
      </c>
    </row>
    <row r="1134">
      <c r="A1134" s="2" t="s">
        <v>1061</v>
      </c>
      <c r="B1134" s="1" t="s">
        <v>1062</v>
      </c>
      <c r="C1134" s="2" t="s">
        <v>1091</v>
      </c>
      <c r="D1134" s="1" t="s">
        <v>1092</v>
      </c>
    </row>
    <row r="1135">
      <c r="A1135" s="2" t="s">
        <v>1093</v>
      </c>
      <c r="B1135" s="1" t="s">
        <v>1094</v>
      </c>
      <c r="C1135" s="2" t="s">
        <v>41</v>
      </c>
      <c r="D1135" s="1" t="s">
        <v>42</v>
      </c>
    </row>
    <row r="1136">
      <c r="A1136" s="2" t="s">
        <v>1087</v>
      </c>
      <c r="B1136" s="1" t="s">
        <v>1088</v>
      </c>
      <c r="C1136" s="2" t="s">
        <v>49</v>
      </c>
      <c r="D1136" s="1" t="s">
        <v>50</v>
      </c>
    </row>
    <row r="1137">
      <c r="A1137" s="2" t="s">
        <v>1082</v>
      </c>
      <c r="B1137" s="1" t="s">
        <v>1083</v>
      </c>
      <c r="C1137" s="2" t="s">
        <v>41</v>
      </c>
      <c r="D1137" s="1" t="s">
        <v>42</v>
      </c>
    </row>
    <row r="1138">
      <c r="A1138" s="2" t="s">
        <v>1095</v>
      </c>
      <c r="B1138" s="1" t="s">
        <v>1096</v>
      </c>
      <c r="C1138" s="2" t="s">
        <v>41</v>
      </c>
      <c r="D1138" s="1" t="s">
        <v>42</v>
      </c>
    </row>
    <row r="1139">
      <c r="A1139" s="2" t="s">
        <v>1065</v>
      </c>
      <c r="B1139" s="1" t="s">
        <v>1066</v>
      </c>
      <c r="C1139" s="2" t="s">
        <v>223</v>
      </c>
      <c r="D1139" s="1" t="s">
        <v>224</v>
      </c>
    </row>
    <row r="1140">
      <c r="A1140" s="2" t="s">
        <v>1093</v>
      </c>
      <c r="B1140" s="1" t="s">
        <v>1094</v>
      </c>
      <c r="C1140" s="2" t="s">
        <v>43</v>
      </c>
      <c r="D1140" s="1" t="s">
        <v>44</v>
      </c>
    </row>
    <row r="1141">
      <c r="A1141" s="2" t="s">
        <v>1063</v>
      </c>
      <c r="B1141" s="1" t="s">
        <v>1064</v>
      </c>
      <c r="C1141" s="2" t="s">
        <v>647</v>
      </c>
      <c r="D1141" s="1" t="s">
        <v>648</v>
      </c>
    </row>
    <row r="1142">
      <c r="A1142" s="2" t="s">
        <v>1082</v>
      </c>
      <c r="B1142" s="1" t="s">
        <v>1083</v>
      </c>
      <c r="C1142" s="2" t="s">
        <v>1097</v>
      </c>
      <c r="D1142" s="1" t="s">
        <v>1098</v>
      </c>
    </row>
    <row r="1143">
      <c r="A1143" s="2" t="s">
        <v>1093</v>
      </c>
      <c r="B1143" s="1" t="s">
        <v>1094</v>
      </c>
      <c r="C1143" s="2" t="s">
        <v>49</v>
      </c>
      <c r="D1143" s="1" t="s">
        <v>50</v>
      </c>
    </row>
    <row r="1144">
      <c r="A1144" s="2" t="s">
        <v>928</v>
      </c>
      <c r="B1144" s="1" t="s">
        <v>929</v>
      </c>
      <c r="C1144" s="2" t="s">
        <v>69</v>
      </c>
      <c r="D1144" s="1" t="s">
        <v>70</v>
      </c>
    </row>
    <row r="1145">
      <c r="A1145" s="2" t="s">
        <v>1095</v>
      </c>
      <c r="B1145" s="1" t="s">
        <v>1096</v>
      </c>
      <c r="C1145" s="2" t="s">
        <v>49</v>
      </c>
      <c r="D1145" s="1" t="s">
        <v>50</v>
      </c>
    </row>
    <row r="1146">
      <c r="A1146" s="2" t="s">
        <v>1063</v>
      </c>
      <c r="B1146" s="1" t="s">
        <v>1064</v>
      </c>
      <c r="C1146" s="2" t="s">
        <v>1099</v>
      </c>
      <c r="D1146" s="1" t="s">
        <v>1100</v>
      </c>
    </row>
    <row r="1147">
      <c r="A1147" s="2" t="s">
        <v>1101</v>
      </c>
      <c r="B1147" s="1" t="s">
        <v>1102</v>
      </c>
      <c r="C1147" s="2" t="s">
        <v>145</v>
      </c>
      <c r="D1147" s="1" t="s">
        <v>146</v>
      </c>
      <c r="E1147" s="2" t="s">
        <v>1103</v>
      </c>
    </row>
    <row r="1148">
      <c r="A1148" s="2" t="s">
        <v>1101</v>
      </c>
      <c r="B1148" s="1" t="s">
        <v>1102</v>
      </c>
      <c r="C1148" s="2" t="s">
        <v>871</v>
      </c>
      <c r="D1148" s="1" t="s">
        <v>642</v>
      </c>
      <c r="E1148" s="2" t="s">
        <v>1103</v>
      </c>
    </row>
    <row r="1149">
      <c r="A1149" s="2" t="s">
        <v>1104</v>
      </c>
      <c r="B1149" s="1" t="s">
        <v>1105</v>
      </c>
      <c r="C1149" s="2" t="s">
        <v>12</v>
      </c>
      <c r="D1149" s="1" t="s">
        <v>13</v>
      </c>
    </row>
    <row r="1150">
      <c r="A1150" s="2" t="s">
        <v>1067</v>
      </c>
      <c r="B1150" s="1" t="s">
        <v>1068</v>
      </c>
      <c r="C1150" s="2" t="s">
        <v>221</v>
      </c>
      <c r="D1150" s="1" t="s">
        <v>222</v>
      </c>
    </row>
    <row r="1151">
      <c r="A1151" s="2" t="s">
        <v>1074</v>
      </c>
      <c r="B1151" s="1" t="s">
        <v>1075</v>
      </c>
      <c r="C1151" s="2" t="s">
        <v>221</v>
      </c>
      <c r="D1151" s="1" t="s">
        <v>222</v>
      </c>
    </row>
    <row r="1152">
      <c r="A1152" s="2" t="s">
        <v>1106</v>
      </c>
      <c r="B1152" s="1" t="s">
        <v>1107</v>
      </c>
      <c r="C1152" s="2" t="s">
        <v>604</v>
      </c>
      <c r="D1152" s="1" t="s">
        <v>605</v>
      </c>
    </row>
    <row r="1153">
      <c r="A1153" s="2" t="s">
        <v>1108</v>
      </c>
      <c r="B1153" s="1" t="s">
        <v>1109</v>
      </c>
      <c r="C1153" s="2" t="s">
        <v>43</v>
      </c>
      <c r="D1153" s="1" t="s">
        <v>44</v>
      </c>
    </row>
    <row r="1154">
      <c r="A1154" s="2" t="s">
        <v>1082</v>
      </c>
      <c r="B1154" s="1" t="s">
        <v>1083</v>
      </c>
      <c r="C1154" s="2" t="s">
        <v>508</v>
      </c>
      <c r="D1154" s="1" t="s">
        <v>509</v>
      </c>
    </row>
    <row r="1155">
      <c r="A1155" s="2" t="s">
        <v>1095</v>
      </c>
      <c r="B1155" s="1" t="s">
        <v>1096</v>
      </c>
      <c r="C1155" s="2" t="s">
        <v>508</v>
      </c>
      <c r="D1155" s="1" t="s">
        <v>509</v>
      </c>
    </row>
    <row r="1156">
      <c r="A1156" s="2" t="s">
        <v>1080</v>
      </c>
      <c r="B1156" s="1" t="s">
        <v>1081</v>
      </c>
      <c r="C1156" s="2" t="s">
        <v>69</v>
      </c>
      <c r="D1156" s="1" t="s">
        <v>70</v>
      </c>
    </row>
    <row r="1157">
      <c r="A1157" s="2" t="s">
        <v>1108</v>
      </c>
      <c r="B1157" s="1" t="s">
        <v>1109</v>
      </c>
      <c r="C1157" s="2" t="s">
        <v>49</v>
      </c>
      <c r="D1157" s="1" t="s">
        <v>50</v>
      </c>
    </row>
    <row r="1158">
      <c r="A1158" s="2" t="s">
        <v>1082</v>
      </c>
      <c r="B1158" s="1" t="s">
        <v>1083</v>
      </c>
      <c r="C1158" s="2" t="s">
        <v>69</v>
      </c>
      <c r="D1158" s="1" t="s">
        <v>70</v>
      </c>
    </row>
    <row r="1159">
      <c r="A1159" s="2" t="s">
        <v>1095</v>
      </c>
      <c r="B1159" s="1" t="s">
        <v>1096</v>
      </c>
      <c r="C1159" s="2" t="s">
        <v>69</v>
      </c>
      <c r="D1159" s="1" t="s">
        <v>70</v>
      </c>
    </row>
    <row r="1160">
      <c r="A1160" s="2" t="s">
        <v>1053</v>
      </c>
      <c r="B1160" s="1" t="s">
        <v>1054</v>
      </c>
      <c r="C1160" s="2" t="s">
        <v>118</v>
      </c>
      <c r="D1160" s="1" t="s">
        <v>119</v>
      </c>
    </row>
    <row r="1161">
      <c r="A1161" s="2" t="s">
        <v>1110</v>
      </c>
      <c r="B1161" s="1" t="s">
        <v>1111</v>
      </c>
      <c r="C1161" s="2" t="s">
        <v>114</v>
      </c>
      <c r="D1161" s="1" t="s">
        <v>115</v>
      </c>
    </row>
    <row r="1162">
      <c r="A1162" s="2" t="s">
        <v>1112</v>
      </c>
      <c r="B1162" s="1" t="s">
        <v>1113</v>
      </c>
      <c r="C1162" s="2" t="s">
        <v>604</v>
      </c>
      <c r="D1162" s="1" t="s">
        <v>605</v>
      </c>
    </row>
    <row r="1163">
      <c r="A1163" s="2" t="s">
        <v>1108</v>
      </c>
      <c r="B1163" s="1" t="s">
        <v>1109</v>
      </c>
      <c r="C1163" s="2" t="s">
        <v>92</v>
      </c>
      <c r="D1163" s="1" t="s">
        <v>93</v>
      </c>
    </row>
    <row r="1164">
      <c r="A1164" s="2" t="s">
        <v>1112</v>
      </c>
      <c r="B1164" s="1" t="s">
        <v>1113</v>
      </c>
      <c r="C1164" s="2" t="s">
        <v>306</v>
      </c>
      <c r="D1164" s="1" t="s">
        <v>307</v>
      </c>
    </row>
    <row r="1165">
      <c r="A1165" s="2" t="s">
        <v>1051</v>
      </c>
      <c r="B1165" s="1" t="s">
        <v>1052</v>
      </c>
      <c r="C1165" s="2" t="s">
        <v>604</v>
      </c>
      <c r="D1165" s="1" t="s">
        <v>605</v>
      </c>
    </row>
    <row r="1166">
      <c r="A1166" s="2" t="s">
        <v>1074</v>
      </c>
      <c r="B1166" s="1" t="s">
        <v>1075</v>
      </c>
      <c r="C1166" s="2" t="s">
        <v>1114</v>
      </c>
      <c r="D1166" s="1" t="s">
        <v>1115</v>
      </c>
    </row>
    <row r="1167">
      <c r="A1167" s="2" t="s">
        <v>1059</v>
      </c>
      <c r="B1167" s="1" t="s">
        <v>1060</v>
      </c>
      <c r="C1167" s="2" t="s">
        <v>118</v>
      </c>
      <c r="D1167" s="1" t="s">
        <v>119</v>
      </c>
    </row>
    <row r="1168">
      <c r="A1168" s="2" t="s">
        <v>1108</v>
      </c>
      <c r="B1168" s="1" t="s">
        <v>1109</v>
      </c>
      <c r="C1168" s="2" t="s">
        <v>69</v>
      </c>
      <c r="D1168" s="1" t="s">
        <v>70</v>
      </c>
    </row>
    <row r="1169">
      <c r="A1169" s="2" t="s">
        <v>1116</v>
      </c>
      <c r="B1169" s="1" t="s">
        <v>1117</v>
      </c>
      <c r="C1169" s="2" t="s">
        <v>118</v>
      </c>
      <c r="D1169" s="1" t="s">
        <v>119</v>
      </c>
    </row>
    <row r="1170">
      <c r="A1170" s="2" t="s">
        <v>1118</v>
      </c>
      <c r="B1170" s="1" t="s">
        <v>1119</v>
      </c>
      <c r="C1170" s="2" t="s">
        <v>604</v>
      </c>
      <c r="D1170" s="1" t="s">
        <v>605</v>
      </c>
    </row>
    <row r="1171">
      <c r="A1171" s="2" t="s">
        <v>1067</v>
      </c>
      <c r="B1171" s="1" t="s">
        <v>1068</v>
      </c>
      <c r="C1171" s="2" t="s">
        <v>118</v>
      </c>
      <c r="D1171" s="1" t="s">
        <v>119</v>
      </c>
    </row>
    <row r="1172">
      <c r="A1172" s="2" t="s">
        <v>1076</v>
      </c>
      <c r="B1172" s="1" t="s">
        <v>1077</v>
      </c>
      <c r="C1172" s="2" t="s">
        <v>443</v>
      </c>
      <c r="D1172" s="1" t="s">
        <v>444</v>
      </c>
    </row>
    <row r="1173">
      <c r="A1173" s="2" t="s">
        <v>1069</v>
      </c>
      <c r="B1173" s="1" t="s">
        <v>1070</v>
      </c>
      <c r="C1173" s="2" t="s">
        <v>12</v>
      </c>
      <c r="D1173" s="1" t="s">
        <v>13</v>
      </c>
      <c r="E1173" s="2" t="s">
        <v>1071</v>
      </c>
    </row>
    <row r="1174">
      <c r="A1174" s="2" t="s">
        <v>1106</v>
      </c>
      <c r="B1174" s="1" t="s">
        <v>1107</v>
      </c>
      <c r="C1174" s="2" t="s">
        <v>1120</v>
      </c>
      <c r="D1174" s="1" t="s">
        <v>1121</v>
      </c>
    </row>
    <row r="1175">
      <c r="A1175" s="2" t="s">
        <v>1061</v>
      </c>
      <c r="B1175" s="1" t="s">
        <v>1062</v>
      </c>
      <c r="C1175" s="2" t="s">
        <v>143</v>
      </c>
      <c r="D1175" s="1" t="s">
        <v>144</v>
      </c>
    </row>
    <row r="1176">
      <c r="A1176" s="2" t="s">
        <v>1122</v>
      </c>
      <c r="B1176" s="1" t="s">
        <v>1123</v>
      </c>
      <c r="C1176" s="2" t="s">
        <v>41</v>
      </c>
      <c r="D1176" s="1" t="s">
        <v>42</v>
      </c>
    </row>
    <row r="1177">
      <c r="A1177" s="2" t="s">
        <v>1122</v>
      </c>
      <c r="B1177" s="1" t="s">
        <v>1123</v>
      </c>
      <c r="C1177" s="2" t="s">
        <v>43</v>
      </c>
      <c r="D1177" s="1" t="s">
        <v>44</v>
      </c>
    </row>
    <row r="1178">
      <c r="A1178" s="2" t="s">
        <v>1124</v>
      </c>
      <c r="B1178" s="1" t="s">
        <v>1125</v>
      </c>
    </row>
    <row r="1179">
      <c r="A1179" s="2" t="s">
        <v>1104</v>
      </c>
      <c r="B1179" s="1" t="s">
        <v>1105</v>
      </c>
      <c r="C1179" s="2" t="s">
        <v>173</v>
      </c>
      <c r="D1179" s="1" t="s">
        <v>174</v>
      </c>
    </row>
    <row r="1180">
      <c r="A1180" s="2" t="s">
        <v>1126</v>
      </c>
      <c r="B1180" s="1" t="s">
        <v>1127</v>
      </c>
      <c r="C1180" s="2" t="s">
        <v>53</v>
      </c>
      <c r="D1180" s="1" t="s">
        <v>54</v>
      </c>
    </row>
    <row r="1181">
      <c r="A1181" s="2" t="s">
        <v>1122</v>
      </c>
      <c r="B1181" s="1" t="s">
        <v>1123</v>
      </c>
      <c r="C1181" s="2" t="s">
        <v>69</v>
      </c>
      <c r="D1181" s="1" t="s">
        <v>70</v>
      </c>
    </row>
    <row r="1182">
      <c r="A1182" s="2" t="s">
        <v>1069</v>
      </c>
      <c r="B1182" s="1" t="s">
        <v>1070</v>
      </c>
      <c r="C1182" s="2" t="s">
        <v>114</v>
      </c>
      <c r="D1182" s="1" t="s">
        <v>115</v>
      </c>
      <c r="E1182" s="2" t="s">
        <v>1071</v>
      </c>
    </row>
    <row r="1183">
      <c r="A1183" s="2" t="s">
        <v>1069</v>
      </c>
      <c r="B1183" s="1" t="s">
        <v>1070</v>
      </c>
      <c r="C1183" s="2" t="s">
        <v>25</v>
      </c>
      <c r="D1183" s="1" t="s">
        <v>26</v>
      </c>
      <c r="E1183" s="2" t="s">
        <v>1071</v>
      </c>
    </row>
    <row r="1184">
      <c r="A1184" s="2" t="s">
        <v>1128</v>
      </c>
      <c r="B1184" s="1" t="s">
        <v>1129</v>
      </c>
      <c r="C1184" s="2" t="s">
        <v>41</v>
      </c>
      <c r="D1184" s="1" t="s">
        <v>42</v>
      </c>
    </row>
    <row r="1185">
      <c r="A1185" s="2" t="s">
        <v>1128</v>
      </c>
      <c r="B1185" s="1" t="s">
        <v>1129</v>
      </c>
      <c r="C1185" s="2" t="s">
        <v>216</v>
      </c>
      <c r="D1185" s="1" t="s">
        <v>217</v>
      </c>
    </row>
    <row r="1186">
      <c r="A1186" s="2" t="s">
        <v>1128</v>
      </c>
      <c r="B1186" s="1" t="s">
        <v>1129</v>
      </c>
      <c r="C1186" s="2" t="s">
        <v>43</v>
      </c>
      <c r="D1186" s="1" t="s">
        <v>44</v>
      </c>
    </row>
    <row r="1187">
      <c r="A1187" s="2" t="s">
        <v>1130</v>
      </c>
      <c r="B1187" s="1" t="s">
        <v>1131</v>
      </c>
      <c r="C1187" s="2" t="s">
        <v>53</v>
      </c>
      <c r="D1187" s="1" t="s">
        <v>54</v>
      </c>
    </row>
    <row r="1188">
      <c r="A1188" s="2" t="s">
        <v>1128</v>
      </c>
      <c r="B1188" s="1" t="s">
        <v>1129</v>
      </c>
      <c r="C1188" s="2" t="s">
        <v>49</v>
      </c>
      <c r="D1188" s="1" t="s">
        <v>50</v>
      </c>
    </row>
    <row r="1189">
      <c r="A1189" s="2" t="s">
        <v>1130</v>
      </c>
      <c r="B1189" s="1" t="s">
        <v>1131</v>
      </c>
      <c r="C1189" s="2" t="s">
        <v>462</v>
      </c>
      <c r="D1189" s="1" t="s">
        <v>463</v>
      </c>
    </row>
    <row r="1190">
      <c r="A1190" s="2" t="s">
        <v>1006</v>
      </c>
      <c r="B1190" s="1" t="s">
        <v>1007</v>
      </c>
      <c r="C1190" s="2" t="s">
        <v>202</v>
      </c>
      <c r="D1190" s="1" t="s">
        <v>203</v>
      </c>
    </row>
    <row r="1191">
      <c r="A1191" s="2" t="s">
        <v>1132</v>
      </c>
      <c r="B1191" s="1" t="s">
        <v>1133</v>
      </c>
      <c r="C1191" s="2" t="s">
        <v>43</v>
      </c>
      <c r="D1191" s="1" t="s">
        <v>44</v>
      </c>
    </row>
    <row r="1192">
      <c r="A1192" s="2" t="s">
        <v>1130</v>
      </c>
      <c r="B1192" s="1" t="s">
        <v>1131</v>
      </c>
      <c r="C1192" s="2" t="s">
        <v>41</v>
      </c>
      <c r="D1192" s="1" t="s">
        <v>42</v>
      </c>
    </row>
    <row r="1193">
      <c r="A1193" s="2" t="s">
        <v>1134</v>
      </c>
      <c r="B1193" s="1" t="s">
        <v>1135</v>
      </c>
      <c r="C1193" s="2" t="s">
        <v>41</v>
      </c>
      <c r="D1193" s="1" t="s">
        <v>42</v>
      </c>
    </row>
    <row r="1194">
      <c r="A1194" s="2" t="s">
        <v>1136</v>
      </c>
      <c r="B1194" s="1" t="s">
        <v>1137</v>
      </c>
      <c r="C1194" s="2" t="s">
        <v>43</v>
      </c>
      <c r="D1194" s="1" t="s">
        <v>44</v>
      </c>
    </row>
    <row r="1195">
      <c r="A1195" s="2" t="s">
        <v>1134</v>
      </c>
      <c r="B1195" s="1" t="s">
        <v>1135</v>
      </c>
      <c r="C1195" s="2" t="s">
        <v>133</v>
      </c>
      <c r="D1195" s="1" t="s">
        <v>134</v>
      </c>
    </row>
    <row r="1196">
      <c r="A1196" s="2" t="s">
        <v>1134</v>
      </c>
      <c r="B1196" s="1" t="s">
        <v>1135</v>
      </c>
      <c r="C1196" s="2" t="s">
        <v>43</v>
      </c>
      <c r="D1196" s="1" t="s">
        <v>44</v>
      </c>
    </row>
    <row r="1197">
      <c r="A1197" s="2" t="s">
        <v>1132</v>
      </c>
      <c r="B1197" s="1" t="s">
        <v>1133</v>
      </c>
      <c r="C1197" s="2" t="s">
        <v>49</v>
      </c>
      <c r="D1197" s="1" t="s">
        <v>50</v>
      </c>
    </row>
    <row r="1198">
      <c r="A1198" s="2" t="s">
        <v>1130</v>
      </c>
      <c r="B1198" s="1" t="s">
        <v>1131</v>
      </c>
      <c r="C1198" s="2" t="s">
        <v>1089</v>
      </c>
      <c r="D1198" s="1" t="s">
        <v>1090</v>
      </c>
    </row>
    <row r="1199">
      <c r="A1199" s="2" t="s">
        <v>1138</v>
      </c>
      <c r="B1199" s="1" t="s">
        <v>1139</v>
      </c>
      <c r="C1199" s="2" t="s">
        <v>216</v>
      </c>
      <c r="D1199" s="1" t="s">
        <v>217</v>
      </c>
    </row>
    <row r="1200">
      <c r="A1200" s="2" t="s">
        <v>1140</v>
      </c>
      <c r="B1200" s="1" t="s">
        <v>1141</v>
      </c>
      <c r="C1200" s="2" t="s">
        <v>41</v>
      </c>
      <c r="D1200" s="1" t="s">
        <v>42</v>
      </c>
    </row>
    <row r="1201">
      <c r="A1201" s="2" t="s">
        <v>1140</v>
      </c>
      <c r="B1201" s="1" t="s">
        <v>1141</v>
      </c>
      <c r="C1201" s="2" t="s">
        <v>43</v>
      </c>
      <c r="D1201" s="1" t="s">
        <v>44</v>
      </c>
    </row>
    <row r="1202">
      <c r="A1202" s="2" t="s">
        <v>1134</v>
      </c>
      <c r="B1202" s="1" t="s">
        <v>1135</v>
      </c>
      <c r="C1202" s="2" t="s">
        <v>49</v>
      </c>
      <c r="D1202" s="1" t="s">
        <v>50</v>
      </c>
    </row>
    <row r="1203">
      <c r="A1203" s="2" t="s">
        <v>1142</v>
      </c>
      <c r="B1203" s="1" t="s">
        <v>1143</v>
      </c>
      <c r="C1203" s="2" t="s">
        <v>202</v>
      </c>
      <c r="D1203" s="1" t="s">
        <v>203</v>
      </c>
    </row>
    <row r="1204">
      <c r="A1204" s="2" t="s">
        <v>1144</v>
      </c>
      <c r="B1204" s="1" t="s">
        <v>1145</v>
      </c>
      <c r="C1204" s="2" t="s">
        <v>41</v>
      </c>
      <c r="D1204" s="1" t="s">
        <v>42</v>
      </c>
    </row>
    <row r="1205">
      <c r="A1205" s="2" t="s">
        <v>1144</v>
      </c>
      <c r="B1205" s="1" t="s">
        <v>1145</v>
      </c>
      <c r="C1205" s="2" t="s">
        <v>133</v>
      </c>
      <c r="D1205" s="1" t="s">
        <v>134</v>
      </c>
    </row>
    <row r="1206">
      <c r="A1206" s="2" t="s">
        <v>1140</v>
      </c>
      <c r="B1206" s="1" t="s">
        <v>1141</v>
      </c>
      <c r="C1206" s="2" t="s">
        <v>49</v>
      </c>
      <c r="D1206" s="1" t="s">
        <v>50</v>
      </c>
    </row>
    <row r="1207">
      <c r="A1207" s="2" t="s">
        <v>1006</v>
      </c>
      <c r="B1207" s="1" t="s">
        <v>1007</v>
      </c>
      <c r="C1207" s="2" t="s">
        <v>49</v>
      </c>
      <c r="D1207" s="1" t="s">
        <v>50</v>
      </c>
    </row>
    <row r="1208">
      <c r="A1208" s="2" t="s">
        <v>1144</v>
      </c>
      <c r="B1208" s="1" t="s">
        <v>1145</v>
      </c>
      <c r="C1208" s="2" t="s">
        <v>49</v>
      </c>
      <c r="D1208" s="1" t="s">
        <v>50</v>
      </c>
    </row>
    <row r="1209">
      <c r="A1209" s="2" t="s">
        <v>1146</v>
      </c>
      <c r="B1209" s="1" t="s">
        <v>1147</v>
      </c>
      <c r="C1209" s="2" t="s">
        <v>53</v>
      </c>
      <c r="D1209" s="1" t="s">
        <v>54</v>
      </c>
    </row>
    <row r="1210">
      <c r="A1210" s="2" t="s">
        <v>1148</v>
      </c>
      <c r="B1210" s="1" t="s">
        <v>1149</v>
      </c>
      <c r="C1210" s="2" t="s">
        <v>202</v>
      </c>
      <c r="D1210" s="1" t="s">
        <v>203</v>
      </c>
    </row>
    <row r="1211">
      <c r="A1211" s="2" t="s">
        <v>1150</v>
      </c>
      <c r="B1211" s="1" t="s">
        <v>1151</v>
      </c>
      <c r="C1211" s="2" t="s">
        <v>421</v>
      </c>
      <c r="D1211" s="1" t="s">
        <v>422</v>
      </c>
    </row>
    <row r="1212">
      <c r="A1212" s="2" t="s">
        <v>1142</v>
      </c>
      <c r="B1212" s="1" t="s">
        <v>1143</v>
      </c>
      <c r="C1212" s="2" t="s">
        <v>216</v>
      </c>
      <c r="D1212" s="1" t="s">
        <v>217</v>
      </c>
    </row>
    <row r="1213">
      <c r="A1213" s="2" t="s">
        <v>1132</v>
      </c>
      <c r="B1213" s="1" t="s">
        <v>1133</v>
      </c>
      <c r="C1213" s="2" t="s">
        <v>69</v>
      </c>
      <c r="D1213" s="1" t="s">
        <v>70</v>
      </c>
    </row>
    <row r="1214">
      <c r="A1214" s="2" t="s">
        <v>1152</v>
      </c>
      <c r="B1214" s="1" t="s">
        <v>1153</v>
      </c>
      <c r="C1214" s="2" t="s">
        <v>84</v>
      </c>
      <c r="D1214" s="1" t="s">
        <v>85</v>
      </c>
    </row>
    <row r="1215">
      <c r="A1215" s="2" t="s">
        <v>1142</v>
      </c>
      <c r="B1215" s="1" t="s">
        <v>1143</v>
      </c>
      <c r="C1215" s="2" t="s">
        <v>86</v>
      </c>
      <c r="D1215" s="1" t="s">
        <v>87</v>
      </c>
    </row>
    <row r="1216">
      <c r="A1216" s="2" t="s">
        <v>1136</v>
      </c>
      <c r="B1216" s="1" t="s">
        <v>1137</v>
      </c>
      <c r="C1216" s="2" t="s">
        <v>69</v>
      </c>
      <c r="D1216" s="1" t="s">
        <v>70</v>
      </c>
    </row>
    <row r="1217">
      <c r="A1217" s="2" t="s">
        <v>1130</v>
      </c>
      <c r="B1217" s="1" t="s">
        <v>1131</v>
      </c>
      <c r="C1217" s="2" t="s">
        <v>69</v>
      </c>
      <c r="D1217" s="1" t="s">
        <v>70</v>
      </c>
    </row>
    <row r="1218">
      <c r="A1218" s="2" t="s">
        <v>1142</v>
      </c>
      <c r="B1218" s="1" t="s">
        <v>1143</v>
      </c>
      <c r="C1218" s="2" t="s">
        <v>49</v>
      </c>
      <c r="D1218" s="1" t="s">
        <v>50</v>
      </c>
    </row>
    <row r="1219">
      <c r="A1219" s="2" t="s">
        <v>1154</v>
      </c>
      <c r="B1219" s="1" t="s">
        <v>1155</v>
      </c>
      <c r="C1219" s="2" t="s">
        <v>162</v>
      </c>
      <c r="D1219" s="1" t="s">
        <v>163</v>
      </c>
    </row>
    <row r="1220">
      <c r="A1220" s="2" t="s">
        <v>1152</v>
      </c>
      <c r="B1220" s="1" t="s">
        <v>1153</v>
      </c>
      <c r="C1220" s="2" t="s">
        <v>1156</v>
      </c>
      <c r="D1220" s="1" t="s">
        <v>1157</v>
      </c>
    </row>
    <row r="1221">
      <c r="A1221" s="2" t="s">
        <v>1158</v>
      </c>
      <c r="B1221" s="1" t="s">
        <v>1159</v>
      </c>
      <c r="C1221" s="2" t="s">
        <v>69</v>
      </c>
      <c r="D1221" s="1" t="s">
        <v>70</v>
      </c>
    </row>
    <row r="1222">
      <c r="A1222" s="2" t="s">
        <v>1154</v>
      </c>
      <c r="B1222" s="1" t="s">
        <v>1155</v>
      </c>
      <c r="C1222" s="2" t="s">
        <v>41</v>
      </c>
      <c r="D1222" s="1" t="s">
        <v>42</v>
      </c>
    </row>
    <row r="1223">
      <c r="A1223" s="2" t="s">
        <v>1154</v>
      </c>
      <c r="B1223" s="1" t="s">
        <v>1155</v>
      </c>
      <c r="C1223" s="2" t="s">
        <v>43</v>
      </c>
      <c r="D1223" s="1" t="s">
        <v>44</v>
      </c>
    </row>
    <row r="1224">
      <c r="A1224" s="2" t="s">
        <v>1160</v>
      </c>
      <c r="B1224" s="1" t="s">
        <v>1161</v>
      </c>
      <c r="C1224" s="2" t="s">
        <v>288</v>
      </c>
      <c r="D1224" s="1" t="s">
        <v>289</v>
      </c>
    </row>
    <row r="1225">
      <c r="A1225" s="2" t="s">
        <v>1162</v>
      </c>
      <c r="B1225" s="1" t="s">
        <v>1163</v>
      </c>
      <c r="C1225" s="2" t="s">
        <v>41</v>
      </c>
      <c r="D1225" s="1" t="s">
        <v>42</v>
      </c>
    </row>
    <row r="1226">
      <c r="A1226" s="2" t="s">
        <v>1152</v>
      </c>
      <c r="B1226" s="1" t="s">
        <v>1153</v>
      </c>
      <c r="C1226" s="2" t="s">
        <v>49</v>
      </c>
      <c r="D1226" s="1" t="s">
        <v>50</v>
      </c>
    </row>
    <row r="1227">
      <c r="A1227" s="2" t="s">
        <v>1150</v>
      </c>
      <c r="B1227" s="1" t="s">
        <v>1151</v>
      </c>
      <c r="C1227" s="2" t="s">
        <v>41</v>
      </c>
      <c r="D1227" s="1" t="s">
        <v>42</v>
      </c>
    </row>
    <row r="1228">
      <c r="A1228" s="2" t="s">
        <v>1160</v>
      </c>
      <c r="B1228" s="1" t="s">
        <v>1161</v>
      </c>
      <c r="C1228" s="2" t="s">
        <v>43</v>
      </c>
      <c r="D1228" s="1" t="s">
        <v>44</v>
      </c>
    </row>
    <row r="1229">
      <c r="A1229" s="2" t="s">
        <v>1140</v>
      </c>
      <c r="B1229" s="1" t="s">
        <v>1141</v>
      </c>
      <c r="C1229" s="2" t="s">
        <v>69</v>
      </c>
      <c r="D1229" s="1" t="s">
        <v>70</v>
      </c>
    </row>
    <row r="1230">
      <c r="A1230" s="2" t="s">
        <v>1162</v>
      </c>
      <c r="B1230" s="1" t="s">
        <v>1163</v>
      </c>
      <c r="C1230" s="2" t="s">
        <v>43</v>
      </c>
      <c r="D1230" s="1" t="s">
        <v>44</v>
      </c>
    </row>
    <row r="1231">
      <c r="A1231" s="2" t="s">
        <v>1150</v>
      </c>
      <c r="B1231" s="1" t="s">
        <v>1151</v>
      </c>
      <c r="C1231" s="2" t="s">
        <v>133</v>
      </c>
      <c r="D1231" s="1" t="s">
        <v>134</v>
      </c>
    </row>
    <row r="1232">
      <c r="A1232" s="2" t="s">
        <v>1150</v>
      </c>
      <c r="B1232" s="1" t="s">
        <v>1151</v>
      </c>
      <c r="C1232" s="2" t="s">
        <v>43</v>
      </c>
      <c r="D1232" s="1" t="s">
        <v>44</v>
      </c>
    </row>
    <row r="1233">
      <c r="A1233" s="2" t="s">
        <v>1148</v>
      </c>
      <c r="B1233" s="1" t="s">
        <v>1149</v>
      </c>
      <c r="C1233" s="2" t="s">
        <v>41</v>
      </c>
      <c r="D1233" s="1" t="s">
        <v>42</v>
      </c>
    </row>
    <row r="1234">
      <c r="A1234" s="2" t="s">
        <v>1142</v>
      </c>
      <c r="B1234" s="1" t="s">
        <v>1143</v>
      </c>
      <c r="C1234" s="2" t="s">
        <v>90</v>
      </c>
      <c r="D1234" s="1" t="s">
        <v>91</v>
      </c>
    </row>
    <row r="1235">
      <c r="A1235" s="2" t="s">
        <v>1148</v>
      </c>
      <c r="B1235" s="1" t="s">
        <v>1149</v>
      </c>
      <c r="C1235" s="2" t="s">
        <v>77</v>
      </c>
      <c r="D1235" s="1" t="s">
        <v>78</v>
      </c>
    </row>
    <row r="1236">
      <c r="A1236" s="2" t="s">
        <v>1164</v>
      </c>
      <c r="B1236" s="1" t="s">
        <v>1165</v>
      </c>
      <c r="C1236" s="2" t="s">
        <v>43</v>
      </c>
      <c r="D1236" s="1" t="s">
        <v>44</v>
      </c>
    </row>
    <row r="1237">
      <c r="A1237" s="2" t="s">
        <v>1148</v>
      </c>
      <c r="B1237" s="1" t="s">
        <v>1149</v>
      </c>
      <c r="C1237" s="2" t="s">
        <v>43</v>
      </c>
      <c r="D1237" s="1" t="s">
        <v>44</v>
      </c>
    </row>
    <row r="1238">
      <c r="A1238" s="2" t="s">
        <v>1166</v>
      </c>
      <c r="B1238" s="1" t="s">
        <v>1167</v>
      </c>
      <c r="C1238" s="2" t="s">
        <v>41</v>
      </c>
      <c r="D1238" s="1" t="s">
        <v>42</v>
      </c>
    </row>
    <row r="1239">
      <c r="A1239" s="2" t="s">
        <v>1146</v>
      </c>
      <c r="B1239" s="1" t="s">
        <v>1147</v>
      </c>
      <c r="C1239" s="2" t="s">
        <v>43</v>
      </c>
      <c r="D1239" s="1" t="s">
        <v>44</v>
      </c>
    </row>
    <row r="1240">
      <c r="A1240" s="2" t="s">
        <v>1168</v>
      </c>
      <c r="B1240" s="1" t="s">
        <v>1169</v>
      </c>
      <c r="C1240" s="2" t="s">
        <v>216</v>
      </c>
      <c r="D1240" s="1" t="s">
        <v>217</v>
      </c>
    </row>
    <row r="1241">
      <c r="A1241" s="2" t="s">
        <v>1160</v>
      </c>
      <c r="B1241" s="1" t="s">
        <v>1161</v>
      </c>
      <c r="C1241" s="2" t="s">
        <v>49</v>
      </c>
      <c r="D1241" s="1" t="s">
        <v>50</v>
      </c>
    </row>
    <row r="1242">
      <c r="A1242" s="2" t="s">
        <v>1166</v>
      </c>
      <c r="B1242" s="1" t="s">
        <v>1167</v>
      </c>
      <c r="C1242" s="2" t="s">
        <v>43</v>
      </c>
      <c r="D1242" s="1" t="s">
        <v>44</v>
      </c>
    </row>
    <row r="1243">
      <c r="A1243" s="2" t="s">
        <v>1162</v>
      </c>
      <c r="B1243" s="1" t="s">
        <v>1163</v>
      </c>
      <c r="C1243" s="2" t="s">
        <v>49</v>
      </c>
      <c r="D1243" s="1" t="s">
        <v>50</v>
      </c>
    </row>
    <row r="1244">
      <c r="A1244" s="2" t="s">
        <v>1150</v>
      </c>
      <c r="B1244" s="1" t="s">
        <v>1151</v>
      </c>
      <c r="C1244" s="2" t="s">
        <v>49</v>
      </c>
      <c r="D1244" s="1" t="s">
        <v>50</v>
      </c>
    </row>
    <row r="1245">
      <c r="A1245" s="2" t="s">
        <v>1164</v>
      </c>
      <c r="B1245" s="1" t="s">
        <v>1165</v>
      </c>
      <c r="C1245" s="2" t="s">
        <v>49</v>
      </c>
      <c r="D1245" s="1" t="s">
        <v>50</v>
      </c>
    </row>
    <row r="1246">
      <c r="A1246" s="2" t="s">
        <v>1148</v>
      </c>
      <c r="B1246" s="1" t="s">
        <v>1149</v>
      </c>
      <c r="C1246" s="2" t="s">
        <v>49</v>
      </c>
      <c r="D1246" s="1" t="s">
        <v>50</v>
      </c>
    </row>
    <row r="1247">
      <c r="A1247" s="2" t="s">
        <v>1132</v>
      </c>
      <c r="B1247" s="1" t="s">
        <v>1133</v>
      </c>
      <c r="C1247" s="2" t="s">
        <v>221</v>
      </c>
      <c r="D1247" s="1" t="s">
        <v>222</v>
      </c>
    </row>
    <row r="1248">
      <c r="A1248" s="2" t="s">
        <v>1166</v>
      </c>
      <c r="B1248" s="1" t="s">
        <v>1167</v>
      </c>
      <c r="C1248" s="2" t="s">
        <v>49</v>
      </c>
      <c r="D1248" s="1" t="s">
        <v>50</v>
      </c>
    </row>
    <row r="1249">
      <c r="A1249" s="2" t="s">
        <v>1128</v>
      </c>
      <c r="B1249" s="1" t="s">
        <v>1129</v>
      </c>
      <c r="C1249" s="2" t="s">
        <v>1170</v>
      </c>
      <c r="D1249" s="1" t="s">
        <v>1171</v>
      </c>
    </row>
    <row r="1250">
      <c r="A1250" s="2" t="s">
        <v>1136</v>
      </c>
      <c r="B1250" s="1" t="s">
        <v>1137</v>
      </c>
      <c r="C1250" s="2" t="s">
        <v>221</v>
      </c>
      <c r="D1250" s="1" t="s">
        <v>222</v>
      </c>
    </row>
    <row r="1251">
      <c r="A1251" s="2" t="s">
        <v>1138</v>
      </c>
      <c r="B1251" s="1" t="s">
        <v>1139</v>
      </c>
      <c r="C1251" s="2" t="s">
        <v>221</v>
      </c>
      <c r="D1251" s="1" t="s">
        <v>222</v>
      </c>
    </row>
    <row r="1252">
      <c r="A1252" s="2" t="s">
        <v>1148</v>
      </c>
      <c r="B1252" s="1" t="s">
        <v>1149</v>
      </c>
      <c r="C1252" s="2" t="s">
        <v>209</v>
      </c>
      <c r="D1252" s="1" t="s">
        <v>210</v>
      </c>
    </row>
    <row r="1253">
      <c r="A1253" s="2" t="s">
        <v>1152</v>
      </c>
      <c r="B1253" s="1" t="s">
        <v>1153</v>
      </c>
      <c r="C1253" s="2" t="s">
        <v>508</v>
      </c>
      <c r="D1253" s="1" t="s">
        <v>509</v>
      </c>
    </row>
    <row r="1254">
      <c r="A1254" s="2" t="s">
        <v>1172</v>
      </c>
      <c r="B1254" s="1" t="s">
        <v>1173</v>
      </c>
      <c r="C1254" s="2" t="s">
        <v>53</v>
      </c>
      <c r="D1254" s="1" t="s">
        <v>54</v>
      </c>
    </row>
    <row r="1255">
      <c r="A1255" s="2" t="s">
        <v>1154</v>
      </c>
      <c r="B1255" s="1" t="s">
        <v>1155</v>
      </c>
      <c r="C1255" s="2" t="s">
        <v>69</v>
      </c>
      <c r="D1255" s="1" t="s">
        <v>70</v>
      </c>
    </row>
    <row r="1256">
      <c r="A1256" s="2" t="s">
        <v>1160</v>
      </c>
      <c r="B1256" s="1" t="s">
        <v>1161</v>
      </c>
      <c r="C1256" s="2" t="s">
        <v>69</v>
      </c>
      <c r="D1256" s="1" t="s">
        <v>70</v>
      </c>
    </row>
    <row r="1257">
      <c r="A1257" s="2" t="s">
        <v>1164</v>
      </c>
      <c r="B1257" s="1" t="s">
        <v>1165</v>
      </c>
      <c r="C1257" s="2" t="s">
        <v>69</v>
      </c>
      <c r="D1257" s="1" t="s">
        <v>70</v>
      </c>
    </row>
    <row r="1258">
      <c r="A1258" s="2" t="s">
        <v>1146</v>
      </c>
      <c r="B1258" s="1" t="s">
        <v>1147</v>
      </c>
      <c r="C1258" s="2" t="s">
        <v>69</v>
      </c>
      <c r="D1258" s="1" t="s">
        <v>70</v>
      </c>
    </row>
    <row r="1259">
      <c r="A1259" s="2" t="s">
        <v>1168</v>
      </c>
      <c r="B1259" s="1" t="s">
        <v>1169</v>
      </c>
      <c r="C1259" s="2" t="s">
        <v>69</v>
      </c>
      <c r="D1259" s="1" t="s">
        <v>70</v>
      </c>
    </row>
    <row r="1260">
      <c r="A1260" s="2" t="s">
        <v>1166</v>
      </c>
      <c r="B1260" s="1" t="s">
        <v>1167</v>
      </c>
      <c r="C1260" s="2" t="s">
        <v>69</v>
      </c>
      <c r="D1260" s="1" t="s">
        <v>70</v>
      </c>
    </row>
    <row r="1261">
      <c r="A1261" s="2" t="s">
        <v>1148</v>
      </c>
      <c r="B1261" s="1" t="s">
        <v>1149</v>
      </c>
      <c r="C1261" s="2" t="s">
        <v>296</v>
      </c>
      <c r="D1261" s="1" t="s">
        <v>297</v>
      </c>
    </row>
    <row r="1262">
      <c r="A1262" s="2" t="s">
        <v>1164</v>
      </c>
      <c r="B1262" s="1" t="s">
        <v>1165</v>
      </c>
      <c r="C1262" s="2" t="s">
        <v>647</v>
      </c>
      <c r="D1262" s="1" t="s">
        <v>648</v>
      </c>
    </row>
    <row r="1263">
      <c r="A1263" s="2" t="s">
        <v>1152</v>
      </c>
      <c r="B1263" s="1" t="s">
        <v>1153</v>
      </c>
      <c r="C1263" s="2" t="s">
        <v>221</v>
      </c>
      <c r="D1263" s="1" t="s">
        <v>222</v>
      </c>
    </row>
    <row r="1264">
      <c r="A1264" s="2" t="s">
        <v>1172</v>
      </c>
      <c r="B1264" s="1" t="s">
        <v>1173</v>
      </c>
      <c r="C1264" s="2" t="s">
        <v>41</v>
      </c>
      <c r="D1264" s="1" t="s">
        <v>42</v>
      </c>
    </row>
    <row r="1265">
      <c r="A1265" s="2" t="s">
        <v>1172</v>
      </c>
      <c r="B1265" s="1" t="s">
        <v>1173</v>
      </c>
      <c r="C1265" s="2" t="s">
        <v>84</v>
      </c>
      <c r="D1265" s="1" t="s">
        <v>85</v>
      </c>
    </row>
    <row r="1266">
      <c r="A1266" s="2" t="s">
        <v>1172</v>
      </c>
      <c r="B1266" s="1" t="s">
        <v>1173</v>
      </c>
      <c r="C1266" s="2" t="s">
        <v>43</v>
      </c>
      <c r="D1266" s="1" t="s">
        <v>44</v>
      </c>
    </row>
    <row r="1267">
      <c r="A1267" s="2" t="s">
        <v>1174</v>
      </c>
      <c r="B1267" s="1" t="s">
        <v>1175</v>
      </c>
      <c r="C1267" s="2" t="s">
        <v>221</v>
      </c>
      <c r="D1267" s="1" t="s">
        <v>222</v>
      </c>
    </row>
    <row r="1268">
      <c r="A1268" s="2" t="s">
        <v>1172</v>
      </c>
      <c r="B1268" s="1" t="s">
        <v>1173</v>
      </c>
      <c r="C1268" s="2" t="s">
        <v>49</v>
      </c>
      <c r="D1268" s="1" t="s">
        <v>50</v>
      </c>
    </row>
    <row r="1269">
      <c r="A1269" s="2" t="s">
        <v>1130</v>
      </c>
      <c r="B1269" s="1" t="s">
        <v>1131</v>
      </c>
      <c r="C1269" s="2" t="s">
        <v>118</v>
      </c>
      <c r="D1269" s="1" t="s">
        <v>119</v>
      </c>
    </row>
    <row r="1270">
      <c r="A1270" s="2" t="s">
        <v>1138</v>
      </c>
      <c r="B1270" s="1" t="s">
        <v>1139</v>
      </c>
      <c r="C1270" s="2" t="s">
        <v>118</v>
      </c>
      <c r="D1270" s="1" t="s">
        <v>119</v>
      </c>
    </row>
    <row r="1271">
      <c r="A1271" s="2" t="s">
        <v>1152</v>
      </c>
      <c r="B1271" s="1" t="s">
        <v>1153</v>
      </c>
      <c r="C1271" s="2" t="s">
        <v>1120</v>
      </c>
      <c r="D1271" s="1" t="s">
        <v>1121</v>
      </c>
    </row>
    <row r="1272">
      <c r="A1272" s="2" t="s">
        <v>1162</v>
      </c>
      <c r="B1272" s="1" t="s">
        <v>1163</v>
      </c>
      <c r="C1272" s="2" t="s">
        <v>578</v>
      </c>
      <c r="D1272" s="1" t="s">
        <v>579</v>
      </c>
    </row>
    <row r="1273">
      <c r="A1273" s="2" t="s">
        <v>1144</v>
      </c>
      <c r="B1273" s="1" t="s">
        <v>1145</v>
      </c>
      <c r="C1273" s="2" t="s">
        <v>118</v>
      </c>
      <c r="D1273" s="1" t="s">
        <v>119</v>
      </c>
    </row>
    <row r="1274">
      <c r="A1274" s="2" t="s">
        <v>1142</v>
      </c>
      <c r="B1274" s="1" t="s">
        <v>1143</v>
      </c>
      <c r="C1274" s="2" t="s">
        <v>118</v>
      </c>
      <c r="D1274" s="1" t="s">
        <v>119</v>
      </c>
    </row>
    <row r="1275">
      <c r="A1275" s="2" t="s">
        <v>1144</v>
      </c>
      <c r="B1275" s="1" t="s">
        <v>1145</v>
      </c>
      <c r="C1275" s="2" t="s">
        <v>143</v>
      </c>
      <c r="D1275" s="1" t="s">
        <v>144</v>
      </c>
    </row>
    <row r="1276">
      <c r="A1276" s="2" t="s">
        <v>1176</v>
      </c>
      <c r="B1276" s="1" t="s">
        <v>1177</v>
      </c>
      <c r="C1276" s="2" t="s">
        <v>216</v>
      </c>
      <c r="D1276" s="1" t="s">
        <v>217</v>
      </c>
    </row>
    <row r="1277">
      <c r="A1277" s="2" t="s">
        <v>1148</v>
      </c>
      <c r="B1277" s="1" t="s">
        <v>1149</v>
      </c>
      <c r="C1277" s="2" t="s">
        <v>22</v>
      </c>
      <c r="D1277" s="1" t="s">
        <v>23</v>
      </c>
    </row>
    <row r="1278">
      <c r="A1278" s="2" t="s">
        <v>1168</v>
      </c>
      <c r="B1278" s="1" t="s">
        <v>1169</v>
      </c>
      <c r="C1278" s="2" t="s">
        <v>118</v>
      </c>
      <c r="D1278" s="1" t="s">
        <v>119</v>
      </c>
    </row>
    <row r="1279">
      <c r="A1279" s="2" t="s">
        <v>1146</v>
      </c>
      <c r="B1279" s="1" t="s">
        <v>1147</v>
      </c>
      <c r="C1279" s="2" t="s">
        <v>143</v>
      </c>
      <c r="D1279" s="1" t="s">
        <v>144</v>
      </c>
    </row>
    <row r="1280">
      <c r="A1280" s="2" t="s">
        <v>1178</v>
      </c>
      <c r="B1280" s="1" t="s">
        <v>1179</v>
      </c>
    </row>
    <row r="1281">
      <c r="A1281" s="2" t="s">
        <v>1180</v>
      </c>
      <c r="B1281" s="1" t="s">
        <v>1181</v>
      </c>
    </row>
    <row r="1282">
      <c r="A1282" s="2" t="s">
        <v>1182</v>
      </c>
      <c r="B1282" s="1" t="s">
        <v>1183</v>
      </c>
    </row>
    <row r="1283">
      <c r="A1283" s="2" t="s">
        <v>1184</v>
      </c>
      <c r="B1283" s="1" t="s">
        <v>1185</v>
      </c>
    </row>
    <row r="1284">
      <c r="A1284" s="2" t="s">
        <v>1186</v>
      </c>
      <c r="B1284" s="1" t="s">
        <v>1187</v>
      </c>
    </row>
    <row r="1285">
      <c r="A1285" s="2" t="s">
        <v>1188</v>
      </c>
      <c r="B1285" s="1" t="s">
        <v>1189</v>
      </c>
    </row>
    <row r="1286">
      <c r="A1286" s="2" t="s">
        <v>1190</v>
      </c>
      <c r="B1286" s="1" t="s">
        <v>1191</v>
      </c>
      <c r="C1286" s="2" t="s">
        <v>703</v>
      </c>
      <c r="D1286" s="1" t="s">
        <v>704</v>
      </c>
    </row>
    <row r="1287">
      <c r="A1287" s="2" t="s">
        <v>1192</v>
      </c>
      <c r="B1287" s="1" t="s">
        <v>1193</v>
      </c>
      <c r="C1287" s="2" t="s">
        <v>594</v>
      </c>
      <c r="D1287" s="1" t="s">
        <v>595</v>
      </c>
    </row>
    <row r="1288">
      <c r="A1288" s="2" t="s">
        <v>1194</v>
      </c>
      <c r="B1288" s="1" t="s">
        <v>1195</v>
      </c>
      <c r="C1288" s="2" t="s">
        <v>118</v>
      </c>
      <c r="D1288" s="1" t="s">
        <v>119</v>
      </c>
    </row>
    <row r="1289">
      <c r="A1289" s="2" t="s">
        <v>1196</v>
      </c>
      <c r="B1289" s="1" t="s">
        <v>1197</v>
      </c>
      <c r="C1289" s="2" t="s">
        <v>12</v>
      </c>
      <c r="D1289" s="1" t="s">
        <v>13</v>
      </c>
    </row>
    <row r="1290">
      <c r="A1290" s="2" t="s">
        <v>1196</v>
      </c>
      <c r="B1290" s="1" t="s">
        <v>1197</v>
      </c>
      <c r="C1290" s="2" t="s">
        <v>522</v>
      </c>
      <c r="D1290" s="1" t="s">
        <v>523</v>
      </c>
    </row>
    <row r="1291">
      <c r="A1291" s="2" t="s">
        <v>1198</v>
      </c>
      <c r="B1291" s="1" t="s">
        <v>1199</v>
      </c>
      <c r="C1291" s="2" t="s">
        <v>41</v>
      </c>
      <c r="D1291" s="1" t="s">
        <v>42</v>
      </c>
    </row>
    <row r="1292">
      <c r="A1292" s="2" t="s">
        <v>1200</v>
      </c>
      <c r="B1292" s="1" t="s">
        <v>1201</v>
      </c>
      <c r="C1292" s="2" t="s">
        <v>319</v>
      </c>
      <c r="D1292" s="1" t="s">
        <v>320</v>
      </c>
    </row>
    <row r="1293">
      <c r="A1293" s="2" t="s">
        <v>1198</v>
      </c>
      <c r="B1293" s="1" t="s">
        <v>1199</v>
      </c>
      <c r="C1293" s="2" t="s">
        <v>43</v>
      </c>
      <c r="D1293" s="1" t="s">
        <v>44</v>
      </c>
    </row>
    <row r="1294">
      <c r="A1294" s="2" t="s">
        <v>1202</v>
      </c>
      <c r="B1294" s="1" t="s">
        <v>1203</v>
      </c>
      <c r="C1294" s="2" t="s">
        <v>743</v>
      </c>
      <c r="D1294" s="1" t="s">
        <v>744</v>
      </c>
    </row>
    <row r="1295">
      <c r="A1295" s="2" t="s">
        <v>1190</v>
      </c>
      <c r="B1295" s="1" t="s">
        <v>1191</v>
      </c>
      <c r="C1295" s="2" t="s">
        <v>522</v>
      </c>
      <c r="D1295" s="1" t="s">
        <v>523</v>
      </c>
    </row>
    <row r="1296">
      <c r="A1296" s="2" t="s">
        <v>1204</v>
      </c>
      <c r="B1296" s="1" t="s">
        <v>1205</v>
      </c>
      <c r="C1296" s="2" t="s">
        <v>490</v>
      </c>
      <c r="D1296" s="1" t="s">
        <v>491</v>
      </c>
    </row>
    <row r="1297">
      <c r="A1297" s="2" t="s">
        <v>1206</v>
      </c>
      <c r="B1297" s="1" t="s">
        <v>1207</v>
      </c>
      <c r="C1297" s="2" t="s">
        <v>43</v>
      </c>
      <c r="D1297" s="1" t="s">
        <v>44</v>
      </c>
    </row>
    <row r="1298">
      <c r="A1298" s="2" t="s">
        <v>1208</v>
      </c>
      <c r="B1298" s="1" t="s">
        <v>1209</v>
      </c>
      <c r="C1298" s="2" t="s">
        <v>202</v>
      </c>
      <c r="D1298" s="1" t="s">
        <v>203</v>
      </c>
    </row>
    <row r="1299">
      <c r="A1299" s="2" t="s">
        <v>1210</v>
      </c>
      <c r="B1299" s="1" t="s">
        <v>1211</v>
      </c>
      <c r="C1299" s="2" t="s">
        <v>151</v>
      </c>
      <c r="D1299" s="1" t="s">
        <v>152</v>
      </c>
    </row>
    <row r="1300">
      <c r="A1300" s="2" t="s">
        <v>1190</v>
      </c>
      <c r="B1300" s="1" t="s">
        <v>1191</v>
      </c>
      <c r="C1300" s="2" t="s">
        <v>1212</v>
      </c>
      <c r="D1300" s="1" t="s">
        <v>1213</v>
      </c>
    </row>
    <row r="1301">
      <c r="A1301" s="2" t="s">
        <v>1214</v>
      </c>
      <c r="B1301" s="1" t="s">
        <v>1215</v>
      </c>
      <c r="C1301" s="2" t="s">
        <v>1097</v>
      </c>
      <c r="D1301" s="1" t="s">
        <v>1098</v>
      </c>
    </row>
    <row r="1302">
      <c r="A1302" s="2" t="s">
        <v>1190</v>
      </c>
      <c r="B1302" s="1" t="s">
        <v>1191</v>
      </c>
      <c r="C1302" s="2" t="s">
        <v>743</v>
      </c>
      <c r="D1302" s="1" t="s">
        <v>744</v>
      </c>
    </row>
    <row r="1303">
      <c r="A1303" s="2" t="s">
        <v>1216</v>
      </c>
      <c r="B1303" s="1" t="s">
        <v>1217</v>
      </c>
      <c r="E1303" s="2" t="s">
        <v>1218</v>
      </c>
    </row>
    <row r="1304">
      <c r="A1304" s="2" t="s">
        <v>1219</v>
      </c>
      <c r="B1304" s="1" t="s">
        <v>1220</v>
      </c>
      <c r="C1304" s="2" t="s">
        <v>41</v>
      </c>
      <c r="D1304" s="1" t="s">
        <v>42</v>
      </c>
    </row>
    <row r="1305">
      <c r="A1305" s="2" t="s">
        <v>1219</v>
      </c>
      <c r="B1305" s="1" t="s">
        <v>1220</v>
      </c>
      <c r="C1305" s="2" t="s">
        <v>288</v>
      </c>
      <c r="D1305" s="1" t="s">
        <v>289</v>
      </c>
    </row>
    <row r="1306">
      <c r="A1306" s="2" t="s">
        <v>1198</v>
      </c>
      <c r="B1306" s="1" t="s">
        <v>1199</v>
      </c>
      <c r="C1306" s="2" t="s">
        <v>92</v>
      </c>
      <c r="D1306" s="1" t="s">
        <v>93</v>
      </c>
    </row>
    <row r="1307">
      <c r="A1307" s="2" t="s">
        <v>1219</v>
      </c>
      <c r="B1307" s="1" t="s">
        <v>1220</v>
      </c>
      <c r="C1307" s="2" t="s">
        <v>43</v>
      </c>
      <c r="D1307" s="1" t="s">
        <v>44</v>
      </c>
    </row>
    <row r="1308">
      <c r="A1308" s="2" t="s">
        <v>1208</v>
      </c>
      <c r="B1308" s="1" t="s">
        <v>1209</v>
      </c>
      <c r="C1308" s="2" t="s">
        <v>41</v>
      </c>
      <c r="D1308" s="1" t="s">
        <v>42</v>
      </c>
    </row>
    <row r="1309">
      <c r="A1309" s="2" t="s">
        <v>1221</v>
      </c>
      <c r="B1309" s="1" t="s">
        <v>1222</v>
      </c>
      <c r="C1309" s="2" t="s">
        <v>1223</v>
      </c>
      <c r="D1309" s="1" t="s">
        <v>1224</v>
      </c>
    </row>
    <row r="1310">
      <c r="A1310" s="2" t="s">
        <v>1208</v>
      </c>
      <c r="B1310" s="1" t="s">
        <v>1209</v>
      </c>
      <c r="C1310" s="2" t="s">
        <v>43</v>
      </c>
      <c r="D1310" s="1" t="s">
        <v>44</v>
      </c>
    </row>
    <row r="1311">
      <c r="A1311" s="2" t="s">
        <v>1219</v>
      </c>
      <c r="B1311" s="1" t="s">
        <v>1220</v>
      </c>
      <c r="C1311" s="2" t="s">
        <v>49</v>
      </c>
      <c r="D1311" s="1" t="s">
        <v>50</v>
      </c>
    </row>
    <row r="1312">
      <c r="A1312" s="2" t="s">
        <v>1225</v>
      </c>
      <c r="B1312" s="1" t="s">
        <v>1226</v>
      </c>
      <c r="C1312" s="2" t="s">
        <v>341</v>
      </c>
      <c r="D1312" s="1" t="s">
        <v>342</v>
      </c>
    </row>
    <row r="1313">
      <c r="A1313" s="2" t="s">
        <v>1198</v>
      </c>
      <c r="B1313" s="1" t="s">
        <v>1199</v>
      </c>
      <c r="C1313" s="2" t="s">
        <v>69</v>
      </c>
      <c r="D1313" s="1" t="s">
        <v>70</v>
      </c>
    </row>
    <row r="1314">
      <c r="A1314" s="2" t="s">
        <v>1206</v>
      </c>
      <c r="B1314" s="1" t="s">
        <v>1207</v>
      </c>
      <c r="C1314" s="2" t="s">
        <v>306</v>
      </c>
      <c r="D1314" s="1" t="s">
        <v>307</v>
      </c>
    </row>
    <row r="1315">
      <c r="A1315" s="2" t="s">
        <v>1227</v>
      </c>
      <c r="B1315" s="1" t="s">
        <v>1228</v>
      </c>
      <c r="C1315" s="2" t="s">
        <v>151</v>
      </c>
      <c r="D1315" s="1" t="s">
        <v>152</v>
      </c>
    </row>
    <row r="1316">
      <c r="A1316" s="2" t="s">
        <v>1229</v>
      </c>
      <c r="B1316" s="1" t="s">
        <v>1230</v>
      </c>
      <c r="C1316" s="2" t="s">
        <v>636</v>
      </c>
      <c r="D1316" s="1" t="s">
        <v>637</v>
      </c>
    </row>
    <row r="1317">
      <c r="A1317" s="2" t="s">
        <v>1231</v>
      </c>
      <c r="B1317" s="1" t="s">
        <v>1232</v>
      </c>
      <c r="C1317" s="2" t="s">
        <v>421</v>
      </c>
      <c r="D1317" s="1" t="s">
        <v>422</v>
      </c>
    </row>
    <row r="1318">
      <c r="A1318" s="2" t="s">
        <v>1231</v>
      </c>
      <c r="B1318" s="1" t="s">
        <v>1232</v>
      </c>
      <c r="C1318" s="2" t="s">
        <v>1233</v>
      </c>
      <c r="D1318" s="1" t="s">
        <v>1234</v>
      </c>
    </row>
    <row r="1319">
      <c r="A1319" s="2" t="s">
        <v>1231</v>
      </c>
      <c r="B1319" s="1" t="s">
        <v>1232</v>
      </c>
      <c r="C1319" s="2" t="s">
        <v>43</v>
      </c>
      <c r="D1319" s="1" t="s">
        <v>44</v>
      </c>
    </row>
    <row r="1320">
      <c r="A1320" s="2" t="s">
        <v>1231</v>
      </c>
      <c r="B1320" s="1" t="s">
        <v>1232</v>
      </c>
      <c r="C1320" s="2" t="s">
        <v>1235</v>
      </c>
      <c r="D1320" s="1" t="s">
        <v>1236</v>
      </c>
    </row>
    <row r="1321">
      <c r="A1321" s="2" t="s">
        <v>1206</v>
      </c>
      <c r="B1321" s="1" t="s">
        <v>1207</v>
      </c>
      <c r="C1321" s="2" t="s">
        <v>1237</v>
      </c>
      <c r="D1321" s="1" t="s">
        <v>1238</v>
      </c>
    </row>
    <row r="1322">
      <c r="A1322" s="2" t="s">
        <v>1239</v>
      </c>
      <c r="B1322" s="1" t="s">
        <v>1240</v>
      </c>
      <c r="C1322" s="2" t="s">
        <v>604</v>
      </c>
      <c r="D1322" s="1" t="s">
        <v>605</v>
      </c>
    </row>
    <row r="1323">
      <c r="A1323" s="2" t="s">
        <v>1241</v>
      </c>
      <c r="B1323" s="1" t="s">
        <v>1242</v>
      </c>
      <c r="C1323" s="2" t="s">
        <v>604</v>
      </c>
      <c r="D1323" s="1" t="s">
        <v>605</v>
      </c>
    </row>
    <row r="1324">
      <c r="A1324" s="2" t="s">
        <v>1229</v>
      </c>
      <c r="B1324" s="1" t="s">
        <v>1230</v>
      </c>
      <c r="C1324" s="2" t="s">
        <v>1243</v>
      </c>
      <c r="D1324" s="1" t="s">
        <v>1244</v>
      </c>
    </row>
    <row r="1325">
      <c r="A1325" s="2" t="s">
        <v>1239</v>
      </c>
      <c r="B1325" s="1" t="s">
        <v>1240</v>
      </c>
      <c r="C1325" s="2" t="s">
        <v>306</v>
      </c>
      <c r="D1325" s="1" t="s">
        <v>307</v>
      </c>
    </row>
    <row r="1326">
      <c r="A1326" s="2" t="s">
        <v>1245</v>
      </c>
      <c r="B1326" s="1" t="s">
        <v>1246</v>
      </c>
      <c r="C1326" s="2" t="s">
        <v>1247</v>
      </c>
      <c r="D1326" s="1" t="s">
        <v>1248</v>
      </c>
    </row>
    <row r="1327">
      <c r="A1327" s="2" t="s">
        <v>1249</v>
      </c>
      <c r="B1327" s="1" t="s">
        <v>1250</v>
      </c>
      <c r="C1327" s="2" t="s">
        <v>604</v>
      </c>
      <c r="D1327" s="1" t="s">
        <v>605</v>
      </c>
    </row>
    <row r="1328">
      <c r="A1328" s="2" t="s">
        <v>1251</v>
      </c>
      <c r="B1328" s="1" t="s">
        <v>1252</v>
      </c>
      <c r="C1328" s="2" t="s">
        <v>490</v>
      </c>
      <c r="D1328" s="1" t="s">
        <v>491</v>
      </c>
    </row>
    <row r="1329">
      <c r="A1329" s="2" t="s">
        <v>1253</v>
      </c>
      <c r="B1329" s="1" t="s">
        <v>1254</v>
      </c>
      <c r="C1329" s="2" t="s">
        <v>604</v>
      </c>
      <c r="D1329" s="1" t="s">
        <v>605</v>
      </c>
    </row>
    <row r="1330">
      <c r="A1330" s="2" t="s">
        <v>1255</v>
      </c>
      <c r="B1330" s="1" t="s">
        <v>1256</v>
      </c>
      <c r="C1330" s="2" t="s">
        <v>341</v>
      </c>
      <c r="D1330" s="1" t="s">
        <v>342</v>
      </c>
    </row>
    <row r="1331">
      <c r="A1331" s="2" t="s">
        <v>1257</v>
      </c>
      <c r="B1331" s="1" t="s">
        <v>1258</v>
      </c>
      <c r="C1331" s="2" t="s">
        <v>341</v>
      </c>
      <c r="D1331" s="1" t="s">
        <v>342</v>
      </c>
    </row>
    <row r="1332">
      <c r="A1332" s="2" t="s">
        <v>1249</v>
      </c>
      <c r="B1332" s="1" t="s">
        <v>1250</v>
      </c>
      <c r="C1332" s="2" t="s">
        <v>306</v>
      </c>
      <c r="D1332" s="1" t="s">
        <v>307</v>
      </c>
    </row>
    <row r="1333">
      <c r="A1333" s="2" t="s">
        <v>1259</v>
      </c>
      <c r="B1333" s="1" t="s">
        <v>1260</v>
      </c>
      <c r="C1333" s="2" t="s">
        <v>405</v>
      </c>
      <c r="D1333" s="1" t="s">
        <v>406</v>
      </c>
    </row>
    <row r="1334">
      <c r="A1334" s="2" t="s">
        <v>1261</v>
      </c>
      <c r="B1334" s="1" t="s">
        <v>1262</v>
      </c>
      <c r="C1334" s="2" t="s">
        <v>739</v>
      </c>
      <c r="D1334" s="1" t="s">
        <v>740</v>
      </c>
    </row>
    <row r="1335">
      <c r="A1335" s="2" t="s">
        <v>1259</v>
      </c>
      <c r="B1335" s="1" t="s">
        <v>1260</v>
      </c>
      <c r="C1335" s="2" t="s">
        <v>139</v>
      </c>
      <c r="D1335" s="1" t="s">
        <v>140</v>
      </c>
    </row>
    <row r="1336">
      <c r="A1336" s="2" t="s">
        <v>1253</v>
      </c>
      <c r="B1336" s="1" t="s">
        <v>1254</v>
      </c>
      <c r="C1336" s="2" t="s">
        <v>306</v>
      </c>
      <c r="D1336" s="1" t="s">
        <v>307</v>
      </c>
    </row>
    <row r="1337">
      <c r="A1337" s="2" t="s">
        <v>1231</v>
      </c>
      <c r="B1337" s="1" t="s">
        <v>1232</v>
      </c>
      <c r="C1337" s="2" t="s">
        <v>69</v>
      </c>
      <c r="D1337" s="1" t="s">
        <v>70</v>
      </c>
    </row>
    <row r="1338">
      <c r="A1338" s="2" t="s">
        <v>1263</v>
      </c>
      <c r="B1338" s="1" t="s">
        <v>1264</v>
      </c>
      <c r="C1338" s="2" t="s">
        <v>520</v>
      </c>
      <c r="D1338" s="1" t="s">
        <v>521</v>
      </c>
    </row>
    <row r="1339">
      <c r="A1339" s="2" t="s">
        <v>1265</v>
      </c>
      <c r="B1339" s="1" t="s">
        <v>1266</v>
      </c>
      <c r="C1339" s="2" t="s">
        <v>43</v>
      </c>
      <c r="D1339" s="1" t="s">
        <v>44</v>
      </c>
    </row>
    <row r="1340">
      <c r="A1340" s="2" t="s">
        <v>1122</v>
      </c>
      <c r="B1340" s="1" t="s">
        <v>1123</v>
      </c>
      <c r="C1340" s="2" t="s">
        <v>49</v>
      </c>
      <c r="D1340" s="1" t="s">
        <v>50</v>
      </c>
    </row>
    <row r="1341">
      <c r="A1341" s="2" t="s">
        <v>1265</v>
      </c>
      <c r="B1341" s="1" t="s">
        <v>1266</v>
      </c>
      <c r="C1341" s="2" t="s">
        <v>49</v>
      </c>
      <c r="D1341" s="1" t="s">
        <v>50</v>
      </c>
    </row>
    <row r="1342">
      <c r="A1342" s="2" t="s">
        <v>1214</v>
      </c>
      <c r="B1342" s="1" t="s">
        <v>1215</v>
      </c>
      <c r="C1342" s="2" t="s">
        <v>1267</v>
      </c>
      <c r="D1342" s="1" t="s">
        <v>1268</v>
      </c>
    </row>
    <row r="1343">
      <c r="A1343" s="2" t="s">
        <v>1245</v>
      </c>
      <c r="B1343" s="1" t="s">
        <v>1246</v>
      </c>
      <c r="C1343" s="2" t="s">
        <v>1269</v>
      </c>
      <c r="D1343" s="1" t="s">
        <v>1270</v>
      </c>
    </row>
    <row r="1344">
      <c r="A1344" s="2" t="s">
        <v>1261</v>
      </c>
      <c r="B1344" s="1" t="s">
        <v>1262</v>
      </c>
      <c r="C1344" s="2" t="s">
        <v>1271</v>
      </c>
      <c r="D1344" s="1" t="s">
        <v>1272</v>
      </c>
    </row>
    <row r="1345">
      <c r="A1345" s="2" t="s">
        <v>1273</v>
      </c>
      <c r="B1345" s="1" t="s">
        <v>1274</v>
      </c>
      <c r="C1345" s="2" t="s">
        <v>673</v>
      </c>
      <c r="D1345" s="1" t="s">
        <v>674</v>
      </c>
    </row>
    <row r="1346">
      <c r="A1346" s="2" t="s">
        <v>1229</v>
      </c>
      <c r="B1346" s="1" t="s">
        <v>1230</v>
      </c>
      <c r="C1346" s="2" t="s">
        <v>1267</v>
      </c>
      <c r="D1346" s="1" t="s">
        <v>1268</v>
      </c>
    </row>
    <row r="1347">
      <c r="A1347" s="2" t="s">
        <v>1210</v>
      </c>
      <c r="B1347" s="1" t="s">
        <v>1211</v>
      </c>
      <c r="C1347" s="2" t="s">
        <v>604</v>
      </c>
      <c r="D1347" s="1" t="s">
        <v>605</v>
      </c>
    </row>
    <row r="1348">
      <c r="A1348" s="2" t="s">
        <v>1265</v>
      </c>
      <c r="B1348" s="1" t="s">
        <v>1266</v>
      </c>
      <c r="C1348" s="2" t="s">
        <v>92</v>
      </c>
      <c r="D1348" s="1" t="s">
        <v>93</v>
      </c>
    </row>
    <row r="1349">
      <c r="A1349" s="2" t="s">
        <v>1227</v>
      </c>
      <c r="B1349" s="1" t="s">
        <v>1228</v>
      </c>
      <c r="C1349" s="2" t="s">
        <v>133</v>
      </c>
      <c r="D1349" s="1" t="s">
        <v>134</v>
      </c>
    </row>
    <row r="1350">
      <c r="A1350" s="2" t="s">
        <v>1227</v>
      </c>
      <c r="B1350" s="1" t="s">
        <v>1228</v>
      </c>
      <c r="C1350" s="2" t="s">
        <v>43</v>
      </c>
      <c r="D1350" s="1" t="s">
        <v>44</v>
      </c>
    </row>
    <row r="1351">
      <c r="A1351" s="2" t="s">
        <v>1275</v>
      </c>
      <c r="B1351" s="1" t="s">
        <v>1276</v>
      </c>
    </row>
    <row r="1352">
      <c r="A1352" s="2" t="s">
        <v>1277</v>
      </c>
      <c r="B1352" s="1" t="s">
        <v>1278</v>
      </c>
    </row>
    <row r="1353">
      <c r="A1353" s="2" t="s">
        <v>1279</v>
      </c>
      <c r="B1353" s="1" t="s">
        <v>1280</v>
      </c>
    </row>
    <row r="1354">
      <c r="A1354" s="2" t="s">
        <v>1227</v>
      </c>
      <c r="B1354" s="1" t="s">
        <v>1228</v>
      </c>
      <c r="C1354" s="2" t="s">
        <v>49</v>
      </c>
      <c r="D1354" s="1" t="s">
        <v>50</v>
      </c>
    </row>
    <row r="1355">
      <c r="A1355" s="2" t="s">
        <v>1281</v>
      </c>
      <c r="B1355" s="1" t="s">
        <v>1282</v>
      </c>
    </row>
    <row r="1356">
      <c r="A1356" s="2" t="s">
        <v>1283</v>
      </c>
      <c r="B1356" s="1" t="s">
        <v>1284</v>
      </c>
    </row>
    <row r="1357">
      <c r="A1357" s="2" t="s">
        <v>1210</v>
      </c>
      <c r="B1357" s="1" t="s">
        <v>1211</v>
      </c>
      <c r="C1357" s="2" t="s">
        <v>306</v>
      </c>
      <c r="D1357" s="1" t="s">
        <v>307</v>
      </c>
    </row>
    <row r="1358">
      <c r="A1358" s="2" t="s">
        <v>1265</v>
      </c>
      <c r="B1358" s="1" t="s">
        <v>1266</v>
      </c>
      <c r="C1358" s="2" t="s">
        <v>69</v>
      </c>
      <c r="D1358" s="1" t="s">
        <v>70</v>
      </c>
    </row>
    <row r="1359">
      <c r="A1359" s="2" t="s">
        <v>1285</v>
      </c>
      <c r="B1359" s="1" t="s">
        <v>1286</v>
      </c>
      <c r="C1359" s="2" t="s">
        <v>604</v>
      </c>
      <c r="D1359" s="1" t="s">
        <v>605</v>
      </c>
    </row>
    <row r="1360">
      <c r="A1360" s="2" t="s">
        <v>1287</v>
      </c>
      <c r="B1360" s="1" t="s">
        <v>1288</v>
      </c>
    </row>
    <row r="1361">
      <c r="A1361" s="2" t="s">
        <v>1289</v>
      </c>
      <c r="B1361" s="1" t="s">
        <v>1290</v>
      </c>
      <c r="C1361" s="2" t="s">
        <v>49</v>
      </c>
      <c r="D1361" s="1" t="s">
        <v>50</v>
      </c>
    </row>
    <row r="1362">
      <c r="A1362" s="2" t="s">
        <v>1291</v>
      </c>
      <c r="B1362" s="1" t="s">
        <v>1292</v>
      </c>
      <c r="C1362" s="2" t="s">
        <v>311</v>
      </c>
      <c r="D1362" s="1" t="s">
        <v>312</v>
      </c>
    </row>
    <row r="1363">
      <c r="A1363" s="2" t="s">
        <v>1293</v>
      </c>
      <c r="B1363" s="1" t="s">
        <v>1294</v>
      </c>
      <c r="C1363" s="2" t="s">
        <v>221</v>
      </c>
      <c r="D1363" s="1" t="s">
        <v>222</v>
      </c>
    </row>
    <row r="1364">
      <c r="A1364" s="2" t="s">
        <v>1295</v>
      </c>
      <c r="B1364" s="1" t="s">
        <v>1296</v>
      </c>
      <c r="C1364" s="2" t="s">
        <v>25</v>
      </c>
      <c r="D1364" s="1" t="s">
        <v>26</v>
      </c>
    </row>
    <row r="1365">
      <c r="A1365" s="2" t="s">
        <v>1297</v>
      </c>
      <c r="B1365" s="1" t="s">
        <v>1298</v>
      </c>
    </row>
    <row r="1366">
      <c r="A1366" s="2" t="s">
        <v>1299</v>
      </c>
      <c r="B1366" s="1" t="s">
        <v>1300</v>
      </c>
      <c r="C1366" s="2" t="s">
        <v>53</v>
      </c>
      <c r="D1366" s="1" t="s">
        <v>54</v>
      </c>
    </row>
    <row r="1367">
      <c r="A1367" s="2" t="s">
        <v>1299</v>
      </c>
      <c r="B1367" s="1" t="s">
        <v>1300</v>
      </c>
      <c r="C1367" s="2" t="s">
        <v>202</v>
      </c>
      <c r="D1367" s="1" t="s">
        <v>203</v>
      </c>
    </row>
    <row r="1368">
      <c r="A1368" s="2" t="s">
        <v>1176</v>
      </c>
      <c r="B1368" s="1" t="s">
        <v>1177</v>
      </c>
      <c r="C1368" s="2" t="s">
        <v>221</v>
      </c>
      <c r="D1368" s="1" t="s">
        <v>222</v>
      </c>
    </row>
    <row r="1369">
      <c r="A1369" s="2" t="s">
        <v>1301</v>
      </c>
      <c r="B1369" s="1" t="s">
        <v>1302</v>
      </c>
      <c r="C1369" s="2" t="s">
        <v>341</v>
      </c>
      <c r="D1369" s="1" t="s">
        <v>342</v>
      </c>
    </row>
    <row r="1370">
      <c r="A1370" s="2" t="s">
        <v>1303</v>
      </c>
      <c r="B1370" s="1" t="s">
        <v>1304</v>
      </c>
      <c r="C1370" s="2" t="s">
        <v>114</v>
      </c>
      <c r="D1370" s="1" t="s">
        <v>115</v>
      </c>
    </row>
    <row r="1371">
      <c r="A1371" s="2" t="s">
        <v>1303</v>
      </c>
      <c r="B1371" s="1" t="s">
        <v>1304</v>
      </c>
      <c r="C1371" s="2" t="s">
        <v>902</v>
      </c>
      <c r="D1371" s="1" t="s">
        <v>903</v>
      </c>
    </row>
    <row r="1372">
      <c r="A1372" s="2" t="s">
        <v>1301</v>
      </c>
      <c r="B1372" s="1" t="s">
        <v>1302</v>
      </c>
      <c r="C1372" s="2" t="s">
        <v>139</v>
      </c>
      <c r="D1372" s="1" t="s">
        <v>140</v>
      </c>
    </row>
    <row r="1373">
      <c r="A1373" s="2" t="s">
        <v>1305</v>
      </c>
      <c r="B1373" s="1" t="s">
        <v>1306</v>
      </c>
      <c r="C1373" s="2" t="s">
        <v>1307</v>
      </c>
      <c r="D1373" s="1" t="s">
        <v>1308</v>
      </c>
    </row>
    <row r="1374">
      <c r="A1374" s="2" t="s">
        <v>1309</v>
      </c>
      <c r="B1374" s="1" t="s">
        <v>1310</v>
      </c>
      <c r="C1374" s="2" t="s">
        <v>43</v>
      </c>
      <c r="D1374" s="1" t="s">
        <v>44</v>
      </c>
    </row>
    <row r="1375">
      <c r="A1375" s="2" t="s">
        <v>1311</v>
      </c>
      <c r="B1375" s="1" t="s">
        <v>1312</v>
      </c>
      <c r="C1375" s="2" t="s">
        <v>43</v>
      </c>
      <c r="D1375" s="1" t="s">
        <v>44</v>
      </c>
    </row>
    <row r="1376">
      <c r="A1376" s="2" t="s">
        <v>1301</v>
      </c>
      <c r="B1376" s="1" t="s">
        <v>1302</v>
      </c>
      <c r="C1376" s="2" t="s">
        <v>141</v>
      </c>
      <c r="D1376" s="1" t="s">
        <v>142</v>
      </c>
    </row>
    <row r="1377">
      <c r="A1377" s="2" t="s">
        <v>1313</v>
      </c>
      <c r="B1377" s="1" t="s">
        <v>1314</v>
      </c>
      <c r="C1377" s="2" t="s">
        <v>306</v>
      </c>
      <c r="D1377" s="1" t="s">
        <v>307</v>
      </c>
      <c r="E1377" s="2" t="s">
        <v>1315</v>
      </c>
    </row>
    <row r="1378">
      <c r="A1378" s="2" t="s">
        <v>1316</v>
      </c>
      <c r="B1378" s="1" t="s">
        <v>1317</v>
      </c>
      <c r="C1378" s="2" t="s">
        <v>173</v>
      </c>
      <c r="D1378" s="1" t="s">
        <v>174</v>
      </c>
    </row>
    <row r="1379">
      <c r="A1379" s="2" t="s">
        <v>1299</v>
      </c>
      <c r="B1379" s="1" t="s">
        <v>1300</v>
      </c>
      <c r="C1379" s="2" t="s">
        <v>41</v>
      </c>
      <c r="D1379" s="1" t="s">
        <v>42</v>
      </c>
    </row>
    <row r="1380">
      <c r="A1380" s="2" t="s">
        <v>1299</v>
      </c>
      <c r="B1380" s="1" t="s">
        <v>1300</v>
      </c>
      <c r="C1380" s="2" t="s">
        <v>79</v>
      </c>
      <c r="D1380" s="1" t="s">
        <v>80</v>
      </c>
    </row>
    <row r="1381">
      <c r="A1381" s="2" t="s">
        <v>1309</v>
      </c>
      <c r="B1381" s="1" t="s">
        <v>1310</v>
      </c>
      <c r="C1381" s="2" t="s">
        <v>90</v>
      </c>
      <c r="D1381" s="1" t="s">
        <v>91</v>
      </c>
    </row>
    <row r="1382">
      <c r="A1382" s="2" t="s">
        <v>1318</v>
      </c>
      <c r="B1382" s="1" t="s">
        <v>1319</v>
      </c>
      <c r="C1382" s="2" t="s">
        <v>1320</v>
      </c>
      <c r="D1382" s="1" t="s">
        <v>1321</v>
      </c>
    </row>
    <row r="1383">
      <c r="A1383" s="2" t="s">
        <v>1322</v>
      </c>
      <c r="B1383" s="1" t="s">
        <v>1323</v>
      </c>
      <c r="C1383" s="2" t="s">
        <v>151</v>
      </c>
      <c r="D1383" s="1" t="s">
        <v>152</v>
      </c>
    </row>
    <row r="1384">
      <c r="A1384" s="2" t="s">
        <v>1299</v>
      </c>
      <c r="B1384" s="1" t="s">
        <v>1300</v>
      </c>
      <c r="C1384" s="2" t="s">
        <v>86</v>
      </c>
      <c r="D1384" s="1" t="s">
        <v>87</v>
      </c>
    </row>
    <row r="1385">
      <c r="A1385" s="2" t="s">
        <v>1324</v>
      </c>
      <c r="B1385" s="1" t="s">
        <v>1325</v>
      </c>
      <c r="C1385" s="2" t="s">
        <v>522</v>
      </c>
      <c r="D1385" s="1" t="s">
        <v>523</v>
      </c>
    </row>
    <row r="1386">
      <c r="A1386" s="2" t="s">
        <v>1326</v>
      </c>
      <c r="B1386" s="1" t="s">
        <v>1327</v>
      </c>
      <c r="C1386" s="2" t="s">
        <v>1328</v>
      </c>
      <c r="D1386" s="1" t="s">
        <v>1329</v>
      </c>
    </row>
    <row r="1387">
      <c r="A1387" s="2" t="s">
        <v>1311</v>
      </c>
      <c r="B1387" s="1" t="s">
        <v>1312</v>
      </c>
      <c r="C1387" s="2" t="s">
        <v>147</v>
      </c>
      <c r="D1387" s="1" t="s">
        <v>148</v>
      </c>
    </row>
    <row r="1388">
      <c r="A1388" s="2" t="s">
        <v>1313</v>
      </c>
      <c r="B1388" s="1" t="s">
        <v>1314</v>
      </c>
      <c r="C1388" s="2" t="s">
        <v>216</v>
      </c>
      <c r="D1388" s="1" t="s">
        <v>217</v>
      </c>
      <c r="E1388" s="2" t="s">
        <v>1315</v>
      </c>
    </row>
    <row r="1389">
      <c r="A1389" s="2" t="s">
        <v>1330</v>
      </c>
      <c r="B1389" s="1" t="s">
        <v>1331</v>
      </c>
      <c r="C1389" s="2" t="s">
        <v>1332</v>
      </c>
      <c r="D1389" s="1" t="s">
        <v>1333</v>
      </c>
    </row>
    <row r="1390">
      <c r="A1390" s="2" t="s">
        <v>1334</v>
      </c>
      <c r="B1390" s="1" t="s">
        <v>1335</v>
      </c>
      <c r="C1390" s="2" t="s">
        <v>118</v>
      </c>
      <c r="D1390" s="1" t="s">
        <v>119</v>
      </c>
    </row>
    <row r="1391">
      <c r="A1391" s="2" t="s">
        <v>1305</v>
      </c>
      <c r="B1391" s="1" t="s">
        <v>1306</v>
      </c>
      <c r="C1391" s="2" t="s">
        <v>1336</v>
      </c>
      <c r="D1391" s="1" t="s">
        <v>1337</v>
      </c>
    </row>
    <row r="1392">
      <c r="A1392" s="2" t="s">
        <v>1318</v>
      </c>
      <c r="B1392" s="1" t="s">
        <v>1319</v>
      </c>
      <c r="C1392" s="2" t="s">
        <v>114</v>
      </c>
      <c r="D1392" s="1" t="s">
        <v>115</v>
      </c>
    </row>
    <row r="1393">
      <c r="A1393" s="2" t="s">
        <v>1338</v>
      </c>
      <c r="B1393" s="1" t="s">
        <v>1339</v>
      </c>
      <c r="C1393" s="2" t="s">
        <v>43</v>
      </c>
      <c r="D1393" s="1" t="s">
        <v>44</v>
      </c>
    </row>
    <row r="1394">
      <c r="A1394" s="2" t="s">
        <v>1340</v>
      </c>
      <c r="B1394" s="1" t="s">
        <v>1341</v>
      </c>
      <c r="C1394" s="2" t="s">
        <v>1307</v>
      </c>
      <c r="D1394" s="1" t="s">
        <v>1308</v>
      </c>
    </row>
    <row r="1395">
      <c r="A1395" s="2" t="s">
        <v>1324</v>
      </c>
      <c r="B1395" s="1" t="s">
        <v>1325</v>
      </c>
      <c r="C1395" s="2" t="s">
        <v>651</v>
      </c>
      <c r="D1395" s="1" t="s">
        <v>652</v>
      </c>
    </row>
    <row r="1396">
      <c r="A1396" s="2" t="s">
        <v>1342</v>
      </c>
      <c r="B1396" s="1" t="s">
        <v>1343</v>
      </c>
      <c r="C1396" s="2" t="s">
        <v>173</v>
      </c>
      <c r="D1396" s="1" t="s">
        <v>174</v>
      </c>
    </row>
    <row r="1397">
      <c r="A1397" s="2" t="s">
        <v>1344</v>
      </c>
      <c r="B1397" s="1" t="s">
        <v>1345</v>
      </c>
      <c r="C1397" s="2" t="s">
        <v>1346</v>
      </c>
      <c r="D1397" s="1" t="s">
        <v>1347</v>
      </c>
    </row>
    <row r="1398">
      <c r="A1398" s="2" t="s">
        <v>1344</v>
      </c>
      <c r="B1398" s="1" t="s">
        <v>1345</v>
      </c>
      <c r="C1398" s="2" t="s">
        <v>970</v>
      </c>
      <c r="D1398" s="1" t="s">
        <v>971</v>
      </c>
    </row>
    <row r="1399">
      <c r="A1399" s="2" t="s">
        <v>1348</v>
      </c>
      <c r="B1399" s="1" t="s">
        <v>1349</v>
      </c>
      <c r="C1399" s="2" t="s">
        <v>216</v>
      </c>
      <c r="D1399" s="1" t="s">
        <v>217</v>
      </c>
    </row>
    <row r="1400">
      <c r="A1400" s="2" t="s">
        <v>1348</v>
      </c>
      <c r="B1400" s="1" t="s">
        <v>1349</v>
      </c>
      <c r="C1400" s="2" t="s">
        <v>43</v>
      </c>
      <c r="D1400" s="1" t="s">
        <v>44</v>
      </c>
    </row>
    <row r="1401">
      <c r="A1401" s="2" t="s">
        <v>1350</v>
      </c>
      <c r="B1401" s="1" t="s">
        <v>1351</v>
      </c>
      <c r="C1401" s="2" t="s">
        <v>221</v>
      </c>
      <c r="D1401" s="1" t="s">
        <v>222</v>
      </c>
    </row>
    <row r="1402">
      <c r="A1402" s="2" t="s">
        <v>1295</v>
      </c>
      <c r="B1402" s="1" t="s">
        <v>1296</v>
      </c>
      <c r="C1402" s="2" t="s">
        <v>35</v>
      </c>
      <c r="D1402" s="1" t="s">
        <v>36</v>
      </c>
    </row>
    <row r="1403">
      <c r="A1403" s="2" t="s">
        <v>1295</v>
      </c>
      <c r="B1403" s="1" t="s">
        <v>1296</v>
      </c>
      <c r="C1403" s="2" t="s">
        <v>247</v>
      </c>
      <c r="D1403" s="1" t="s">
        <v>248</v>
      </c>
    </row>
    <row r="1404">
      <c r="A1404" s="2" t="s">
        <v>1352</v>
      </c>
      <c r="B1404" s="1" t="s">
        <v>1353</v>
      </c>
      <c r="C1404" s="2" t="s">
        <v>202</v>
      </c>
      <c r="D1404" s="1" t="s">
        <v>203</v>
      </c>
    </row>
    <row r="1405">
      <c r="A1405" s="2" t="s">
        <v>1295</v>
      </c>
      <c r="B1405" s="1" t="s">
        <v>1296</v>
      </c>
      <c r="C1405" s="2" t="s">
        <v>1354</v>
      </c>
      <c r="D1405" s="1" t="s">
        <v>1355</v>
      </c>
    </row>
    <row r="1406">
      <c r="A1406" s="2" t="s">
        <v>1356</v>
      </c>
      <c r="B1406" s="1" t="s">
        <v>1357</v>
      </c>
      <c r="C1406" s="2" t="s">
        <v>604</v>
      </c>
      <c r="D1406" s="1" t="s">
        <v>605</v>
      </c>
    </row>
    <row r="1407">
      <c r="A1407" s="2" t="s">
        <v>1358</v>
      </c>
      <c r="B1407" s="1" t="s">
        <v>1359</v>
      </c>
      <c r="C1407" s="2" t="s">
        <v>604</v>
      </c>
      <c r="D1407" s="1" t="s">
        <v>605</v>
      </c>
    </row>
    <row r="1408">
      <c r="A1408" s="2" t="s">
        <v>1360</v>
      </c>
      <c r="B1408" s="1" t="s">
        <v>1361</v>
      </c>
      <c r="C1408" s="2" t="s">
        <v>41</v>
      </c>
      <c r="D1408" s="1" t="s">
        <v>42</v>
      </c>
    </row>
    <row r="1409">
      <c r="A1409" s="2" t="s">
        <v>1352</v>
      </c>
      <c r="B1409" s="1" t="s">
        <v>1353</v>
      </c>
      <c r="C1409" s="2" t="s">
        <v>41</v>
      </c>
      <c r="D1409" s="1" t="s">
        <v>42</v>
      </c>
    </row>
    <row r="1410">
      <c r="A1410" s="2" t="s">
        <v>1352</v>
      </c>
      <c r="B1410" s="1" t="s">
        <v>1353</v>
      </c>
      <c r="C1410" s="2" t="s">
        <v>84</v>
      </c>
      <c r="D1410" s="1" t="s">
        <v>85</v>
      </c>
    </row>
    <row r="1411">
      <c r="A1411" s="2" t="s">
        <v>1316</v>
      </c>
      <c r="B1411" s="1" t="s">
        <v>1317</v>
      </c>
      <c r="C1411" s="2" t="s">
        <v>12</v>
      </c>
      <c r="D1411" s="1" t="s">
        <v>13</v>
      </c>
    </row>
    <row r="1412">
      <c r="A1412" s="2" t="s">
        <v>1360</v>
      </c>
      <c r="B1412" s="1" t="s">
        <v>1361</v>
      </c>
      <c r="C1412" s="2" t="s">
        <v>216</v>
      </c>
      <c r="D1412" s="1" t="s">
        <v>217</v>
      </c>
    </row>
    <row r="1413">
      <c r="A1413" s="2" t="s">
        <v>1360</v>
      </c>
      <c r="B1413" s="1" t="s">
        <v>1361</v>
      </c>
      <c r="C1413" s="2" t="s">
        <v>133</v>
      </c>
      <c r="D1413" s="1" t="s">
        <v>134</v>
      </c>
    </row>
    <row r="1414">
      <c r="A1414" s="2" t="s">
        <v>1360</v>
      </c>
      <c r="B1414" s="1" t="s">
        <v>1361</v>
      </c>
      <c r="C1414" s="2" t="s">
        <v>43</v>
      </c>
      <c r="D1414" s="1" t="s">
        <v>44</v>
      </c>
    </row>
    <row r="1415">
      <c r="A1415" s="2" t="s">
        <v>1352</v>
      </c>
      <c r="B1415" s="1" t="s">
        <v>1353</v>
      </c>
      <c r="C1415" s="2" t="s">
        <v>43</v>
      </c>
      <c r="D1415" s="1" t="s">
        <v>44</v>
      </c>
    </row>
    <row r="1416">
      <c r="A1416" s="2" t="s">
        <v>1299</v>
      </c>
      <c r="B1416" s="1" t="s">
        <v>1300</v>
      </c>
      <c r="C1416" s="2" t="s">
        <v>118</v>
      </c>
      <c r="D1416" s="1" t="s">
        <v>119</v>
      </c>
    </row>
    <row r="1417">
      <c r="A1417" s="2" t="s">
        <v>1362</v>
      </c>
      <c r="B1417" s="1" t="s">
        <v>1363</v>
      </c>
      <c r="C1417" s="2" t="s">
        <v>216</v>
      </c>
      <c r="D1417" s="1" t="s">
        <v>217</v>
      </c>
    </row>
    <row r="1418">
      <c r="A1418" s="2" t="s">
        <v>1313</v>
      </c>
      <c r="B1418" s="1" t="s">
        <v>1314</v>
      </c>
      <c r="C1418" s="2" t="s">
        <v>604</v>
      </c>
      <c r="D1418" s="1" t="s">
        <v>605</v>
      </c>
      <c r="E1418" s="2" t="s">
        <v>1315</v>
      </c>
    </row>
    <row r="1419">
      <c r="A1419" s="2" t="s">
        <v>1352</v>
      </c>
      <c r="B1419" s="1" t="s">
        <v>1353</v>
      </c>
      <c r="C1419" s="2" t="s">
        <v>49</v>
      </c>
      <c r="D1419" s="1" t="s">
        <v>50</v>
      </c>
    </row>
    <row r="1420">
      <c r="A1420" s="2" t="s">
        <v>1338</v>
      </c>
      <c r="B1420" s="1" t="s">
        <v>1339</v>
      </c>
      <c r="C1420" s="2" t="s">
        <v>221</v>
      </c>
      <c r="D1420" s="1" t="s">
        <v>222</v>
      </c>
    </row>
    <row r="1421">
      <c r="A1421" s="2" t="s">
        <v>1364</v>
      </c>
      <c r="B1421" s="1" t="s">
        <v>1365</v>
      </c>
      <c r="C1421" s="2" t="s">
        <v>12</v>
      </c>
      <c r="D1421" s="1" t="s">
        <v>13</v>
      </c>
    </row>
    <row r="1422">
      <c r="A1422" s="2" t="s">
        <v>1366</v>
      </c>
      <c r="B1422" s="1" t="s">
        <v>1367</v>
      </c>
      <c r="C1422" s="2" t="s">
        <v>832</v>
      </c>
      <c r="D1422" s="1" t="s">
        <v>833</v>
      </c>
    </row>
    <row r="1423">
      <c r="A1423" s="2" t="s">
        <v>1366</v>
      </c>
      <c r="B1423" s="1" t="s">
        <v>1367</v>
      </c>
      <c r="C1423" s="2" t="s">
        <v>1097</v>
      </c>
      <c r="D1423" s="1" t="s">
        <v>1098</v>
      </c>
    </row>
    <row r="1424">
      <c r="A1424" s="2" t="s">
        <v>1368</v>
      </c>
      <c r="B1424" s="1" t="s">
        <v>1369</v>
      </c>
      <c r="C1424" s="2" t="s">
        <v>1370</v>
      </c>
      <c r="D1424" s="1" t="s">
        <v>1371</v>
      </c>
    </row>
    <row r="1425">
      <c r="A1425" s="2" t="s">
        <v>1368</v>
      </c>
      <c r="B1425" s="1" t="s">
        <v>1369</v>
      </c>
      <c r="C1425" s="2" t="s">
        <v>216</v>
      </c>
      <c r="D1425" s="1" t="s">
        <v>217</v>
      </c>
    </row>
    <row r="1426">
      <c r="A1426" s="2" t="s">
        <v>1368</v>
      </c>
      <c r="B1426" s="1" t="s">
        <v>1369</v>
      </c>
      <c r="C1426" s="2" t="s">
        <v>1235</v>
      </c>
      <c r="D1426" s="1" t="s">
        <v>1236</v>
      </c>
    </row>
    <row r="1427">
      <c r="A1427" s="2" t="s">
        <v>1364</v>
      </c>
      <c r="B1427" s="1" t="s">
        <v>1365</v>
      </c>
      <c r="C1427" s="2" t="s">
        <v>516</v>
      </c>
      <c r="D1427" s="1" t="s">
        <v>517</v>
      </c>
    </row>
    <row r="1428">
      <c r="A1428" s="2" t="s">
        <v>1303</v>
      </c>
      <c r="B1428" s="1" t="s">
        <v>1304</v>
      </c>
      <c r="C1428" s="2" t="s">
        <v>490</v>
      </c>
      <c r="D1428" s="1" t="s">
        <v>491</v>
      </c>
    </row>
    <row r="1429">
      <c r="A1429" s="2" t="s">
        <v>1348</v>
      </c>
      <c r="B1429" s="1" t="s">
        <v>1349</v>
      </c>
      <c r="C1429" s="2" t="s">
        <v>221</v>
      </c>
      <c r="D1429" s="1" t="s">
        <v>222</v>
      </c>
    </row>
    <row r="1430">
      <c r="A1430" s="2" t="s">
        <v>1350</v>
      </c>
      <c r="B1430" s="1" t="s">
        <v>1351</v>
      </c>
      <c r="C1430" s="2" t="s">
        <v>118</v>
      </c>
      <c r="D1430" s="1" t="s">
        <v>119</v>
      </c>
    </row>
    <row r="1431">
      <c r="A1431" s="2" t="s">
        <v>1322</v>
      </c>
      <c r="B1431" s="1" t="s">
        <v>1323</v>
      </c>
      <c r="C1431" s="2" t="s">
        <v>604</v>
      </c>
      <c r="D1431" s="1" t="s">
        <v>605</v>
      </c>
    </row>
    <row r="1432">
      <c r="A1432" s="2" t="s">
        <v>1334</v>
      </c>
      <c r="B1432" s="1" t="s">
        <v>1335</v>
      </c>
      <c r="C1432" s="2" t="s">
        <v>49</v>
      </c>
      <c r="D1432" s="1" t="s">
        <v>50</v>
      </c>
    </row>
    <row r="1433">
      <c r="A1433" s="2" t="s">
        <v>1360</v>
      </c>
      <c r="B1433" s="1" t="s">
        <v>1361</v>
      </c>
      <c r="C1433" s="2" t="s">
        <v>69</v>
      </c>
      <c r="D1433" s="1" t="s">
        <v>70</v>
      </c>
    </row>
    <row r="1434">
      <c r="A1434" s="2" t="s">
        <v>1176</v>
      </c>
      <c r="B1434" s="1" t="s">
        <v>1177</v>
      </c>
      <c r="C1434" s="2" t="s">
        <v>43</v>
      </c>
      <c r="D1434" s="1" t="s">
        <v>44</v>
      </c>
    </row>
    <row r="1435">
      <c r="A1435" s="2" t="s">
        <v>1372</v>
      </c>
      <c r="B1435" s="1" t="s">
        <v>1373</v>
      </c>
      <c r="C1435" s="2" t="s">
        <v>41</v>
      </c>
      <c r="D1435" s="1" t="s">
        <v>42</v>
      </c>
    </row>
    <row r="1436">
      <c r="A1436" s="2" t="s">
        <v>1295</v>
      </c>
      <c r="B1436" s="1" t="s">
        <v>1296</v>
      </c>
      <c r="C1436" s="2" t="s">
        <v>1374</v>
      </c>
      <c r="D1436" s="1" t="s">
        <v>1375</v>
      </c>
    </row>
    <row r="1437">
      <c r="A1437" s="2" t="s">
        <v>1372</v>
      </c>
      <c r="B1437" s="1" t="s">
        <v>1373</v>
      </c>
      <c r="C1437" s="2" t="s">
        <v>43</v>
      </c>
      <c r="D1437" s="1" t="s">
        <v>44</v>
      </c>
    </row>
    <row r="1438">
      <c r="A1438" s="2" t="s">
        <v>1372</v>
      </c>
      <c r="B1438" s="1" t="s">
        <v>1373</v>
      </c>
      <c r="C1438" s="2" t="s">
        <v>49</v>
      </c>
      <c r="D1438" s="1" t="s">
        <v>50</v>
      </c>
    </row>
    <row r="1439">
      <c r="A1439" s="2" t="s">
        <v>1376</v>
      </c>
      <c r="B1439" s="1" t="s">
        <v>1377</v>
      </c>
      <c r="C1439" s="2" t="s">
        <v>604</v>
      </c>
      <c r="D1439" s="1" t="s">
        <v>605</v>
      </c>
    </row>
    <row r="1440">
      <c r="A1440" s="2" t="s">
        <v>1368</v>
      </c>
      <c r="B1440" s="1" t="s">
        <v>1369</v>
      </c>
      <c r="C1440" s="2" t="s">
        <v>508</v>
      </c>
      <c r="D1440" s="1" t="s">
        <v>509</v>
      </c>
    </row>
    <row r="1441">
      <c r="A1441" s="2" t="s">
        <v>1378</v>
      </c>
      <c r="B1441" s="1" t="s">
        <v>1379</v>
      </c>
      <c r="C1441" s="2" t="s">
        <v>341</v>
      </c>
      <c r="D1441" s="1" t="s">
        <v>342</v>
      </c>
    </row>
    <row r="1442">
      <c r="A1442" s="2" t="s">
        <v>1380</v>
      </c>
      <c r="B1442" s="1" t="s">
        <v>1381</v>
      </c>
      <c r="C1442" s="2" t="s">
        <v>151</v>
      </c>
      <c r="D1442" s="1" t="s">
        <v>152</v>
      </c>
    </row>
    <row r="1443">
      <c r="A1443" s="2" t="s">
        <v>1382</v>
      </c>
      <c r="B1443" s="1" t="s">
        <v>1383</v>
      </c>
      <c r="C1443" s="2" t="s">
        <v>604</v>
      </c>
      <c r="D1443" s="1" t="s">
        <v>605</v>
      </c>
    </row>
    <row r="1444">
      <c r="A1444" s="2" t="s">
        <v>1376</v>
      </c>
      <c r="B1444" s="1" t="s">
        <v>1377</v>
      </c>
      <c r="C1444" s="2" t="s">
        <v>306</v>
      </c>
      <c r="D1444" s="1" t="s">
        <v>307</v>
      </c>
    </row>
    <row r="1445">
      <c r="A1445" s="2" t="s">
        <v>1384</v>
      </c>
      <c r="B1445" s="1" t="s">
        <v>1385</v>
      </c>
      <c r="C1445" s="2" t="s">
        <v>321</v>
      </c>
      <c r="D1445" s="1" t="s">
        <v>322</v>
      </c>
    </row>
    <row r="1446">
      <c r="A1446" s="2" t="s">
        <v>1318</v>
      </c>
      <c r="B1446" s="1" t="s">
        <v>1319</v>
      </c>
      <c r="C1446" s="2" t="s">
        <v>12</v>
      </c>
      <c r="D1446" s="1" t="s">
        <v>13</v>
      </c>
    </row>
    <row r="1447">
      <c r="A1447" s="2" t="s">
        <v>1386</v>
      </c>
      <c r="B1447" s="1" t="s">
        <v>1387</v>
      </c>
    </row>
    <row r="1448">
      <c r="A1448" s="2" t="s">
        <v>1388</v>
      </c>
      <c r="B1448" s="1" t="s">
        <v>1389</v>
      </c>
    </row>
    <row r="1449">
      <c r="A1449" s="2" t="s">
        <v>1390</v>
      </c>
      <c r="B1449" s="1" t="s">
        <v>1391</v>
      </c>
    </row>
    <row r="1450">
      <c r="A1450" s="2" t="s">
        <v>1392</v>
      </c>
      <c r="B1450" s="1" t="s">
        <v>1393</v>
      </c>
    </row>
    <row r="1451">
      <c r="A1451" s="2" t="s">
        <v>1394</v>
      </c>
      <c r="B1451" s="1" t="s">
        <v>1395</v>
      </c>
    </row>
    <row r="1452">
      <c r="A1452" s="2" t="s">
        <v>1396</v>
      </c>
      <c r="B1452" s="1" t="s">
        <v>1397</v>
      </c>
    </row>
    <row r="1453">
      <c r="A1453" s="2" t="s">
        <v>1382</v>
      </c>
      <c r="B1453" s="1" t="s">
        <v>1383</v>
      </c>
      <c r="C1453" s="2" t="s">
        <v>306</v>
      </c>
      <c r="D1453" s="1" t="s">
        <v>307</v>
      </c>
    </row>
    <row r="1454">
      <c r="A1454" s="2" t="s">
        <v>1344</v>
      </c>
      <c r="B1454" s="1" t="s">
        <v>1345</v>
      </c>
      <c r="C1454" s="2" t="s">
        <v>114</v>
      </c>
      <c r="D1454" s="1" t="s">
        <v>115</v>
      </c>
    </row>
    <row r="1455">
      <c r="A1455" s="2" t="s">
        <v>1176</v>
      </c>
      <c r="B1455" s="1" t="s">
        <v>1177</v>
      </c>
      <c r="C1455" s="2" t="s">
        <v>306</v>
      </c>
      <c r="D1455" s="1" t="s">
        <v>307</v>
      </c>
    </row>
    <row r="1456">
      <c r="A1456" s="2" t="s">
        <v>1176</v>
      </c>
      <c r="B1456" s="1" t="s">
        <v>1177</v>
      </c>
      <c r="C1456" s="2" t="s">
        <v>69</v>
      </c>
      <c r="D1456" s="1" t="s">
        <v>70</v>
      </c>
    </row>
    <row r="1457">
      <c r="A1457" s="2" t="s">
        <v>1289</v>
      </c>
      <c r="B1457" s="1" t="s">
        <v>1290</v>
      </c>
      <c r="C1457" s="2" t="s">
        <v>133</v>
      </c>
      <c r="D1457" s="1" t="s">
        <v>134</v>
      </c>
    </row>
    <row r="1458">
      <c r="A1458" s="2" t="s">
        <v>1289</v>
      </c>
      <c r="B1458" s="1" t="s">
        <v>1290</v>
      </c>
      <c r="C1458" s="2" t="s">
        <v>43</v>
      </c>
      <c r="D1458" s="1" t="s">
        <v>44</v>
      </c>
    </row>
    <row r="1459">
      <c r="A1459" s="2" t="s">
        <v>1176</v>
      </c>
      <c r="B1459" s="1" t="s">
        <v>1177</v>
      </c>
      <c r="C1459" s="2" t="s">
        <v>492</v>
      </c>
      <c r="D1459" s="1" t="s">
        <v>493</v>
      </c>
    </row>
    <row r="1460">
      <c r="A1460" s="2" t="s">
        <v>1398</v>
      </c>
      <c r="B1460" s="1" t="s">
        <v>1399</v>
      </c>
      <c r="C1460" s="2" t="s">
        <v>225</v>
      </c>
      <c r="D1460" s="1" t="s">
        <v>226</v>
      </c>
      <c r="E1460" s="2" t="s">
        <v>1400</v>
      </c>
    </row>
    <row r="1461">
      <c r="A1461" s="2" t="s">
        <v>1401</v>
      </c>
      <c r="B1461" s="1" t="s">
        <v>1402</v>
      </c>
      <c r="C1461" s="2" t="s">
        <v>1403</v>
      </c>
      <c r="D1461" s="1" t="s">
        <v>1404</v>
      </c>
      <c r="E1461" s="2" t="s">
        <v>1405</v>
      </c>
    </row>
    <row r="1462">
      <c r="A1462" s="2" t="s">
        <v>1406</v>
      </c>
      <c r="B1462" s="1" t="s">
        <v>1407</v>
      </c>
      <c r="C1462" s="2" t="s">
        <v>116</v>
      </c>
      <c r="D1462" s="1" t="s">
        <v>117</v>
      </c>
      <c r="E1462" s="2" t="s">
        <v>1408</v>
      </c>
    </row>
    <row r="1463">
      <c r="A1463" s="2" t="s">
        <v>1409</v>
      </c>
      <c r="B1463" s="1" t="s">
        <v>1410</v>
      </c>
      <c r="C1463" s="2" t="s">
        <v>22</v>
      </c>
      <c r="D1463" s="1" t="s">
        <v>23</v>
      </c>
      <c r="E1463" s="2" t="s">
        <v>1411</v>
      </c>
    </row>
    <row r="1464">
      <c r="A1464" s="2" t="s">
        <v>1409</v>
      </c>
      <c r="B1464" s="1" t="s">
        <v>1410</v>
      </c>
      <c r="C1464" s="2" t="s">
        <v>25</v>
      </c>
      <c r="D1464" s="1" t="s">
        <v>26</v>
      </c>
      <c r="E1464" s="2" t="s">
        <v>1411</v>
      </c>
    </row>
    <row r="1465">
      <c r="A1465" s="2" t="s">
        <v>1412</v>
      </c>
      <c r="B1465" s="1" t="s">
        <v>1413</v>
      </c>
      <c r="C1465" s="2" t="s">
        <v>12</v>
      </c>
      <c r="D1465" s="1" t="s">
        <v>13</v>
      </c>
      <c r="E1465" s="2" t="s">
        <v>1414</v>
      </c>
    </row>
    <row r="1466">
      <c r="A1466" s="2" t="s">
        <v>1398</v>
      </c>
      <c r="B1466" s="1" t="s">
        <v>1399</v>
      </c>
      <c r="C1466" s="2" t="s">
        <v>22</v>
      </c>
      <c r="D1466" s="1" t="s">
        <v>23</v>
      </c>
      <c r="E1466" s="2" t="s">
        <v>1400</v>
      </c>
    </row>
    <row r="1467">
      <c r="A1467" s="2" t="s">
        <v>1415</v>
      </c>
      <c r="B1467" s="1" t="s">
        <v>1416</v>
      </c>
      <c r="C1467" s="2" t="s">
        <v>1417</v>
      </c>
      <c r="D1467" s="1" t="s">
        <v>1418</v>
      </c>
      <c r="E1467" s="2" t="s">
        <v>1419</v>
      </c>
    </row>
    <row r="1468">
      <c r="A1468" s="2" t="s">
        <v>1398</v>
      </c>
      <c r="B1468" s="1" t="s">
        <v>1399</v>
      </c>
      <c r="C1468" s="2" t="s">
        <v>25</v>
      </c>
      <c r="D1468" s="1" t="s">
        <v>26</v>
      </c>
      <c r="E1468" s="2" t="s">
        <v>1400</v>
      </c>
    </row>
    <row r="1469">
      <c r="A1469" s="2" t="s">
        <v>1415</v>
      </c>
      <c r="B1469" s="1" t="s">
        <v>1416</v>
      </c>
      <c r="C1469" s="2" t="s">
        <v>151</v>
      </c>
      <c r="D1469" s="1" t="s">
        <v>152</v>
      </c>
      <c r="E1469" s="2" t="s">
        <v>1419</v>
      </c>
    </row>
    <row r="1470">
      <c r="A1470" s="2" t="s">
        <v>1420</v>
      </c>
      <c r="B1470" s="1" t="s">
        <v>1421</v>
      </c>
      <c r="C1470" s="2" t="s">
        <v>114</v>
      </c>
      <c r="D1470" s="1" t="s">
        <v>115</v>
      </c>
      <c r="E1470" s="2" t="s">
        <v>1422</v>
      </c>
    </row>
    <row r="1471">
      <c r="A1471" s="2" t="s">
        <v>1423</v>
      </c>
      <c r="B1471" s="1" t="s">
        <v>1424</v>
      </c>
      <c r="C1471" s="2" t="s">
        <v>165</v>
      </c>
      <c r="D1471" s="1" t="s">
        <v>166</v>
      </c>
      <c r="E1471" s="2" t="s">
        <v>1425</v>
      </c>
    </row>
    <row r="1472">
      <c r="A1472" s="2" t="s">
        <v>1426</v>
      </c>
      <c r="B1472" s="1" t="s">
        <v>1427</v>
      </c>
      <c r="C1472" s="2" t="s">
        <v>288</v>
      </c>
      <c r="D1472" s="1" t="s">
        <v>289</v>
      </c>
    </row>
    <row r="1473">
      <c r="A1473" s="2" t="s">
        <v>1426</v>
      </c>
      <c r="B1473" s="1" t="s">
        <v>1427</v>
      </c>
      <c r="C1473" s="2" t="s">
        <v>84</v>
      </c>
      <c r="D1473" s="1" t="s">
        <v>85</v>
      </c>
    </row>
    <row r="1474">
      <c r="A1474" s="2" t="s">
        <v>1426</v>
      </c>
      <c r="B1474" s="1" t="s">
        <v>1427</v>
      </c>
      <c r="C1474" s="2" t="s">
        <v>77</v>
      </c>
      <c r="D1474" s="1" t="s">
        <v>78</v>
      </c>
    </row>
    <row r="1475">
      <c r="A1475" s="2" t="s">
        <v>1426</v>
      </c>
      <c r="B1475" s="1" t="s">
        <v>1427</v>
      </c>
      <c r="C1475" s="2" t="s">
        <v>133</v>
      </c>
      <c r="D1475" s="1" t="s">
        <v>134</v>
      </c>
    </row>
    <row r="1476">
      <c r="A1476" s="2" t="s">
        <v>1426</v>
      </c>
      <c r="B1476" s="1" t="s">
        <v>1427</v>
      </c>
      <c r="C1476" s="2" t="s">
        <v>43</v>
      </c>
      <c r="D1476" s="1" t="s">
        <v>44</v>
      </c>
    </row>
    <row r="1477">
      <c r="A1477" s="2" t="s">
        <v>1428</v>
      </c>
      <c r="B1477" s="1" t="s">
        <v>1429</v>
      </c>
      <c r="C1477" s="2" t="s">
        <v>118</v>
      </c>
      <c r="D1477" s="1" t="s">
        <v>119</v>
      </c>
      <c r="E1477" s="2" t="s">
        <v>1430</v>
      </c>
    </row>
    <row r="1478">
      <c r="A1478" s="2" t="s">
        <v>1426</v>
      </c>
      <c r="B1478" s="1" t="s">
        <v>1427</v>
      </c>
      <c r="C1478" s="2" t="s">
        <v>79</v>
      </c>
      <c r="D1478" s="1" t="s">
        <v>80</v>
      </c>
    </row>
    <row r="1479">
      <c r="A1479" s="2" t="s">
        <v>1426</v>
      </c>
      <c r="B1479" s="1" t="s">
        <v>1427</v>
      </c>
      <c r="C1479" s="2" t="s">
        <v>871</v>
      </c>
      <c r="D1479" s="1" t="s">
        <v>642</v>
      </c>
    </row>
    <row r="1480">
      <c r="A1480" s="2" t="s">
        <v>1412</v>
      </c>
      <c r="B1480" s="1" t="s">
        <v>1413</v>
      </c>
      <c r="C1480" s="2" t="s">
        <v>99</v>
      </c>
      <c r="D1480" s="1" t="s">
        <v>100</v>
      </c>
      <c r="E1480" s="2" t="s">
        <v>1414</v>
      </c>
    </row>
    <row r="1481">
      <c r="A1481" s="2" t="s">
        <v>1398</v>
      </c>
      <c r="B1481" s="1" t="s">
        <v>1399</v>
      </c>
      <c r="C1481" s="2" t="s">
        <v>252</v>
      </c>
      <c r="D1481" s="1" t="s">
        <v>253</v>
      </c>
      <c r="E1481" s="2" t="s">
        <v>1400</v>
      </c>
    </row>
    <row r="1482">
      <c r="A1482" s="2" t="s">
        <v>1431</v>
      </c>
      <c r="B1482" s="1" t="s">
        <v>1432</v>
      </c>
      <c r="C1482" s="2" t="s">
        <v>1346</v>
      </c>
      <c r="D1482" s="1" t="s">
        <v>1347</v>
      </c>
      <c r="E1482" s="2" t="s">
        <v>1433</v>
      </c>
    </row>
    <row r="1483">
      <c r="A1483" s="2" t="s">
        <v>1434</v>
      </c>
      <c r="B1483" s="1" t="s">
        <v>1435</v>
      </c>
      <c r="C1483" s="2" t="s">
        <v>1436</v>
      </c>
      <c r="D1483" s="1" t="s">
        <v>1437</v>
      </c>
    </row>
    <row r="1484">
      <c r="A1484" s="2" t="s">
        <v>1434</v>
      </c>
      <c r="B1484" s="1" t="s">
        <v>1435</v>
      </c>
      <c r="C1484" s="2" t="s">
        <v>1438</v>
      </c>
      <c r="D1484" s="1" t="s">
        <v>1439</v>
      </c>
    </row>
    <row r="1485">
      <c r="A1485" s="2" t="s">
        <v>1434</v>
      </c>
      <c r="B1485" s="1" t="s">
        <v>1435</v>
      </c>
      <c r="C1485" s="2" t="s">
        <v>380</v>
      </c>
      <c r="D1485" s="1" t="s">
        <v>381</v>
      </c>
    </row>
    <row r="1486">
      <c r="A1486" s="2" t="s">
        <v>1401</v>
      </c>
      <c r="B1486" s="1" t="s">
        <v>1402</v>
      </c>
      <c r="C1486" s="2" t="s">
        <v>439</v>
      </c>
      <c r="D1486" s="1" t="s">
        <v>440</v>
      </c>
      <c r="E1486" s="2" t="s">
        <v>1405</v>
      </c>
    </row>
    <row r="1487">
      <c r="A1487" s="2" t="s">
        <v>1434</v>
      </c>
      <c r="B1487" s="1" t="s">
        <v>1435</v>
      </c>
      <c r="C1487" s="2" t="s">
        <v>1004</v>
      </c>
      <c r="D1487" s="1" t="s">
        <v>1005</v>
      </c>
    </row>
    <row r="1488">
      <c r="A1488" s="2" t="s">
        <v>1434</v>
      </c>
      <c r="B1488" s="1" t="s">
        <v>1435</v>
      </c>
      <c r="C1488" s="2" t="s">
        <v>49</v>
      </c>
      <c r="D1488" s="1" t="s">
        <v>50</v>
      </c>
    </row>
    <row r="1489">
      <c r="A1489" s="2" t="s">
        <v>1423</v>
      </c>
      <c r="B1489" s="1" t="s">
        <v>1424</v>
      </c>
      <c r="C1489" s="2" t="s">
        <v>41</v>
      </c>
      <c r="D1489" s="1" t="s">
        <v>42</v>
      </c>
      <c r="E1489" s="2" t="s">
        <v>1425</v>
      </c>
    </row>
    <row r="1490">
      <c r="A1490" s="2" t="s">
        <v>1412</v>
      </c>
      <c r="B1490" s="1" t="s">
        <v>1413</v>
      </c>
      <c r="C1490" s="2" t="s">
        <v>22</v>
      </c>
      <c r="D1490" s="1" t="s">
        <v>23</v>
      </c>
      <c r="E1490" s="2" t="s">
        <v>1414</v>
      </c>
    </row>
    <row r="1491">
      <c r="A1491" s="2" t="s">
        <v>1440</v>
      </c>
      <c r="B1491" s="1" t="s">
        <v>1441</v>
      </c>
      <c r="C1491" s="2" t="s">
        <v>53</v>
      </c>
      <c r="D1491" s="1" t="s">
        <v>54</v>
      </c>
    </row>
    <row r="1492">
      <c r="A1492" s="2" t="s">
        <v>1401</v>
      </c>
      <c r="B1492" s="1" t="s">
        <v>1402</v>
      </c>
      <c r="C1492" s="2" t="s">
        <v>665</v>
      </c>
      <c r="D1492" s="1" t="s">
        <v>666</v>
      </c>
      <c r="E1492" s="2" t="s">
        <v>1405</v>
      </c>
    </row>
    <row r="1493">
      <c r="A1493" s="2" t="s">
        <v>1423</v>
      </c>
      <c r="B1493" s="1" t="s">
        <v>1424</v>
      </c>
      <c r="C1493" s="2" t="s">
        <v>77</v>
      </c>
      <c r="D1493" s="1" t="s">
        <v>78</v>
      </c>
      <c r="E1493" s="2" t="s">
        <v>1425</v>
      </c>
    </row>
    <row r="1494">
      <c r="A1494" s="2" t="s">
        <v>1423</v>
      </c>
      <c r="B1494" s="1" t="s">
        <v>1424</v>
      </c>
      <c r="C1494" s="2" t="s">
        <v>49</v>
      </c>
      <c r="D1494" s="1" t="s">
        <v>50</v>
      </c>
      <c r="E1494" s="2" t="s">
        <v>1425</v>
      </c>
    </row>
    <row r="1495">
      <c r="A1495" s="2" t="s">
        <v>1415</v>
      </c>
      <c r="B1495" s="1" t="s">
        <v>1416</v>
      </c>
      <c r="C1495" s="2" t="s">
        <v>139</v>
      </c>
      <c r="D1495" s="1" t="s">
        <v>140</v>
      </c>
      <c r="E1495" s="2" t="s">
        <v>1419</v>
      </c>
    </row>
    <row r="1496">
      <c r="A1496" s="2" t="s">
        <v>1442</v>
      </c>
      <c r="B1496" s="1" t="s">
        <v>1443</v>
      </c>
      <c r="C1496" s="2" t="s">
        <v>12</v>
      </c>
      <c r="D1496" s="1" t="s">
        <v>13</v>
      </c>
    </row>
    <row r="1497">
      <c r="A1497" s="2" t="s">
        <v>1442</v>
      </c>
      <c r="B1497" s="1" t="s">
        <v>1443</v>
      </c>
      <c r="C1497" s="2" t="s">
        <v>77</v>
      </c>
      <c r="D1497" s="1" t="s">
        <v>78</v>
      </c>
    </row>
    <row r="1498">
      <c r="A1498" s="2" t="s">
        <v>1444</v>
      </c>
      <c r="B1498" s="1" t="s">
        <v>1445</v>
      </c>
      <c r="C1498" s="2" t="s">
        <v>22</v>
      </c>
      <c r="D1498" s="1" t="s">
        <v>23</v>
      </c>
      <c r="E1498" s="2" t="s">
        <v>1446</v>
      </c>
    </row>
    <row r="1499">
      <c r="A1499" s="2" t="s">
        <v>1444</v>
      </c>
      <c r="B1499" s="1" t="s">
        <v>1445</v>
      </c>
      <c r="C1499" s="2" t="s">
        <v>25</v>
      </c>
      <c r="D1499" s="1" t="s">
        <v>26</v>
      </c>
      <c r="E1499" s="2" t="s">
        <v>1446</v>
      </c>
    </row>
    <row r="1500">
      <c r="A1500" s="2" t="s">
        <v>1442</v>
      </c>
      <c r="B1500" s="1" t="s">
        <v>1443</v>
      </c>
      <c r="C1500" s="2" t="s">
        <v>254</v>
      </c>
      <c r="D1500" s="1" t="s">
        <v>255</v>
      </c>
    </row>
    <row r="1501">
      <c r="A1501" s="2" t="s">
        <v>1406</v>
      </c>
      <c r="B1501" s="1" t="s">
        <v>1407</v>
      </c>
      <c r="C1501" s="2" t="s">
        <v>135</v>
      </c>
      <c r="D1501" s="1" t="s">
        <v>136</v>
      </c>
      <c r="E1501" s="2" t="s">
        <v>1408</v>
      </c>
    </row>
    <row r="1502">
      <c r="A1502" s="2" t="s">
        <v>1447</v>
      </c>
      <c r="B1502" s="1" t="s">
        <v>1448</v>
      </c>
      <c r="C1502" s="2" t="s">
        <v>230</v>
      </c>
      <c r="D1502" s="1" t="s">
        <v>231</v>
      </c>
      <c r="E1502" s="2" t="s">
        <v>1449</v>
      </c>
    </row>
    <row r="1503">
      <c r="A1503" s="2" t="s">
        <v>1442</v>
      </c>
      <c r="B1503" s="1" t="s">
        <v>1443</v>
      </c>
      <c r="C1503" s="2" t="s">
        <v>165</v>
      </c>
      <c r="D1503" s="1" t="s">
        <v>166</v>
      </c>
    </row>
    <row r="1504">
      <c r="A1504" s="2" t="s">
        <v>1450</v>
      </c>
      <c r="B1504" s="1" t="s">
        <v>1451</v>
      </c>
      <c r="C1504" s="2" t="s">
        <v>173</v>
      </c>
      <c r="D1504" s="1" t="s">
        <v>174</v>
      </c>
      <c r="E1504" s="2" t="s">
        <v>1452</v>
      </c>
    </row>
    <row r="1505">
      <c r="A1505" s="2" t="s">
        <v>1450</v>
      </c>
      <c r="B1505" s="1" t="s">
        <v>1451</v>
      </c>
      <c r="C1505" s="2" t="s">
        <v>22</v>
      </c>
      <c r="D1505" s="1" t="s">
        <v>23</v>
      </c>
      <c r="E1505" s="2" t="s">
        <v>1452</v>
      </c>
    </row>
    <row r="1506">
      <c r="A1506" s="2" t="s">
        <v>1447</v>
      </c>
      <c r="B1506" s="1" t="s">
        <v>1448</v>
      </c>
      <c r="C1506" s="2" t="s">
        <v>133</v>
      </c>
      <c r="D1506" s="1" t="s">
        <v>134</v>
      </c>
      <c r="E1506" s="2" t="s">
        <v>1449</v>
      </c>
    </row>
    <row r="1507">
      <c r="A1507" s="2" t="s">
        <v>1412</v>
      </c>
      <c r="B1507" s="1" t="s">
        <v>1413</v>
      </c>
      <c r="C1507" s="2" t="s">
        <v>1453</v>
      </c>
      <c r="D1507" s="1" t="s">
        <v>248</v>
      </c>
      <c r="E1507" s="2" t="s">
        <v>1414</v>
      </c>
    </row>
    <row r="1508">
      <c r="A1508" s="2" t="s">
        <v>1412</v>
      </c>
      <c r="B1508" s="1" t="s">
        <v>1413</v>
      </c>
      <c r="C1508" s="2" t="s">
        <v>79</v>
      </c>
      <c r="D1508" s="1" t="s">
        <v>80</v>
      </c>
      <c r="E1508" s="2" t="s">
        <v>1414</v>
      </c>
    </row>
    <row r="1509">
      <c r="A1509" s="2" t="s">
        <v>1440</v>
      </c>
      <c r="B1509" s="1" t="s">
        <v>1441</v>
      </c>
      <c r="C1509" s="2" t="s">
        <v>41</v>
      </c>
      <c r="D1509" s="1" t="s">
        <v>42</v>
      </c>
    </row>
    <row r="1510">
      <c r="A1510" s="2" t="s">
        <v>1440</v>
      </c>
      <c r="B1510" s="1" t="s">
        <v>1441</v>
      </c>
      <c r="C1510" s="2" t="s">
        <v>12</v>
      </c>
      <c r="D1510" s="1" t="s">
        <v>13</v>
      </c>
    </row>
    <row r="1511">
      <c r="A1511" s="2" t="s">
        <v>1440</v>
      </c>
      <c r="B1511" s="1" t="s">
        <v>1441</v>
      </c>
      <c r="C1511" s="2" t="s">
        <v>135</v>
      </c>
      <c r="D1511" s="1" t="s">
        <v>136</v>
      </c>
    </row>
    <row r="1512">
      <c r="A1512" s="2" t="s">
        <v>1440</v>
      </c>
      <c r="B1512" s="1" t="s">
        <v>1441</v>
      </c>
      <c r="C1512" s="2" t="s">
        <v>43</v>
      </c>
      <c r="D1512" s="1" t="s">
        <v>44</v>
      </c>
    </row>
    <row r="1513">
      <c r="A1513" s="2" t="s">
        <v>1412</v>
      </c>
      <c r="B1513" s="1" t="s">
        <v>1413</v>
      </c>
      <c r="C1513" s="2" t="s">
        <v>252</v>
      </c>
      <c r="D1513" s="1" t="s">
        <v>253</v>
      </c>
      <c r="E1513" s="2" t="s">
        <v>1414</v>
      </c>
    </row>
    <row r="1514">
      <c r="A1514" s="2" t="s">
        <v>1447</v>
      </c>
      <c r="B1514" s="1" t="s">
        <v>1448</v>
      </c>
      <c r="C1514" s="2" t="s">
        <v>22</v>
      </c>
      <c r="D1514" s="1" t="s">
        <v>23</v>
      </c>
      <c r="E1514" s="2" t="s">
        <v>1449</v>
      </c>
    </row>
    <row r="1515">
      <c r="A1515" s="2" t="s">
        <v>1440</v>
      </c>
      <c r="B1515" s="1" t="s">
        <v>1441</v>
      </c>
      <c r="C1515" s="2" t="s">
        <v>49</v>
      </c>
      <c r="D1515" s="1" t="s">
        <v>50</v>
      </c>
    </row>
    <row r="1516">
      <c r="A1516" s="2" t="s">
        <v>1412</v>
      </c>
      <c r="B1516" s="1" t="s">
        <v>1413</v>
      </c>
      <c r="C1516" s="2" t="s">
        <v>180</v>
      </c>
      <c r="D1516" s="1" t="s">
        <v>181</v>
      </c>
      <c r="E1516" s="2" t="s">
        <v>1414</v>
      </c>
    </row>
    <row r="1517">
      <c r="A1517" s="2" t="s">
        <v>1450</v>
      </c>
      <c r="B1517" s="1" t="s">
        <v>1451</v>
      </c>
      <c r="C1517" s="2" t="s">
        <v>79</v>
      </c>
      <c r="D1517" s="1" t="s">
        <v>80</v>
      </c>
      <c r="E1517" s="2" t="s">
        <v>1452</v>
      </c>
    </row>
    <row r="1518">
      <c r="A1518" s="2" t="s">
        <v>1406</v>
      </c>
      <c r="B1518" s="1" t="s">
        <v>1407</v>
      </c>
      <c r="C1518" s="2" t="s">
        <v>25</v>
      </c>
      <c r="D1518" s="1" t="s">
        <v>26</v>
      </c>
      <c r="E1518" s="2" t="s">
        <v>1408</v>
      </c>
    </row>
    <row r="1519">
      <c r="A1519" s="2" t="s">
        <v>1428</v>
      </c>
      <c r="B1519" s="1" t="s">
        <v>1429</v>
      </c>
      <c r="C1519" s="2" t="s">
        <v>12</v>
      </c>
      <c r="D1519" s="1" t="s">
        <v>13</v>
      </c>
      <c r="E1519" s="2" t="s">
        <v>1430</v>
      </c>
    </row>
    <row r="1520">
      <c r="A1520" s="2" t="s">
        <v>1423</v>
      </c>
      <c r="B1520" s="1" t="s">
        <v>1424</v>
      </c>
      <c r="C1520" s="2" t="s">
        <v>43</v>
      </c>
      <c r="D1520" s="1" t="s">
        <v>44</v>
      </c>
      <c r="E1520" s="2" t="s">
        <v>1425</v>
      </c>
    </row>
    <row r="1521">
      <c r="A1521" s="2" t="s">
        <v>1454</v>
      </c>
      <c r="B1521" s="1" t="s">
        <v>1455</v>
      </c>
      <c r="C1521" s="2" t="s">
        <v>53</v>
      </c>
      <c r="D1521" s="1" t="s">
        <v>54</v>
      </c>
    </row>
    <row r="1522">
      <c r="A1522" s="2" t="s">
        <v>1431</v>
      </c>
      <c r="B1522" s="1" t="s">
        <v>1432</v>
      </c>
      <c r="C1522" s="2" t="s">
        <v>443</v>
      </c>
      <c r="D1522" s="1" t="s">
        <v>444</v>
      </c>
      <c r="E1522" s="2" t="s">
        <v>1433</v>
      </c>
    </row>
    <row r="1523">
      <c r="A1523" s="2" t="s">
        <v>1423</v>
      </c>
      <c r="B1523" s="1" t="s">
        <v>1424</v>
      </c>
      <c r="C1523" s="2" t="s">
        <v>22</v>
      </c>
      <c r="D1523" s="1" t="s">
        <v>23</v>
      </c>
      <c r="E1523" s="2" t="s">
        <v>1425</v>
      </c>
    </row>
    <row r="1524">
      <c r="A1524" s="2" t="s">
        <v>1428</v>
      </c>
      <c r="B1524" s="1" t="s">
        <v>1429</v>
      </c>
      <c r="C1524" s="2" t="s">
        <v>49</v>
      </c>
      <c r="D1524" s="1" t="s">
        <v>50</v>
      </c>
      <c r="E1524" s="2" t="s">
        <v>1430</v>
      </c>
    </row>
    <row r="1525">
      <c r="A1525" s="2" t="s">
        <v>1440</v>
      </c>
      <c r="B1525" s="1" t="s">
        <v>1441</v>
      </c>
      <c r="C1525" s="2" t="s">
        <v>69</v>
      </c>
      <c r="D1525" s="1" t="s">
        <v>70</v>
      </c>
    </row>
    <row r="1526">
      <c r="A1526" s="2" t="s">
        <v>1444</v>
      </c>
      <c r="B1526" s="1" t="s">
        <v>1445</v>
      </c>
      <c r="C1526" s="2" t="s">
        <v>1456</v>
      </c>
      <c r="D1526" s="1" t="s">
        <v>1457</v>
      </c>
      <c r="E1526" s="2" t="s">
        <v>1446</v>
      </c>
    </row>
    <row r="1527">
      <c r="A1527" s="2" t="s">
        <v>1415</v>
      </c>
      <c r="B1527" s="1" t="s">
        <v>1416</v>
      </c>
      <c r="C1527" s="2" t="s">
        <v>353</v>
      </c>
      <c r="D1527" s="1" t="s">
        <v>354</v>
      </c>
      <c r="E1527" s="2" t="s">
        <v>1419</v>
      </c>
    </row>
    <row r="1528">
      <c r="A1528" s="2" t="s">
        <v>1415</v>
      </c>
      <c r="B1528" s="1" t="s">
        <v>1416</v>
      </c>
      <c r="C1528" s="2" t="s">
        <v>341</v>
      </c>
      <c r="D1528" s="1" t="s">
        <v>342</v>
      </c>
      <c r="E1528" s="2" t="s">
        <v>1419</v>
      </c>
    </row>
    <row r="1529">
      <c r="A1529" s="2" t="s">
        <v>1442</v>
      </c>
      <c r="B1529" s="1" t="s">
        <v>1443</v>
      </c>
      <c r="C1529" s="2" t="s">
        <v>395</v>
      </c>
      <c r="D1529" s="1" t="s">
        <v>396</v>
      </c>
    </row>
    <row r="1530">
      <c r="A1530" s="2" t="s">
        <v>1454</v>
      </c>
      <c r="B1530" s="1" t="s">
        <v>1455</v>
      </c>
      <c r="C1530" s="2" t="s">
        <v>103</v>
      </c>
      <c r="D1530" s="1" t="s">
        <v>104</v>
      </c>
    </row>
    <row r="1531">
      <c r="A1531" s="2" t="s">
        <v>1454</v>
      </c>
      <c r="B1531" s="1" t="s">
        <v>1455</v>
      </c>
      <c r="C1531" s="2" t="s">
        <v>77</v>
      </c>
      <c r="D1531" s="1" t="s">
        <v>78</v>
      </c>
    </row>
    <row r="1532">
      <c r="A1532" s="2" t="s">
        <v>1454</v>
      </c>
      <c r="B1532" s="1" t="s">
        <v>1455</v>
      </c>
      <c r="C1532" s="2" t="s">
        <v>43</v>
      </c>
      <c r="D1532" s="1" t="s">
        <v>44</v>
      </c>
    </row>
    <row r="1533">
      <c r="A1533" s="2" t="s">
        <v>1458</v>
      </c>
      <c r="B1533" s="1" t="s">
        <v>1459</v>
      </c>
      <c r="C1533" s="2" t="s">
        <v>43</v>
      </c>
      <c r="D1533" s="1" t="s">
        <v>44</v>
      </c>
      <c r="E1533" s="2" t="s">
        <v>1460</v>
      </c>
    </row>
    <row r="1534">
      <c r="A1534" s="2" t="s">
        <v>1428</v>
      </c>
      <c r="B1534" s="1" t="s">
        <v>1429</v>
      </c>
      <c r="C1534" s="2" t="s">
        <v>230</v>
      </c>
      <c r="D1534" s="1" t="s">
        <v>231</v>
      </c>
      <c r="E1534" s="2" t="s">
        <v>1430</v>
      </c>
    </row>
    <row r="1535">
      <c r="A1535" s="2" t="s">
        <v>1434</v>
      </c>
      <c r="B1535" s="1" t="s">
        <v>1435</v>
      </c>
      <c r="C1535" s="2" t="s">
        <v>370</v>
      </c>
      <c r="D1535" s="1" t="s">
        <v>371</v>
      </c>
    </row>
    <row r="1536">
      <c r="A1536" s="2" t="s">
        <v>1428</v>
      </c>
      <c r="B1536" s="1" t="s">
        <v>1429</v>
      </c>
      <c r="C1536" s="2" t="s">
        <v>133</v>
      </c>
      <c r="D1536" s="1" t="s">
        <v>134</v>
      </c>
      <c r="E1536" s="2" t="s">
        <v>1430</v>
      </c>
    </row>
    <row r="1537">
      <c r="A1537" s="2" t="s">
        <v>1458</v>
      </c>
      <c r="B1537" s="1" t="s">
        <v>1459</v>
      </c>
      <c r="C1537" s="2" t="s">
        <v>22</v>
      </c>
      <c r="D1537" s="1" t="s">
        <v>23</v>
      </c>
      <c r="E1537" s="2" t="s">
        <v>1460</v>
      </c>
    </row>
    <row r="1538">
      <c r="A1538" s="2" t="s">
        <v>1461</v>
      </c>
      <c r="B1538" s="1" t="s">
        <v>1462</v>
      </c>
      <c r="C1538" s="2" t="s">
        <v>49</v>
      </c>
      <c r="D1538" s="1" t="s">
        <v>50</v>
      </c>
      <c r="E1538" s="2" t="s">
        <v>1463</v>
      </c>
    </row>
    <row r="1539">
      <c r="A1539" s="2" t="s">
        <v>1454</v>
      </c>
      <c r="B1539" s="1" t="s">
        <v>1455</v>
      </c>
      <c r="C1539" s="2" t="s">
        <v>92</v>
      </c>
      <c r="D1539" s="1" t="s">
        <v>93</v>
      </c>
    </row>
    <row r="1540">
      <c r="A1540" s="2" t="s">
        <v>1454</v>
      </c>
      <c r="B1540" s="1" t="s">
        <v>1455</v>
      </c>
      <c r="C1540" s="2" t="s">
        <v>147</v>
      </c>
      <c r="D1540" s="1" t="s">
        <v>148</v>
      </c>
    </row>
    <row r="1541">
      <c r="A1541" s="2" t="s">
        <v>1409</v>
      </c>
      <c r="B1541" s="1" t="s">
        <v>1410</v>
      </c>
      <c r="C1541" s="2" t="s">
        <v>12</v>
      </c>
      <c r="D1541" s="1" t="s">
        <v>13</v>
      </c>
      <c r="E1541" s="2" t="s">
        <v>1411</v>
      </c>
    </row>
    <row r="1542">
      <c r="A1542" s="2" t="s">
        <v>1454</v>
      </c>
      <c r="B1542" s="1" t="s">
        <v>1455</v>
      </c>
      <c r="C1542" s="2" t="s">
        <v>69</v>
      </c>
      <c r="D1542" s="1" t="s">
        <v>70</v>
      </c>
    </row>
    <row r="1543">
      <c r="A1543" s="2" t="s">
        <v>1398</v>
      </c>
      <c r="B1543" s="1" t="s">
        <v>1399</v>
      </c>
      <c r="C1543" s="2" t="s">
        <v>103</v>
      </c>
      <c r="D1543" s="1" t="s">
        <v>104</v>
      </c>
      <c r="E1543" s="2" t="s">
        <v>1400</v>
      </c>
    </row>
    <row r="1544">
      <c r="A1544" s="2" t="s">
        <v>1409</v>
      </c>
      <c r="B1544" s="1" t="s">
        <v>1410</v>
      </c>
      <c r="C1544" s="2" t="s">
        <v>49</v>
      </c>
      <c r="D1544" s="1" t="s">
        <v>50</v>
      </c>
      <c r="E1544" s="2" t="s">
        <v>1411</v>
      </c>
    </row>
    <row r="1545">
      <c r="A1545" s="2" t="s">
        <v>1420</v>
      </c>
      <c r="B1545" s="1" t="s">
        <v>1421</v>
      </c>
      <c r="C1545" s="2" t="s">
        <v>12</v>
      </c>
      <c r="D1545" s="1" t="s">
        <v>13</v>
      </c>
      <c r="E1545" s="2" t="s">
        <v>1422</v>
      </c>
    </row>
    <row r="1546">
      <c r="A1546" s="2" t="s">
        <v>1398</v>
      </c>
      <c r="B1546" s="1" t="s">
        <v>1399</v>
      </c>
      <c r="C1546" s="2" t="s">
        <v>49</v>
      </c>
      <c r="D1546" s="1" t="s">
        <v>50</v>
      </c>
      <c r="E1546" s="2" t="s">
        <v>1400</v>
      </c>
    </row>
    <row r="1547">
      <c r="A1547" s="2" t="s">
        <v>1442</v>
      </c>
      <c r="B1547" s="1" t="s">
        <v>1443</v>
      </c>
      <c r="C1547" s="2" t="s">
        <v>22</v>
      </c>
      <c r="D1547" s="1" t="s">
        <v>23</v>
      </c>
    </row>
    <row r="1548">
      <c r="A1548" s="2" t="s">
        <v>1464</v>
      </c>
      <c r="B1548" s="1" t="s">
        <v>1465</v>
      </c>
      <c r="C1548" s="2" t="s">
        <v>12</v>
      </c>
      <c r="D1548" s="1" t="s">
        <v>13</v>
      </c>
    </row>
    <row r="1549">
      <c r="A1549" s="2" t="s">
        <v>1464</v>
      </c>
      <c r="B1549" s="1" t="s">
        <v>1465</v>
      </c>
      <c r="C1549" s="2" t="s">
        <v>186</v>
      </c>
      <c r="D1549" s="1" t="s">
        <v>187</v>
      </c>
    </row>
    <row r="1550">
      <c r="A1550" s="2" t="s">
        <v>1464</v>
      </c>
      <c r="B1550" s="1" t="s">
        <v>1465</v>
      </c>
      <c r="C1550" s="2" t="s">
        <v>77</v>
      </c>
      <c r="D1550" s="1" t="s">
        <v>78</v>
      </c>
    </row>
    <row r="1551">
      <c r="A1551" s="2" t="s">
        <v>1401</v>
      </c>
      <c r="B1551" s="1" t="s">
        <v>1402</v>
      </c>
      <c r="C1551" s="2" t="s">
        <v>353</v>
      </c>
      <c r="D1551" s="1" t="s">
        <v>354</v>
      </c>
      <c r="E1551" s="2" t="s">
        <v>1405</v>
      </c>
    </row>
    <row r="1552">
      <c r="A1552" s="2" t="s">
        <v>1428</v>
      </c>
      <c r="B1552" s="1" t="s">
        <v>1429</v>
      </c>
      <c r="C1552" s="2" t="s">
        <v>120</v>
      </c>
      <c r="D1552" s="1" t="s">
        <v>121</v>
      </c>
      <c r="E1552" s="2" t="s">
        <v>1430</v>
      </c>
    </row>
    <row r="1553">
      <c r="A1553" s="2" t="s">
        <v>1423</v>
      </c>
      <c r="B1553" s="1" t="s">
        <v>1424</v>
      </c>
      <c r="C1553" s="2" t="s">
        <v>296</v>
      </c>
      <c r="D1553" s="1" t="s">
        <v>297</v>
      </c>
      <c r="E1553" s="2" t="s">
        <v>1425</v>
      </c>
    </row>
    <row r="1554">
      <c r="A1554" s="2" t="s">
        <v>1409</v>
      </c>
      <c r="B1554" s="1" t="s">
        <v>1410</v>
      </c>
      <c r="C1554" s="2" t="s">
        <v>405</v>
      </c>
      <c r="D1554" s="1" t="s">
        <v>406</v>
      </c>
      <c r="E1554" s="2" t="s">
        <v>1411</v>
      </c>
    </row>
    <row r="1555">
      <c r="A1555" s="2" t="s">
        <v>1409</v>
      </c>
      <c r="B1555" s="1" t="s">
        <v>1410</v>
      </c>
      <c r="C1555" s="2" t="s">
        <v>254</v>
      </c>
      <c r="D1555" s="1" t="s">
        <v>255</v>
      </c>
      <c r="E1555" s="2" t="s">
        <v>1411</v>
      </c>
    </row>
    <row r="1556">
      <c r="A1556" s="2" t="s">
        <v>1440</v>
      </c>
      <c r="B1556" s="1" t="s">
        <v>1441</v>
      </c>
      <c r="C1556" s="2" t="s">
        <v>22</v>
      </c>
      <c r="D1556" s="1" t="s">
        <v>23</v>
      </c>
    </row>
    <row r="1557">
      <c r="A1557" s="2" t="s">
        <v>1461</v>
      </c>
      <c r="B1557" s="1" t="s">
        <v>1462</v>
      </c>
      <c r="C1557" s="2" t="s">
        <v>43</v>
      </c>
      <c r="D1557" s="1" t="s">
        <v>44</v>
      </c>
      <c r="E1557" s="2" t="s">
        <v>1463</v>
      </c>
    </row>
    <row r="1558">
      <c r="A1558" s="2" t="s">
        <v>1409</v>
      </c>
      <c r="B1558" s="1" t="s">
        <v>1410</v>
      </c>
      <c r="C1558" s="2" t="s">
        <v>128</v>
      </c>
      <c r="D1558" s="1" t="s">
        <v>129</v>
      </c>
      <c r="E1558" s="2" t="s">
        <v>1411</v>
      </c>
    </row>
    <row r="1559">
      <c r="A1559" s="2" t="s">
        <v>1409</v>
      </c>
      <c r="B1559" s="1" t="s">
        <v>1410</v>
      </c>
      <c r="C1559" s="2" t="s">
        <v>345</v>
      </c>
      <c r="D1559" s="1" t="s">
        <v>346</v>
      </c>
      <c r="E1559" s="2" t="s">
        <v>1411</v>
      </c>
    </row>
    <row r="1560">
      <c r="A1560" s="2" t="s">
        <v>1466</v>
      </c>
      <c r="B1560" s="1" t="s">
        <v>1467</v>
      </c>
      <c r="C1560" s="2" t="s">
        <v>41</v>
      </c>
      <c r="D1560" s="1" t="s">
        <v>42</v>
      </c>
    </row>
    <row r="1561">
      <c r="A1561" s="2" t="s">
        <v>1466</v>
      </c>
      <c r="B1561" s="1" t="s">
        <v>1467</v>
      </c>
      <c r="C1561" s="2" t="s">
        <v>133</v>
      </c>
      <c r="D1561" s="1" t="s">
        <v>134</v>
      </c>
    </row>
    <row r="1562">
      <c r="A1562" s="2" t="s">
        <v>1466</v>
      </c>
      <c r="B1562" s="1" t="s">
        <v>1467</v>
      </c>
      <c r="C1562" s="2" t="s">
        <v>43</v>
      </c>
      <c r="D1562" s="1" t="s">
        <v>44</v>
      </c>
    </row>
    <row r="1563">
      <c r="A1563" s="2" t="s">
        <v>1468</v>
      </c>
      <c r="B1563" s="1" t="s">
        <v>1469</v>
      </c>
      <c r="C1563" s="2" t="s">
        <v>49</v>
      </c>
      <c r="D1563" s="1" t="s">
        <v>50</v>
      </c>
    </row>
    <row r="1564">
      <c r="A1564" s="2" t="s">
        <v>1466</v>
      </c>
      <c r="B1564" s="1" t="s">
        <v>1467</v>
      </c>
      <c r="C1564" s="2" t="s">
        <v>49</v>
      </c>
      <c r="D1564" s="1" t="s">
        <v>50</v>
      </c>
    </row>
    <row r="1565">
      <c r="A1565" s="2" t="s">
        <v>1470</v>
      </c>
      <c r="B1565" s="1" t="s">
        <v>1471</v>
      </c>
      <c r="C1565" s="2" t="s">
        <v>41</v>
      </c>
      <c r="D1565" s="1" t="s">
        <v>42</v>
      </c>
    </row>
    <row r="1566">
      <c r="A1566" s="2" t="s">
        <v>1470</v>
      </c>
      <c r="B1566" s="1" t="s">
        <v>1471</v>
      </c>
      <c r="C1566" s="2" t="s">
        <v>84</v>
      </c>
      <c r="D1566" s="1" t="s">
        <v>85</v>
      </c>
    </row>
    <row r="1567">
      <c r="A1567" s="2" t="s">
        <v>1468</v>
      </c>
      <c r="B1567" s="1" t="s">
        <v>1469</v>
      </c>
      <c r="C1567" s="2" t="s">
        <v>296</v>
      </c>
      <c r="D1567" s="1" t="s">
        <v>297</v>
      </c>
    </row>
    <row r="1568">
      <c r="A1568" s="2" t="s">
        <v>1470</v>
      </c>
      <c r="B1568" s="1" t="s">
        <v>1471</v>
      </c>
      <c r="C1568" s="2" t="s">
        <v>43</v>
      </c>
      <c r="D1568" s="1" t="s">
        <v>44</v>
      </c>
    </row>
    <row r="1569">
      <c r="A1569" s="2" t="s">
        <v>1470</v>
      </c>
      <c r="B1569" s="1" t="s">
        <v>1471</v>
      </c>
      <c r="C1569" s="2" t="s">
        <v>49</v>
      </c>
      <c r="D1569" s="1" t="s">
        <v>50</v>
      </c>
    </row>
    <row r="1570">
      <c r="A1570" s="2" t="s">
        <v>1470</v>
      </c>
      <c r="B1570" s="1" t="s">
        <v>1471</v>
      </c>
      <c r="C1570" s="2" t="s">
        <v>92</v>
      </c>
      <c r="D1570" s="1" t="s">
        <v>93</v>
      </c>
    </row>
    <row r="1571">
      <c r="A1571" s="2" t="s">
        <v>1472</v>
      </c>
      <c r="B1571" s="1" t="s">
        <v>1473</v>
      </c>
      <c r="C1571" s="2" t="s">
        <v>341</v>
      </c>
      <c r="D1571" s="1" t="s">
        <v>342</v>
      </c>
    </row>
    <row r="1572">
      <c r="A1572" s="2" t="s">
        <v>1472</v>
      </c>
      <c r="B1572" s="1" t="s">
        <v>1473</v>
      </c>
      <c r="C1572" s="2" t="s">
        <v>353</v>
      </c>
      <c r="D1572" s="1" t="s">
        <v>354</v>
      </c>
    </row>
    <row r="1573">
      <c r="A1573" s="2" t="s">
        <v>1472</v>
      </c>
      <c r="B1573" s="1" t="s">
        <v>1473</v>
      </c>
      <c r="C1573" s="2" t="s">
        <v>361</v>
      </c>
      <c r="D1573" s="1" t="s">
        <v>362</v>
      </c>
    </row>
    <row r="1574">
      <c r="A1574" s="2" t="s">
        <v>1468</v>
      </c>
      <c r="B1574" s="1" t="s">
        <v>1469</v>
      </c>
      <c r="C1574" s="2" t="s">
        <v>118</v>
      </c>
      <c r="D1574" s="1" t="s">
        <v>119</v>
      </c>
    </row>
    <row r="1575">
      <c r="A1575" s="2" t="s">
        <v>1474</v>
      </c>
      <c r="B1575" s="1" t="s">
        <v>1475</v>
      </c>
      <c r="C1575" s="2" t="s">
        <v>288</v>
      </c>
      <c r="D1575" s="1" t="s">
        <v>289</v>
      </c>
      <c r="E1575" s="2" t="s">
        <v>1476</v>
      </c>
    </row>
    <row r="1576">
      <c r="A1576" s="2" t="s">
        <v>1474</v>
      </c>
      <c r="B1576" s="1" t="s">
        <v>1475</v>
      </c>
      <c r="C1576" s="2" t="s">
        <v>49</v>
      </c>
      <c r="D1576" s="1" t="s">
        <v>50</v>
      </c>
      <c r="E1576" s="2" t="s">
        <v>1476</v>
      </c>
    </row>
    <row r="1577">
      <c r="A1577" s="2" t="s">
        <v>1474</v>
      </c>
      <c r="B1577" s="1" t="s">
        <v>1475</v>
      </c>
      <c r="C1577" s="2" t="s">
        <v>254</v>
      </c>
      <c r="D1577" s="1" t="s">
        <v>255</v>
      </c>
      <c r="E1577" s="2" t="s">
        <v>1476</v>
      </c>
    </row>
    <row r="1578">
      <c r="A1578" s="2" t="s">
        <v>1474</v>
      </c>
      <c r="B1578" s="1" t="s">
        <v>1475</v>
      </c>
      <c r="C1578" s="2" t="s">
        <v>43</v>
      </c>
      <c r="D1578" s="1" t="s">
        <v>44</v>
      </c>
      <c r="E1578" s="2" t="s">
        <v>1476</v>
      </c>
    </row>
    <row r="1579">
      <c r="A1579" s="2" t="s">
        <v>1474</v>
      </c>
      <c r="B1579" s="1" t="s">
        <v>1475</v>
      </c>
      <c r="C1579" s="2" t="s">
        <v>1477</v>
      </c>
      <c r="D1579" s="1" t="s">
        <v>1478</v>
      </c>
      <c r="E1579" s="2" t="s">
        <v>1476</v>
      </c>
    </row>
    <row r="1580">
      <c r="A1580" s="2" t="s">
        <v>1479</v>
      </c>
      <c r="B1580" s="1" t="s">
        <v>1480</v>
      </c>
      <c r="C1580" s="2" t="s">
        <v>41</v>
      </c>
      <c r="D1580" s="1" t="s">
        <v>42</v>
      </c>
    </row>
    <row r="1581">
      <c r="A1581" s="2" t="s">
        <v>1481</v>
      </c>
      <c r="B1581" s="1" t="s">
        <v>1482</v>
      </c>
      <c r="C1581" s="2" t="s">
        <v>35</v>
      </c>
      <c r="D1581" s="1" t="s">
        <v>36</v>
      </c>
    </row>
    <row r="1582">
      <c r="A1582" s="2" t="s">
        <v>1481</v>
      </c>
      <c r="B1582" s="1" t="s">
        <v>1482</v>
      </c>
      <c r="C1582" s="2" t="s">
        <v>405</v>
      </c>
      <c r="D1582" s="1" t="s">
        <v>406</v>
      </c>
    </row>
    <row r="1583">
      <c r="A1583" s="2" t="s">
        <v>1479</v>
      </c>
      <c r="B1583" s="1" t="s">
        <v>1480</v>
      </c>
      <c r="C1583" s="2" t="s">
        <v>43</v>
      </c>
      <c r="D1583" s="1" t="s">
        <v>44</v>
      </c>
    </row>
    <row r="1584">
      <c r="A1584" s="2" t="s">
        <v>1483</v>
      </c>
      <c r="B1584" s="1" t="s">
        <v>1484</v>
      </c>
      <c r="C1584" s="2" t="s">
        <v>53</v>
      </c>
      <c r="D1584" s="1" t="s">
        <v>54</v>
      </c>
    </row>
    <row r="1585">
      <c r="A1585" s="2" t="s">
        <v>1481</v>
      </c>
      <c r="B1585" s="1" t="s">
        <v>1482</v>
      </c>
      <c r="C1585" s="2" t="s">
        <v>49</v>
      </c>
      <c r="D1585" s="1" t="s">
        <v>50</v>
      </c>
    </row>
    <row r="1586">
      <c r="A1586" s="2" t="s">
        <v>1485</v>
      </c>
      <c r="B1586" s="1" t="s">
        <v>1486</v>
      </c>
      <c r="C1586" s="2" t="s">
        <v>12</v>
      </c>
      <c r="D1586" s="1" t="s">
        <v>13</v>
      </c>
    </row>
    <row r="1587">
      <c r="A1587" s="2" t="s">
        <v>1487</v>
      </c>
      <c r="B1587" s="1" t="s">
        <v>1488</v>
      </c>
      <c r="C1587" s="2" t="s">
        <v>41</v>
      </c>
      <c r="D1587" s="1" t="s">
        <v>42</v>
      </c>
    </row>
    <row r="1588">
      <c r="A1588" s="2" t="s">
        <v>1489</v>
      </c>
      <c r="B1588" s="1" t="s">
        <v>1490</v>
      </c>
      <c r="C1588" s="2" t="s">
        <v>53</v>
      </c>
      <c r="D1588" s="1" t="s">
        <v>54</v>
      </c>
    </row>
    <row r="1589">
      <c r="A1589" s="2" t="s">
        <v>1487</v>
      </c>
      <c r="B1589" s="1" t="s">
        <v>1488</v>
      </c>
      <c r="C1589" s="2" t="s">
        <v>43</v>
      </c>
      <c r="D1589" s="1" t="s">
        <v>44</v>
      </c>
    </row>
    <row r="1590">
      <c r="A1590" s="2" t="s">
        <v>1483</v>
      </c>
      <c r="B1590" s="1" t="s">
        <v>1484</v>
      </c>
      <c r="C1590" s="2" t="s">
        <v>84</v>
      </c>
      <c r="D1590" s="1" t="s">
        <v>85</v>
      </c>
    </row>
    <row r="1591">
      <c r="A1591" s="2" t="s">
        <v>1491</v>
      </c>
      <c r="B1591" s="1" t="s">
        <v>1492</v>
      </c>
      <c r="C1591" s="2" t="s">
        <v>41</v>
      </c>
      <c r="D1591" s="1" t="s">
        <v>42</v>
      </c>
    </row>
    <row r="1592">
      <c r="A1592" s="2" t="s">
        <v>1493</v>
      </c>
      <c r="B1592" s="1" t="s">
        <v>1494</v>
      </c>
      <c r="C1592" s="2" t="s">
        <v>703</v>
      </c>
      <c r="D1592" s="1" t="s">
        <v>704</v>
      </c>
      <c r="E1592" s="2" t="s">
        <v>1495</v>
      </c>
    </row>
    <row r="1593">
      <c r="A1593" s="2" t="s">
        <v>1483</v>
      </c>
      <c r="B1593" s="1" t="s">
        <v>1484</v>
      </c>
      <c r="C1593" s="2" t="s">
        <v>216</v>
      </c>
      <c r="D1593" s="1" t="s">
        <v>217</v>
      </c>
    </row>
    <row r="1594">
      <c r="A1594" s="2" t="s">
        <v>1483</v>
      </c>
      <c r="B1594" s="1" t="s">
        <v>1484</v>
      </c>
      <c r="C1594" s="2" t="s">
        <v>43</v>
      </c>
      <c r="D1594" s="1" t="s">
        <v>44</v>
      </c>
    </row>
    <row r="1595">
      <c r="A1595" s="2" t="s">
        <v>1491</v>
      </c>
      <c r="B1595" s="1" t="s">
        <v>1492</v>
      </c>
      <c r="C1595" s="2" t="s">
        <v>133</v>
      </c>
      <c r="D1595" s="1" t="s">
        <v>134</v>
      </c>
    </row>
    <row r="1596">
      <c r="A1596" s="2" t="s">
        <v>1491</v>
      </c>
      <c r="B1596" s="1" t="s">
        <v>1492</v>
      </c>
      <c r="C1596" s="2" t="s">
        <v>43</v>
      </c>
      <c r="D1596" s="1" t="s">
        <v>44</v>
      </c>
    </row>
    <row r="1597">
      <c r="A1597" s="2" t="s">
        <v>1496</v>
      </c>
      <c r="B1597" s="1" t="s">
        <v>1497</v>
      </c>
      <c r="C1597" s="2" t="s">
        <v>405</v>
      </c>
      <c r="D1597" s="1" t="s">
        <v>406</v>
      </c>
    </row>
    <row r="1598">
      <c r="A1598" s="2" t="s">
        <v>1498</v>
      </c>
      <c r="B1598" s="1" t="s">
        <v>1499</v>
      </c>
      <c r="C1598" s="2" t="s">
        <v>41</v>
      </c>
      <c r="D1598" s="1" t="s">
        <v>42</v>
      </c>
    </row>
    <row r="1599">
      <c r="A1599" s="2" t="s">
        <v>1496</v>
      </c>
      <c r="B1599" s="1" t="s">
        <v>1497</v>
      </c>
      <c r="C1599" s="2" t="s">
        <v>216</v>
      </c>
      <c r="D1599" s="1" t="s">
        <v>217</v>
      </c>
    </row>
    <row r="1600">
      <c r="A1600" s="2" t="s">
        <v>1500</v>
      </c>
      <c r="B1600" s="1" t="s">
        <v>1501</v>
      </c>
      <c r="C1600" s="2" t="s">
        <v>41</v>
      </c>
      <c r="D1600" s="1" t="s">
        <v>42</v>
      </c>
    </row>
    <row r="1601">
      <c r="A1601" s="2" t="s">
        <v>1498</v>
      </c>
      <c r="B1601" s="1" t="s">
        <v>1499</v>
      </c>
      <c r="C1601" s="2" t="s">
        <v>43</v>
      </c>
      <c r="D1601" s="1" t="s">
        <v>44</v>
      </c>
    </row>
    <row r="1602">
      <c r="A1602" s="2" t="s">
        <v>1500</v>
      </c>
      <c r="B1602" s="1" t="s">
        <v>1501</v>
      </c>
      <c r="C1602" s="2" t="s">
        <v>43</v>
      </c>
      <c r="D1602" s="1" t="s">
        <v>44</v>
      </c>
    </row>
    <row r="1603">
      <c r="A1603" s="2" t="s">
        <v>1491</v>
      </c>
      <c r="B1603" s="1" t="s">
        <v>1492</v>
      </c>
      <c r="C1603" s="2" t="s">
        <v>49</v>
      </c>
      <c r="D1603" s="1" t="s">
        <v>50</v>
      </c>
    </row>
    <row r="1604">
      <c r="A1604" s="2" t="s">
        <v>1502</v>
      </c>
      <c r="B1604" s="1" t="s">
        <v>1503</v>
      </c>
      <c r="C1604" s="2" t="s">
        <v>41</v>
      </c>
      <c r="D1604" s="1" t="s">
        <v>42</v>
      </c>
    </row>
    <row r="1605">
      <c r="A1605" s="2" t="s">
        <v>1502</v>
      </c>
      <c r="B1605" s="1" t="s">
        <v>1503</v>
      </c>
      <c r="C1605" s="2" t="s">
        <v>43</v>
      </c>
      <c r="D1605" s="1" t="s">
        <v>44</v>
      </c>
    </row>
    <row r="1606">
      <c r="A1606" s="2" t="s">
        <v>1498</v>
      </c>
      <c r="B1606" s="1" t="s">
        <v>1499</v>
      </c>
      <c r="C1606" s="2" t="s">
        <v>49</v>
      </c>
      <c r="D1606" s="1" t="s">
        <v>50</v>
      </c>
    </row>
    <row r="1607">
      <c r="A1607" s="2" t="s">
        <v>1479</v>
      </c>
      <c r="B1607" s="1" t="s">
        <v>1480</v>
      </c>
      <c r="C1607" s="2" t="s">
        <v>69</v>
      </c>
      <c r="D1607" s="1" t="s">
        <v>70</v>
      </c>
    </row>
    <row r="1608">
      <c r="A1608" s="2" t="s">
        <v>1504</v>
      </c>
      <c r="B1608" s="1" t="s">
        <v>1505</v>
      </c>
      <c r="C1608" s="2" t="s">
        <v>49</v>
      </c>
      <c r="D1608" s="1" t="s">
        <v>50</v>
      </c>
    </row>
    <row r="1609">
      <c r="A1609" s="2" t="s">
        <v>1500</v>
      </c>
      <c r="B1609" s="1" t="s">
        <v>1501</v>
      </c>
      <c r="C1609" s="2" t="s">
        <v>49</v>
      </c>
      <c r="D1609" s="1" t="s">
        <v>50</v>
      </c>
    </row>
    <row r="1610">
      <c r="A1610" s="2" t="s">
        <v>1506</v>
      </c>
      <c r="B1610" s="1" t="s">
        <v>1507</v>
      </c>
      <c r="C1610" s="2" t="s">
        <v>84</v>
      </c>
      <c r="D1610" s="1" t="s">
        <v>85</v>
      </c>
    </row>
    <row r="1611">
      <c r="A1611" s="2" t="s">
        <v>1508</v>
      </c>
      <c r="B1611" s="1" t="s">
        <v>1509</v>
      </c>
      <c r="C1611" s="2" t="s">
        <v>162</v>
      </c>
      <c r="D1611" s="1" t="s">
        <v>163</v>
      </c>
    </row>
    <row r="1612">
      <c r="A1612" s="2" t="s">
        <v>1502</v>
      </c>
      <c r="B1612" s="1" t="s">
        <v>1503</v>
      </c>
      <c r="C1612" s="2" t="s">
        <v>49</v>
      </c>
      <c r="D1612" s="1" t="s">
        <v>50</v>
      </c>
    </row>
    <row r="1613">
      <c r="A1613" s="2" t="s">
        <v>1510</v>
      </c>
      <c r="B1613" s="1" t="s">
        <v>1511</v>
      </c>
      <c r="C1613" s="2" t="s">
        <v>216</v>
      </c>
      <c r="D1613" s="1" t="s">
        <v>217</v>
      </c>
    </row>
    <row r="1614">
      <c r="A1614" s="2" t="s">
        <v>1510</v>
      </c>
      <c r="B1614" s="1" t="s">
        <v>1511</v>
      </c>
      <c r="C1614" s="2" t="s">
        <v>43</v>
      </c>
      <c r="D1614" s="1" t="s">
        <v>44</v>
      </c>
    </row>
    <row r="1615">
      <c r="A1615" s="2" t="s">
        <v>1485</v>
      </c>
      <c r="B1615" s="1" t="s">
        <v>1486</v>
      </c>
      <c r="C1615" s="2" t="s">
        <v>1512</v>
      </c>
      <c r="D1615" s="1" t="s">
        <v>1513</v>
      </c>
    </row>
    <row r="1616">
      <c r="A1616" s="2" t="s">
        <v>1508</v>
      </c>
      <c r="B1616" s="1" t="s">
        <v>1509</v>
      </c>
      <c r="C1616" s="2" t="s">
        <v>238</v>
      </c>
      <c r="D1616" s="1" t="s">
        <v>239</v>
      </c>
    </row>
    <row r="1617">
      <c r="A1617" s="2" t="s">
        <v>1489</v>
      </c>
      <c r="B1617" s="1" t="s">
        <v>1490</v>
      </c>
      <c r="C1617" s="2" t="s">
        <v>41</v>
      </c>
      <c r="D1617" s="1" t="s">
        <v>42</v>
      </c>
    </row>
    <row r="1618">
      <c r="A1618" s="2" t="s">
        <v>1506</v>
      </c>
      <c r="B1618" s="1" t="s">
        <v>1507</v>
      </c>
      <c r="C1618" s="2" t="s">
        <v>49</v>
      </c>
      <c r="D1618" s="1" t="s">
        <v>50</v>
      </c>
    </row>
    <row r="1619">
      <c r="A1619" s="2" t="s">
        <v>1487</v>
      </c>
      <c r="B1619" s="1" t="s">
        <v>1488</v>
      </c>
      <c r="C1619" s="2" t="s">
        <v>92</v>
      </c>
      <c r="D1619" s="1" t="s">
        <v>93</v>
      </c>
    </row>
    <row r="1620">
      <c r="A1620" s="2" t="s">
        <v>1514</v>
      </c>
      <c r="B1620" s="1" t="s">
        <v>1515</v>
      </c>
      <c r="C1620" s="2" t="s">
        <v>114</v>
      </c>
      <c r="D1620" s="1" t="s">
        <v>115</v>
      </c>
    </row>
    <row r="1621">
      <c r="A1621" s="2" t="s">
        <v>1514</v>
      </c>
      <c r="B1621" s="1" t="s">
        <v>1515</v>
      </c>
      <c r="C1621" s="2" t="s">
        <v>22</v>
      </c>
      <c r="D1621" s="1" t="s">
        <v>23</v>
      </c>
    </row>
    <row r="1622">
      <c r="A1622" s="2" t="s">
        <v>1516</v>
      </c>
      <c r="B1622" s="1" t="s">
        <v>1517</v>
      </c>
      <c r="C1622" s="2" t="s">
        <v>41</v>
      </c>
      <c r="D1622" s="1" t="s">
        <v>42</v>
      </c>
    </row>
    <row r="1623">
      <c r="A1623" s="2" t="s">
        <v>1483</v>
      </c>
      <c r="B1623" s="1" t="s">
        <v>1484</v>
      </c>
      <c r="C1623" s="2" t="s">
        <v>147</v>
      </c>
      <c r="D1623" s="1" t="s">
        <v>148</v>
      </c>
    </row>
    <row r="1624">
      <c r="A1624" s="2" t="s">
        <v>1516</v>
      </c>
      <c r="B1624" s="1" t="s">
        <v>1517</v>
      </c>
      <c r="C1624" s="2" t="s">
        <v>84</v>
      </c>
      <c r="D1624" s="1" t="s">
        <v>85</v>
      </c>
    </row>
    <row r="1625">
      <c r="A1625" s="2" t="s">
        <v>1516</v>
      </c>
      <c r="B1625" s="1" t="s">
        <v>1517</v>
      </c>
      <c r="C1625" s="2" t="s">
        <v>43</v>
      </c>
      <c r="D1625" s="1" t="s">
        <v>44</v>
      </c>
    </row>
    <row r="1626">
      <c r="A1626" s="2" t="s">
        <v>1487</v>
      </c>
      <c r="B1626" s="1" t="s">
        <v>1488</v>
      </c>
      <c r="C1626" s="2" t="s">
        <v>69</v>
      </c>
      <c r="D1626" s="1" t="s">
        <v>70</v>
      </c>
    </row>
    <row r="1627">
      <c r="A1627" s="2" t="s">
        <v>1516</v>
      </c>
      <c r="B1627" s="1" t="s">
        <v>1517</v>
      </c>
      <c r="C1627" s="2" t="s">
        <v>86</v>
      </c>
      <c r="D1627" s="1" t="s">
        <v>87</v>
      </c>
    </row>
    <row r="1628">
      <c r="A1628" s="2" t="s">
        <v>1483</v>
      </c>
      <c r="B1628" s="1" t="s">
        <v>1484</v>
      </c>
      <c r="C1628" s="2" t="s">
        <v>69</v>
      </c>
      <c r="D1628" s="1" t="s">
        <v>70</v>
      </c>
    </row>
    <row r="1629">
      <c r="A1629" s="2" t="s">
        <v>1491</v>
      </c>
      <c r="B1629" s="1" t="s">
        <v>1492</v>
      </c>
      <c r="C1629" s="2" t="s">
        <v>69</v>
      </c>
      <c r="D1629" s="1" t="s">
        <v>70</v>
      </c>
    </row>
    <row r="1630">
      <c r="A1630" s="2" t="s">
        <v>1516</v>
      </c>
      <c r="B1630" s="1" t="s">
        <v>1517</v>
      </c>
      <c r="C1630" s="2" t="s">
        <v>49</v>
      </c>
      <c r="D1630" s="1" t="s">
        <v>50</v>
      </c>
    </row>
    <row r="1631">
      <c r="A1631" s="2" t="s">
        <v>1518</v>
      </c>
      <c r="B1631" s="1" t="s">
        <v>1519</v>
      </c>
      <c r="C1631" s="2" t="s">
        <v>41</v>
      </c>
      <c r="D1631" s="1" t="s">
        <v>42</v>
      </c>
    </row>
    <row r="1632">
      <c r="A1632" s="2" t="s">
        <v>1518</v>
      </c>
      <c r="B1632" s="1" t="s">
        <v>1519</v>
      </c>
      <c r="C1632" s="2" t="s">
        <v>133</v>
      </c>
      <c r="D1632" s="1" t="s">
        <v>134</v>
      </c>
    </row>
    <row r="1633">
      <c r="A1633" s="2" t="s">
        <v>1518</v>
      </c>
      <c r="B1633" s="1" t="s">
        <v>1519</v>
      </c>
      <c r="C1633" s="2" t="s">
        <v>43</v>
      </c>
      <c r="D1633" s="1" t="s">
        <v>44</v>
      </c>
    </row>
    <row r="1634">
      <c r="A1634" s="2" t="s">
        <v>1491</v>
      </c>
      <c r="B1634" s="1" t="s">
        <v>1492</v>
      </c>
      <c r="C1634" s="2" t="s">
        <v>492</v>
      </c>
      <c r="D1634" s="1" t="s">
        <v>493</v>
      </c>
    </row>
    <row r="1635">
      <c r="A1635" s="2" t="s">
        <v>1498</v>
      </c>
      <c r="B1635" s="1" t="s">
        <v>1499</v>
      </c>
      <c r="C1635" s="2" t="s">
        <v>69</v>
      </c>
      <c r="D1635" s="1" t="s">
        <v>70</v>
      </c>
    </row>
    <row r="1636">
      <c r="A1636" s="2" t="s">
        <v>1504</v>
      </c>
      <c r="B1636" s="1" t="s">
        <v>1505</v>
      </c>
      <c r="C1636" s="2" t="s">
        <v>69</v>
      </c>
      <c r="D1636" s="1" t="s">
        <v>70</v>
      </c>
    </row>
    <row r="1637">
      <c r="A1637" s="2" t="s">
        <v>1500</v>
      </c>
      <c r="B1637" s="1" t="s">
        <v>1501</v>
      </c>
      <c r="C1637" s="2" t="s">
        <v>69</v>
      </c>
      <c r="D1637" s="1" t="s">
        <v>70</v>
      </c>
    </row>
    <row r="1638">
      <c r="A1638" s="2" t="s">
        <v>1506</v>
      </c>
      <c r="B1638" s="1" t="s">
        <v>1507</v>
      </c>
      <c r="C1638" s="2" t="s">
        <v>508</v>
      </c>
      <c r="D1638" s="1" t="s">
        <v>509</v>
      </c>
    </row>
    <row r="1639">
      <c r="A1639" s="2" t="s">
        <v>1510</v>
      </c>
      <c r="B1639" s="1" t="s">
        <v>1511</v>
      </c>
      <c r="C1639" s="2" t="s">
        <v>147</v>
      </c>
      <c r="D1639" s="1" t="s">
        <v>148</v>
      </c>
    </row>
    <row r="1640">
      <c r="A1640" s="2" t="s">
        <v>1502</v>
      </c>
      <c r="B1640" s="1" t="s">
        <v>1503</v>
      </c>
      <c r="C1640" s="2" t="s">
        <v>69</v>
      </c>
      <c r="D1640" s="1" t="s">
        <v>70</v>
      </c>
    </row>
    <row r="1641">
      <c r="A1641" s="2" t="s">
        <v>1518</v>
      </c>
      <c r="B1641" s="1" t="s">
        <v>1519</v>
      </c>
      <c r="C1641" s="2" t="s">
        <v>49</v>
      </c>
      <c r="D1641" s="1" t="s">
        <v>50</v>
      </c>
    </row>
    <row r="1642">
      <c r="A1642" s="2" t="s">
        <v>1506</v>
      </c>
      <c r="B1642" s="1" t="s">
        <v>1507</v>
      </c>
      <c r="C1642" s="2" t="s">
        <v>69</v>
      </c>
      <c r="D1642" s="1" t="s">
        <v>70</v>
      </c>
    </row>
    <row r="1643">
      <c r="A1643" s="2" t="s">
        <v>1510</v>
      </c>
      <c r="B1643" s="1" t="s">
        <v>1511</v>
      </c>
      <c r="C1643" s="2" t="s">
        <v>69</v>
      </c>
      <c r="D1643" s="1" t="s">
        <v>70</v>
      </c>
    </row>
    <row r="1644">
      <c r="A1644" s="2" t="s">
        <v>1489</v>
      </c>
      <c r="B1644" s="1" t="s">
        <v>1490</v>
      </c>
      <c r="C1644" s="2" t="s">
        <v>69</v>
      </c>
      <c r="D1644" s="1" t="s">
        <v>70</v>
      </c>
    </row>
    <row r="1645">
      <c r="A1645" s="2" t="s">
        <v>1510</v>
      </c>
      <c r="B1645" s="1" t="s">
        <v>1511</v>
      </c>
      <c r="C1645" s="2" t="s">
        <v>647</v>
      </c>
      <c r="D1645" s="1" t="s">
        <v>648</v>
      </c>
    </row>
    <row r="1646">
      <c r="A1646" s="2" t="s">
        <v>1496</v>
      </c>
      <c r="B1646" s="1" t="s">
        <v>1497</v>
      </c>
      <c r="C1646" s="2" t="s">
        <v>221</v>
      </c>
      <c r="D1646" s="1" t="s">
        <v>222</v>
      </c>
    </row>
    <row r="1647">
      <c r="A1647" s="2" t="s">
        <v>1458</v>
      </c>
      <c r="B1647" s="1" t="s">
        <v>1459</v>
      </c>
      <c r="C1647" s="2" t="s">
        <v>41</v>
      </c>
      <c r="D1647" s="1" t="s">
        <v>42</v>
      </c>
      <c r="E1647" s="2" t="s">
        <v>1460</v>
      </c>
    </row>
    <row r="1648">
      <c r="A1648" s="2" t="s">
        <v>1520</v>
      </c>
      <c r="B1648" s="1" t="s">
        <v>1521</v>
      </c>
      <c r="C1648" s="2" t="s">
        <v>604</v>
      </c>
      <c r="D1648" s="1" t="s">
        <v>605</v>
      </c>
    </row>
    <row r="1649">
      <c r="A1649" s="2" t="s">
        <v>1522</v>
      </c>
      <c r="B1649" s="1" t="s">
        <v>1523</v>
      </c>
      <c r="C1649" s="2" t="s">
        <v>341</v>
      </c>
      <c r="D1649" s="1" t="s">
        <v>342</v>
      </c>
    </row>
    <row r="1650">
      <c r="A1650" s="2" t="s">
        <v>1493</v>
      </c>
      <c r="B1650" s="1" t="s">
        <v>1494</v>
      </c>
      <c r="C1650" s="2" t="s">
        <v>151</v>
      </c>
      <c r="D1650" s="1" t="s">
        <v>152</v>
      </c>
      <c r="E1650" s="2" t="s">
        <v>1495</v>
      </c>
    </row>
    <row r="1651">
      <c r="A1651" s="2" t="s">
        <v>1522</v>
      </c>
      <c r="B1651" s="1" t="s">
        <v>1523</v>
      </c>
      <c r="C1651" s="2" t="s">
        <v>139</v>
      </c>
      <c r="D1651" s="1" t="s">
        <v>140</v>
      </c>
    </row>
    <row r="1652">
      <c r="A1652" s="2" t="s">
        <v>1522</v>
      </c>
      <c r="B1652" s="1" t="s">
        <v>1523</v>
      </c>
      <c r="C1652" s="2" t="s">
        <v>353</v>
      </c>
      <c r="D1652" s="1" t="s">
        <v>354</v>
      </c>
    </row>
    <row r="1653">
      <c r="A1653" s="2" t="s">
        <v>1522</v>
      </c>
      <c r="B1653" s="1" t="s">
        <v>1523</v>
      </c>
      <c r="C1653" s="2" t="s">
        <v>141</v>
      </c>
      <c r="D1653" s="1" t="s">
        <v>142</v>
      </c>
    </row>
    <row r="1654">
      <c r="A1654" s="2" t="s">
        <v>1458</v>
      </c>
      <c r="B1654" s="1" t="s">
        <v>1459</v>
      </c>
      <c r="C1654" s="2" t="s">
        <v>56</v>
      </c>
      <c r="D1654" s="1" t="s">
        <v>57</v>
      </c>
      <c r="E1654" s="2" t="s">
        <v>1460</v>
      </c>
    </row>
    <row r="1655">
      <c r="A1655" s="2" t="s">
        <v>1485</v>
      </c>
      <c r="B1655" s="1" t="s">
        <v>1486</v>
      </c>
      <c r="C1655" s="2" t="s">
        <v>173</v>
      </c>
      <c r="D1655" s="1" t="s">
        <v>174</v>
      </c>
    </row>
    <row r="1656">
      <c r="A1656" s="2" t="s">
        <v>1498</v>
      </c>
      <c r="B1656" s="1" t="s">
        <v>1499</v>
      </c>
      <c r="C1656" s="2" t="s">
        <v>22</v>
      </c>
      <c r="D1656" s="1" t="s">
        <v>23</v>
      </c>
    </row>
    <row r="1657">
      <c r="A1657" s="2" t="s">
        <v>1496</v>
      </c>
      <c r="B1657" s="1" t="s">
        <v>1497</v>
      </c>
      <c r="C1657" s="2" t="s">
        <v>118</v>
      </c>
      <c r="D1657" s="1" t="s">
        <v>119</v>
      </c>
    </row>
    <row r="1658">
      <c r="A1658" s="2" t="s">
        <v>1504</v>
      </c>
      <c r="B1658" s="1" t="s">
        <v>1505</v>
      </c>
      <c r="C1658" s="2" t="s">
        <v>118</v>
      </c>
      <c r="D1658" s="1" t="s">
        <v>119</v>
      </c>
    </row>
    <row r="1659">
      <c r="A1659" s="2" t="s">
        <v>1489</v>
      </c>
      <c r="B1659" s="1" t="s">
        <v>1490</v>
      </c>
      <c r="C1659" s="2" t="s">
        <v>118</v>
      </c>
      <c r="D1659" s="1" t="s">
        <v>119</v>
      </c>
    </row>
    <row r="1660">
      <c r="A1660" s="2" t="s">
        <v>1504</v>
      </c>
      <c r="B1660" s="1" t="s">
        <v>1505</v>
      </c>
      <c r="C1660" s="2" t="s">
        <v>143</v>
      </c>
      <c r="D1660" s="1" t="s">
        <v>144</v>
      </c>
    </row>
    <row r="1661">
      <c r="A1661" s="2" t="s">
        <v>1514</v>
      </c>
      <c r="B1661" s="1" t="s">
        <v>1515</v>
      </c>
      <c r="C1661" s="2" t="s">
        <v>162</v>
      </c>
      <c r="D1661" s="1" t="s">
        <v>163</v>
      </c>
    </row>
    <row r="1662">
      <c r="A1662" s="2" t="s">
        <v>1502</v>
      </c>
      <c r="B1662" s="1" t="s">
        <v>1503</v>
      </c>
      <c r="C1662" s="2" t="s">
        <v>143</v>
      </c>
      <c r="D1662" s="1" t="s">
        <v>144</v>
      </c>
    </row>
    <row r="1663">
      <c r="A1663" s="2" t="s">
        <v>1516</v>
      </c>
      <c r="B1663" s="1" t="s">
        <v>1517</v>
      </c>
      <c r="C1663" s="2" t="s">
        <v>22</v>
      </c>
      <c r="D1663" s="1" t="s">
        <v>23</v>
      </c>
    </row>
    <row r="1664">
      <c r="A1664" s="2" t="s">
        <v>1518</v>
      </c>
      <c r="B1664" s="1" t="s">
        <v>1519</v>
      </c>
      <c r="C1664" s="2" t="s">
        <v>25</v>
      </c>
      <c r="D1664" s="1" t="s">
        <v>26</v>
      </c>
    </row>
    <row r="1665">
      <c r="A1665" s="2" t="s">
        <v>1524</v>
      </c>
      <c r="B1665" s="1" t="s">
        <v>1525</v>
      </c>
      <c r="C1665" s="2" t="s">
        <v>53</v>
      </c>
      <c r="D1665" s="1" t="s">
        <v>54</v>
      </c>
    </row>
    <row r="1666">
      <c r="A1666" s="2" t="s">
        <v>1524</v>
      </c>
      <c r="B1666" s="1" t="s">
        <v>1525</v>
      </c>
      <c r="C1666" s="2" t="s">
        <v>43</v>
      </c>
      <c r="D1666" s="1" t="s">
        <v>44</v>
      </c>
    </row>
    <row r="1667">
      <c r="A1667" s="2" t="s">
        <v>1526</v>
      </c>
      <c r="B1667" s="1" t="s">
        <v>1527</v>
      </c>
      <c r="C1667" s="2" t="s">
        <v>53</v>
      </c>
      <c r="D1667" s="1" t="s">
        <v>54</v>
      </c>
    </row>
    <row r="1668">
      <c r="A1668" s="2" t="s">
        <v>1528</v>
      </c>
      <c r="B1668" s="1" t="s">
        <v>1529</v>
      </c>
      <c r="C1668" s="2" t="s">
        <v>53</v>
      </c>
      <c r="D1668" s="1" t="s">
        <v>54</v>
      </c>
    </row>
    <row r="1669">
      <c r="A1669" s="2" t="s">
        <v>1528</v>
      </c>
      <c r="B1669" s="1" t="s">
        <v>1529</v>
      </c>
      <c r="C1669" s="2" t="s">
        <v>202</v>
      </c>
      <c r="D1669" s="1" t="s">
        <v>203</v>
      </c>
    </row>
    <row r="1670">
      <c r="A1670" s="2" t="s">
        <v>1524</v>
      </c>
      <c r="B1670" s="1" t="s">
        <v>1525</v>
      </c>
      <c r="C1670" s="2" t="s">
        <v>234</v>
      </c>
      <c r="D1670" s="1" t="s">
        <v>235</v>
      </c>
    </row>
    <row r="1671">
      <c r="A1671" s="2" t="s">
        <v>1524</v>
      </c>
      <c r="B1671" s="1" t="s">
        <v>1525</v>
      </c>
      <c r="C1671" s="2" t="s">
        <v>69</v>
      </c>
      <c r="D1671" s="1" t="s">
        <v>70</v>
      </c>
    </row>
    <row r="1672">
      <c r="A1672" s="2" t="s">
        <v>1528</v>
      </c>
      <c r="B1672" s="1" t="s">
        <v>1529</v>
      </c>
      <c r="C1672" s="2" t="s">
        <v>41</v>
      </c>
      <c r="D1672" s="1" t="s">
        <v>42</v>
      </c>
    </row>
    <row r="1673">
      <c r="A1673" s="2" t="s">
        <v>1526</v>
      </c>
      <c r="B1673" s="1" t="s">
        <v>1527</v>
      </c>
      <c r="C1673" s="2" t="s">
        <v>43</v>
      </c>
      <c r="D1673" s="1" t="s">
        <v>44</v>
      </c>
    </row>
    <row r="1674">
      <c r="A1674" s="2" t="s">
        <v>1528</v>
      </c>
      <c r="B1674" s="1" t="s">
        <v>1529</v>
      </c>
      <c r="C1674" s="2" t="s">
        <v>43</v>
      </c>
      <c r="D1674" s="1" t="s">
        <v>44</v>
      </c>
    </row>
    <row r="1675">
      <c r="A1675" s="2" t="s">
        <v>1530</v>
      </c>
      <c r="B1675" s="1" t="s">
        <v>1531</v>
      </c>
      <c r="C1675" s="2" t="s">
        <v>84</v>
      </c>
      <c r="D1675" s="1" t="s">
        <v>85</v>
      </c>
    </row>
    <row r="1676">
      <c r="A1676" s="2" t="s">
        <v>1524</v>
      </c>
      <c r="B1676" s="1" t="s">
        <v>1525</v>
      </c>
      <c r="C1676" s="2" t="s">
        <v>647</v>
      </c>
      <c r="D1676" s="1" t="s">
        <v>648</v>
      </c>
    </row>
    <row r="1677">
      <c r="A1677" s="2" t="s">
        <v>1530</v>
      </c>
      <c r="B1677" s="1" t="s">
        <v>1531</v>
      </c>
      <c r="C1677" s="2" t="s">
        <v>43</v>
      </c>
      <c r="D1677" s="1" t="s">
        <v>44</v>
      </c>
    </row>
    <row r="1678">
      <c r="A1678" s="2" t="s">
        <v>1532</v>
      </c>
      <c r="B1678" s="1" t="s">
        <v>1533</v>
      </c>
      <c r="C1678" s="2" t="s">
        <v>41</v>
      </c>
      <c r="D1678" s="1" t="s">
        <v>42</v>
      </c>
    </row>
    <row r="1679">
      <c r="A1679" s="2" t="s">
        <v>1534</v>
      </c>
      <c r="B1679" s="1" t="s">
        <v>1535</v>
      </c>
      <c r="C1679" s="2" t="s">
        <v>1235</v>
      </c>
      <c r="D1679" s="1" t="s">
        <v>1236</v>
      </c>
    </row>
    <row r="1680">
      <c r="A1680" s="2" t="s">
        <v>1532</v>
      </c>
      <c r="B1680" s="1" t="s">
        <v>1533</v>
      </c>
      <c r="C1680" s="2" t="s">
        <v>133</v>
      </c>
      <c r="D1680" s="1" t="s">
        <v>134</v>
      </c>
    </row>
    <row r="1681">
      <c r="A1681" s="2" t="s">
        <v>1532</v>
      </c>
      <c r="B1681" s="1" t="s">
        <v>1533</v>
      </c>
      <c r="C1681" s="2" t="s">
        <v>43</v>
      </c>
      <c r="D1681" s="1" t="s">
        <v>44</v>
      </c>
    </row>
    <row r="1682">
      <c r="A1682" s="2" t="s">
        <v>1530</v>
      </c>
      <c r="B1682" s="1" t="s">
        <v>1531</v>
      </c>
      <c r="C1682" s="2" t="s">
        <v>49</v>
      </c>
      <c r="D1682" s="1" t="s">
        <v>50</v>
      </c>
    </row>
    <row r="1683">
      <c r="A1683" s="2" t="s">
        <v>1528</v>
      </c>
      <c r="B1683" s="1" t="s">
        <v>1529</v>
      </c>
      <c r="C1683" s="2" t="s">
        <v>962</v>
      </c>
      <c r="D1683" s="1" t="s">
        <v>963</v>
      </c>
    </row>
    <row r="1684">
      <c r="A1684" s="2" t="s">
        <v>1526</v>
      </c>
      <c r="B1684" s="1" t="s">
        <v>1527</v>
      </c>
      <c r="C1684" s="2" t="s">
        <v>69</v>
      </c>
      <c r="D1684" s="1" t="s">
        <v>70</v>
      </c>
    </row>
    <row r="1685">
      <c r="A1685" s="2" t="s">
        <v>1528</v>
      </c>
      <c r="B1685" s="1" t="s">
        <v>1529</v>
      </c>
      <c r="C1685" s="2" t="s">
        <v>69</v>
      </c>
      <c r="D1685" s="1" t="s">
        <v>70</v>
      </c>
    </row>
    <row r="1686">
      <c r="A1686" s="2" t="s">
        <v>1530</v>
      </c>
      <c r="B1686" s="1" t="s">
        <v>1531</v>
      </c>
      <c r="C1686" s="2" t="s">
        <v>69</v>
      </c>
      <c r="D1686" s="1" t="s">
        <v>70</v>
      </c>
    </row>
    <row r="1687">
      <c r="A1687" s="2" t="s">
        <v>1536</v>
      </c>
      <c r="B1687" s="1" t="s">
        <v>1537</v>
      </c>
      <c r="C1687" s="2" t="s">
        <v>114</v>
      </c>
      <c r="D1687" s="1" t="s">
        <v>115</v>
      </c>
    </row>
    <row r="1688">
      <c r="A1688" s="2" t="s">
        <v>1538</v>
      </c>
      <c r="B1688" s="1" t="s">
        <v>1539</v>
      </c>
    </row>
    <row r="1689">
      <c r="A1689" s="2" t="s">
        <v>1540</v>
      </c>
      <c r="B1689" s="1" t="s">
        <v>1541</v>
      </c>
      <c r="C1689" s="2" t="s">
        <v>216</v>
      </c>
      <c r="D1689" s="1" t="s">
        <v>217</v>
      </c>
    </row>
    <row r="1690">
      <c r="A1690" s="2" t="s">
        <v>1542</v>
      </c>
      <c r="B1690" s="1" t="s">
        <v>1543</v>
      </c>
      <c r="C1690" s="2" t="s">
        <v>49</v>
      </c>
      <c r="D1690" s="1" t="s">
        <v>50</v>
      </c>
    </row>
    <row r="1691">
      <c r="A1691" s="2" t="s">
        <v>1544</v>
      </c>
      <c r="B1691" s="1" t="s">
        <v>1545</v>
      </c>
      <c r="C1691" s="2" t="s">
        <v>964</v>
      </c>
      <c r="D1691" s="1" t="s">
        <v>965</v>
      </c>
    </row>
    <row r="1692">
      <c r="A1692" s="2" t="s">
        <v>1546</v>
      </c>
      <c r="B1692" s="1" t="s">
        <v>1547</v>
      </c>
      <c r="C1692" s="2" t="s">
        <v>12</v>
      </c>
      <c r="D1692" s="1" t="s">
        <v>13</v>
      </c>
    </row>
    <row r="1693">
      <c r="A1693" s="2" t="s">
        <v>1542</v>
      </c>
      <c r="B1693" s="1" t="s">
        <v>1543</v>
      </c>
      <c r="C1693" s="2" t="s">
        <v>69</v>
      </c>
      <c r="D1693" s="1" t="s">
        <v>70</v>
      </c>
    </row>
    <row r="1694">
      <c r="A1694" s="2" t="s">
        <v>1548</v>
      </c>
      <c r="B1694" s="1" t="s">
        <v>1549</v>
      </c>
      <c r="C1694" s="2" t="s">
        <v>25</v>
      </c>
      <c r="D1694" s="1" t="s">
        <v>26</v>
      </c>
    </row>
    <row r="1695">
      <c r="A1695" s="2" t="s">
        <v>1550</v>
      </c>
      <c r="B1695" s="1" t="s">
        <v>1551</v>
      </c>
      <c r="C1695" s="2" t="s">
        <v>221</v>
      </c>
      <c r="D1695" s="1" t="s">
        <v>222</v>
      </c>
    </row>
    <row r="1696">
      <c r="A1696" s="2" t="s">
        <v>1552</v>
      </c>
      <c r="B1696" s="1" t="s">
        <v>1553</v>
      </c>
      <c r="C1696" s="2" t="s">
        <v>41</v>
      </c>
      <c r="D1696" s="1" t="s">
        <v>42</v>
      </c>
    </row>
    <row r="1697">
      <c r="A1697" s="2" t="s">
        <v>1554</v>
      </c>
      <c r="B1697" s="1" t="s">
        <v>1555</v>
      </c>
      <c r="C1697" s="2" t="s">
        <v>832</v>
      </c>
      <c r="D1697" s="1" t="s">
        <v>833</v>
      </c>
    </row>
    <row r="1698">
      <c r="A1698" s="2" t="s">
        <v>1552</v>
      </c>
      <c r="B1698" s="1" t="s">
        <v>1553</v>
      </c>
      <c r="C1698" s="2" t="s">
        <v>84</v>
      </c>
      <c r="D1698" s="1" t="s">
        <v>85</v>
      </c>
    </row>
    <row r="1699">
      <c r="A1699" s="2" t="s">
        <v>1552</v>
      </c>
      <c r="B1699" s="1" t="s">
        <v>1553</v>
      </c>
      <c r="C1699" s="2" t="s">
        <v>43</v>
      </c>
      <c r="D1699" s="1" t="s">
        <v>44</v>
      </c>
    </row>
    <row r="1700">
      <c r="A1700" s="2" t="s">
        <v>1552</v>
      </c>
      <c r="B1700" s="1" t="s">
        <v>1553</v>
      </c>
      <c r="C1700" s="2" t="s">
        <v>871</v>
      </c>
      <c r="D1700" s="1" t="s">
        <v>642</v>
      </c>
    </row>
    <row r="1701">
      <c r="A1701" s="2" t="s">
        <v>1552</v>
      </c>
      <c r="B1701" s="1" t="s">
        <v>1553</v>
      </c>
      <c r="C1701" s="2" t="s">
        <v>7</v>
      </c>
      <c r="D1701" s="1" t="s">
        <v>8</v>
      </c>
    </row>
    <row r="1702">
      <c r="A1702" s="2" t="s">
        <v>1556</v>
      </c>
      <c r="B1702" s="1" t="s">
        <v>1557</v>
      </c>
      <c r="C1702" s="2" t="s">
        <v>743</v>
      </c>
      <c r="D1702" s="1" t="s">
        <v>744</v>
      </c>
      <c r="E1702" s="2" t="s">
        <v>1558</v>
      </c>
    </row>
    <row r="1703">
      <c r="A1703" s="2" t="s">
        <v>1559</v>
      </c>
      <c r="B1703" s="1" t="s">
        <v>1560</v>
      </c>
      <c r="C1703" s="2" t="s">
        <v>604</v>
      </c>
      <c r="D1703" s="1" t="s">
        <v>605</v>
      </c>
    </row>
    <row r="1704">
      <c r="A1704" s="2" t="s">
        <v>1552</v>
      </c>
      <c r="B1704" s="1" t="s">
        <v>1553</v>
      </c>
      <c r="C1704" s="2" t="s">
        <v>49</v>
      </c>
      <c r="D1704" s="1" t="s">
        <v>50</v>
      </c>
    </row>
    <row r="1705">
      <c r="A1705" s="2" t="s">
        <v>1561</v>
      </c>
      <c r="B1705" s="1" t="s">
        <v>1562</v>
      </c>
      <c r="C1705" s="2" t="s">
        <v>133</v>
      </c>
      <c r="D1705" s="1" t="s">
        <v>134</v>
      </c>
    </row>
    <row r="1706">
      <c r="A1706" s="2" t="s">
        <v>1552</v>
      </c>
      <c r="B1706" s="1" t="s">
        <v>1553</v>
      </c>
      <c r="C1706" s="2" t="s">
        <v>90</v>
      </c>
      <c r="D1706" s="1" t="s">
        <v>91</v>
      </c>
    </row>
    <row r="1707">
      <c r="A1707" s="2" t="s">
        <v>1561</v>
      </c>
      <c r="B1707" s="1" t="s">
        <v>1562</v>
      </c>
      <c r="C1707" s="2" t="s">
        <v>43</v>
      </c>
      <c r="D1707" s="1" t="s">
        <v>44</v>
      </c>
    </row>
    <row r="1708">
      <c r="A1708" s="2" t="s">
        <v>1540</v>
      </c>
      <c r="B1708" s="1" t="s">
        <v>1541</v>
      </c>
      <c r="C1708" s="2" t="s">
        <v>221</v>
      </c>
      <c r="D1708" s="1" t="s">
        <v>222</v>
      </c>
    </row>
    <row r="1709">
      <c r="A1709" s="2" t="s">
        <v>1561</v>
      </c>
      <c r="B1709" s="1" t="s">
        <v>1562</v>
      </c>
      <c r="C1709" s="2" t="s">
        <v>79</v>
      </c>
      <c r="D1709" s="1" t="s">
        <v>80</v>
      </c>
    </row>
    <row r="1710">
      <c r="A1710" s="2" t="s">
        <v>1559</v>
      </c>
      <c r="B1710" s="1" t="s">
        <v>1560</v>
      </c>
      <c r="C1710" s="2" t="s">
        <v>306</v>
      </c>
      <c r="D1710" s="1" t="s">
        <v>307</v>
      </c>
    </row>
    <row r="1711">
      <c r="A1711" s="2" t="s">
        <v>1563</v>
      </c>
      <c r="B1711" s="1" t="s">
        <v>1564</v>
      </c>
      <c r="C1711" s="2" t="s">
        <v>37</v>
      </c>
      <c r="D1711" s="1" t="s">
        <v>38</v>
      </c>
    </row>
    <row r="1712">
      <c r="A1712" s="2" t="s">
        <v>1565</v>
      </c>
      <c r="B1712" s="1" t="s">
        <v>1566</v>
      </c>
      <c r="C1712" s="2" t="s">
        <v>12</v>
      </c>
      <c r="D1712" s="1" t="s">
        <v>13</v>
      </c>
    </row>
    <row r="1713">
      <c r="A1713" s="2" t="s">
        <v>1567</v>
      </c>
      <c r="B1713" s="1" t="s">
        <v>1568</v>
      </c>
      <c r="C1713" s="2" t="s">
        <v>69</v>
      </c>
      <c r="D1713" s="1" t="s">
        <v>70</v>
      </c>
    </row>
    <row r="1714">
      <c r="A1714" s="2" t="s">
        <v>1569</v>
      </c>
      <c r="B1714" s="1" t="s">
        <v>1570</v>
      </c>
      <c r="C1714" s="2" t="s">
        <v>35</v>
      </c>
      <c r="D1714" s="1" t="s">
        <v>36</v>
      </c>
    </row>
    <row r="1715">
      <c r="A1715" s="2" t="s">
        <v>1571</v>
      </c>
      <c r="B1715" s="1" t="s">
        <v>1572</v>
      </c>
      <c r="C1715" s="2" t="s">
        <v>118</v>
      </c>
      <c r="D1715" s="1" t="s">
        <v>119</v>
      </c>
    </row>
    <row r="1716">
      <c r="A1716" s="2" t="s">
        <v>1573</v>
      </c>
      <c r="B1716" s="1" t="s">
        <v>1574</v>
      </c>
      <c r="C1716" s="2" t="s">
        <v>53</v>
      </c>
      <c r="D1716" s="1" t="s">
        <v>54</v>
      </c>
    </row>
    <row r="1717">
      <c r="A1717" s="2" t="s">
        <v>1575</v>
      </c>
      <c r="B1717" s="1" t="s">
        <v>1576</v>
      </c>
      <c r="C1717" s="2" t="s">
        <v>49</v>
      </c>
      <c r="D1717" s="1" t="s">
        <v>50</v>
      </c>
    </row>
    <row r="1718">
      <c r="A1718" s="2" t="s">
        <v>1577</v>
      </c>
      <c r="B1718" s="1" t="s">
        <v>1578</v>
      </c>
      <c r="C1718" s="2" t="s">
        <v>341</v>
      </c>
      <c r="D1718" s="1" t="s">
        <v>342</v>
      </c>
    </row>
    <row r="1719">
      <c r="A1719" s="2" t="s">
        <v>1579</v>
      </c>
      <c r="B1719" s="1" t="s">
        <v>1580</v>
      </c>
      <c r="E1719" s="2" t="s">
        <v>1581</v>
      </c>
    </row>
    <row r="1720">
      <c r="A1720" s="2" t="s">
        <v>1552</v>
      </c>
      <c r="B1720" s="1" t="s">
        <v>1553</v>
      </c>
      <c r="C1720" s="2" t="s">
        <v>69</v>
      </c>
      <c r="D1720" s="1" t="s">
        <v>70</v>
      </c>
    </row>
    <row r="1721">
      <c r="A1721" s="2" t="s">
        <v>1582</v>
      </c>
      <c r="B1721" s="1" t="s">
        <v>1583</v>
      </c>
      <c r="C1721" s="2" t="s">
        <v>41</v>
      </c>
      <c r="D1721" s="1" t="s">
        <v>42</v>
      </c>
    </row>
    <row r="1722">
      <c r="A1722" s="2" t="s">
        <v>1532</v>
      </c>
      <c r="B1722" s="1" t="s">
        <v>1533</v>
      </c>
      <c r="C1722" s="2" t="s">
        <v>84</v>
      </c>
      <c r="D1722" s="1" t="s">
        <v>85</v>
      </c>
    </row>
    <row r="1723">
      <c r="A1723" s="2" t="s">
        <v>1577</v>
      </c>
      <c r="B1723" s="1" t="s">
        <v>1578</v>
      </c>
      <c r="C1723" s="2" t="s">
        <v>349</v>
      </c>
      <c r="D1723" s="1" t="s">
        <v>350</v>
      </c>
    </row>
    <row r="1724">
      <c r="A1724" s="2" t="s">
        <v>1582</v>
      </c>
      <c r="B1724" s="1" t="s">
        <v>1583</v>
      </c>
      <c r="C1724" s="2" t="s">
        <v>43</v>
      </c>
      <c r="D1724" s="1" t="s">
        <v>44</v>
      </c>
    </row>
    <row r="1725">
      <c r="A1725" s="2" t="s">
        <v>1577</v>
      </c>
      <c r="B1725" s="1" t="s">
        <v>1578</v>
      </c>
      <c r="C1725" s="2" t="s">
        <v>522</v>
      </c>
      <c r="D1725" s="1" t="s">
        <v>523</v>
      </c>
    </row>
    <row r="1726">
      <c r="A1726" s="2" t="s">
        <v>1584</v>
      </c>
      <c r="B1726" s="1" t="s">
        <v>1585</v>
      </c>
      <c r="C1726" s="2" t="s">
        <v>288</v>
      </c>
      <c r="D1726" s="1" t="s">
        <v>289</v>
      </c>
    </row>
    <row r="1727">
      <c r="A1727" s="2" t="s">
        <v>1532</v>
      </c>
      <c r="B1727" s="1" t="s">
        <v>1533</v>
      </c>
      <c r="C1727" s="2" t="s">
        <v>49</v>
      </c>
      <c r="D1727" s="1" t="s">
        <v>50</v>
      </c>
    </row>
    <row r="1728">
      <c r="A1728" s="2" t="s">
        <v>1573</v>
      </c>
      <c r="B1728" s="1" t="s">
        <v>1574</v>
      </c>
      <c r="C1728" s="2" t="s">
        <v>216</v>
      </c>
      <c r="D1728" s="1" t="s">
        <v>217</v>
      </c>
    </row>
    <row r="1729">
      <c r="A1729" s="2" t="s">
        <v>1573</v>
      </c>
      <c r="B1729" s="1" t="s">
        <v>1574</v>
      </c>
      <c r="C1729" s="2" t="s">
        <v>43</v>
      </c>
      <c r="D1729" s="1" t="s">
        <v>44</v>
      </c>
    </row>
    <row r="1730">
      <c r="A1730" s="2" t="s">
        <v>1573</v>
      </c>
      <c r="B1730" s="1" t="s">
        <v>1574</v>
      </c>
      <c r="C1730" s="2" t="s">
        <v>49</v>
      </c>
      <c r="D1730" s="1" t="s">
        <v>50</v>
      </c>
    </row>
    <row r="1731">
      <c r="A1731" s="2" t="s">
        <v>1586</v>
      </c>
      <c r="B1731" s="1" t="s">
        <v>1587</v>
      </c>
      <c r="C1731" s="2" t="s">
        <v>216</v>
      </c>
      <c r="D1731" s="1" t="s">
        <v>217</v>
      </c>
    </row>
    <row r="1732">
      <c r="A1732" s="2" t="s">
        <v>1520</v>
      </c>
      <c r="B1732" s="1" t="s">
        <v>1521</v>
      </c>
      <c r="C1732" s="2" t="s">
        <v>306</v>
      </c>
      <c r="D1732" s="1" t="s">
        <v>307</v>
      </c>
    </row>
    <row r="1733">
      <c r="A1733" s="2" t="s">
        <v>1540</v>
      </c>
      <c r="B1733" s="1" t="s">
        <v>1541</v>
      </c>
      <c r="C1733" s="2" t="s">
        <v>118</v>
      </c>
      <c r="D1733" s="1" t="s">
        <v>119</v>
      </c>
    </row>
    <row r="1734">
      <c r="A1734" s="2" t="s">
        <v>1584</v>
      </c>
      <c r="B1734" s="1" t="s">
        <v>1585</v>
      </c>
      <c r="C1734" s="2" t="s">
        <v>604</v>
      </c>
      <c r="D1734" s="1" t="s">
        <v>605</v>
      </c>
    </row>
    <row r="1735">
      <c r="A1735" s="2" t="s">
        <v>1588</v>
      </c>
      <c r="B1735" s="1" t="s">
        <v>1589</v>
      </c>
      <c r="C1735" s="2" t="s">
        <v>604</v>
      </c>
      <c r="D1735" s="1" t="s">
        <v>605</v>
      </c>
    </row>
    <row r="1736">
      <c r="A1736" s="2" t="s">
        <v>1590</v>
      </c>
      <c r="B1736" s="1" t="s">
        <v>1591</v>
      </c>
      <c r="C1736" s="2" t="s">
        <v>636</v>
      </c>
      <c r="D1736" s="1" t="s">
        <v>637</v>
      </c>
    </row>
    <row r="1737">
      <c r="A1737" s="2" t="s">
        <v>1582</v>
      </c>
      <c r="B1737" s="1" t="s">
        <v>1583</v>
      </c>
      <c r="C1737" s="2" t="s">
        <v>69</v>
      </c>
      <c r="D1737" s="1" t="s">
        <v>70</v>
      </c>
    </row>
    <row r="1738">
      <c r="A1738" s="2" t="s">
        <v>1584</v>
      </c>
      <c r="B1738" s="1" t="s">
        <v>1585</v>
      </c>
      <c r="C1738" s="2" t="s">
        <v>306</v>
      </c>
      <c r="D1738" s="1" t="s">
        <v>307</v>
      </c>
    </row>
    <row r="1739">
      <c r="A1739" s="2" t="s">
        <v>1588</v>
      </c>
      <c r="B1739" s="1" t="s">
        <v>1589</v>
      </c>
      <c r="C1739" s="2" t="s">
        <v>306</v>
      </c>
      <c r="D1739" s="1" t="s">
        <v>307</v>
      </c>
    </row>
    <row r="1740">
      <c r="A1740" s="2" t="s">
        <v>1586</v>
      </c>
      <c r="B1740" s="1" t="s">
        <v>1587</v>
      </c>
      <c r="C1740" s="2" t="s">
        <v>604</v>
      </c>
      <c r="D1740" s="1" t="s">
        <v>605</v>
      </c>
    </row>
    <row r="1741">
      <c r="A1741" s="2" t="s">
        <v>1544</v>
      </c>
      <c r="B1741" s="1" t="s">
        <v>1545</v>
      </c>
      <c r="C1741" s="2" t="s">
        <v>173</v>
      </c>
      <c r="D1741" s="1" t="s">
        <v>174</v>
      </c>
    </row>
    <row r="1742">
      <c r="A1742" s="2" t="s">
        <v>1592</v>
      </c>
      <c r="B1742" s="1" t="s">
        <v>1593</v>
      </c>
      <c r="C1742" s="2" t="s">
        <v>370</v>
      </c>
      <c r="D1742" s="1" t="s">
        <v>371</v>
      </c>
    </row>
    <row r="1743">
      <c r="A1743" s="2" t="s">
        <v>1546</v>
      </c>
      <c r="B1743" s="1" t="s">
        <v>1547</v>
      </c>
      <c r="C1743" s="2" t="s">
        <v>173</v>
      </c>
      <c r="D1743" s="1" t="s">
        <v>174</v>
      </c>
    </row>
    <row r="1744">
      <c r="A1744" s="2" t="s">
        <v>1567</v>
      </c>
      <c r="B1744" s="1" t="s">
        <v>1568</v>
      </c>
      <c r="C1744" s="2" t="s">
        <v>118</v>
      </c>
      <c r="D1744" s="1" t="s">
        <v>119</v>
      </c>
    </row>
    <row r="1745">
      <c r="A1745" s="2" t="s">
        <v>1588</v>
      </c>
      <c r="B1745" s="1" t="s">
        <v>1589</v>
      </c>
      <c r="C1745" s="2" t="s">
        <v>1594</v>
      </c>
      <c r="D1745" s="1" t="s">
        <v>1595</v>
      </c>
    </row>
    <row r="1746">
      <c r="A1746" s="2" t="s">
        <v>1590</v>
      </c>
      <c r="B1746" s="1" t="s">
        <v>1591</v>
      </c>
      <c r="C1746" s="2" t="s">
        <v>1596</v>
      </c>
      <c r="D1746" s="1" t="s">
        <v>1597</v>
      </c>
    </row>
    <row r="1747">
      <c r="A1747" s="2" t="s">
        <v>1577</v>
      </c>
      <c r="B1747" s="1" t="s">
        <v>1578</v>
      </c>
      <c r="C1747" s="2" t="s">
        <v>274</v>
      </c>
      <c r="D1747" s="1" t="s">
        <v>275</v>
      </c>
    </row>
    <row r="1748">
      <c r="A1748" s="2" t="s">
        <v>1598</v>
      </c>
      <c r="B1748" s="1" t="s">
        <v>1599</v>
      </c>
      <c r="C1748" s="2" t="s">
        <v>116</v>
      </c>
      <c r="D1748" s="1" t="s">
        <v>117</v>
      </c>
    </row>
    <row r="1749">
      <c r="A1749" s="2" t="s">
        <v>1600</v>
      </c>
      <c r="B1749" s="1" t="s">
        <v>1601</v>
      </c>
      <c r="C1749" s="2" t="s">
        <v>1602</v>
      </c>
      <c r="D1749" s="1" t="s">
        <v>1603</v>
      </c>
    </row>
    <row r="1750">
      <c r="A1750" s="2" t="s">
        <v>1598</v>
      </c>
      <c r="B1750" s="1" t="s">
        <v>1599</v>
      </c>
      <c r="C1750" s="2" t="s">
        <v>128</v>
      </c>
      <c r="D1750" s="1" t="s">
        <v>129</v>
      </c>
    </row>
    <row r="1751">
      <c r="A1751" s="2" t="s">
        <v>1563</v>
      </c>
      <c r="B1751" s="1" t="s">
        <v>1564</v>
      </c>
      <c r="C1751" s="2" t="s">
        <v>906</v>
      </c>
      <c r="D1751" s="1" t="s">
        <v>907</v>
      </c>
    </row>
    <row r="1752">
      <c r="A1752" s="2" t="s">
        <v>1563</v>
      </c>
      <c r="B1752" s="1" t="s">
        <v>1564</v>
      </c>
      <c r="C1752" s="2" t="s">
        <v>345</v>
      </c>
      <c r="D1752" s="1" t="s">
        <v>346</v>
      </c>
    </row>
    <row r="1753">
      <c r="A1753" s="2" t="s">
        <v>1563</v>
      </c>
      <c r="B1753" s="1" t="s">
        <v>1564</v>
      </c>
      <c r="C1753" s="2" t="s">
        <v>665</v>
      </c>
      <c r="D1753" s="1" t="s">
        <v>666</v>
      </c>
    </row>
    <row r="1754">
      <c r="A1754" s="2" t="s">
        <v>1548</v>
      </c>
      <c r="B1754" s="1" t="s">
        <v>1549</v>
      </c>
      <c r="C1754" s="2" t="s">
        <v>604</v>
      </c>
      <c r="D1754" s="1" t="s">
        <v>605</v>
      </c>
    </row>
    <row r="1755">
      <c r="A1755" s="2" t="s">
        <v>1575</v>
      </c>
      <c r="B1755" s="1" t="s">
        <v>1576</v>
      </c>
      <c r="C1755" s="2" t="s">
        <v>22</v>
      </c>
      <c r="D1755" s="1" t="s">
        <v>23</v>
      </c>
    </row>
    <row r="1756">
      <c r="A1756" s="2" t="s">
        <v>1575</v>
      </c>
      <c r="B1756" s="1" t="s">
        <v>1576</v>
      </c>
      <c r="C1756" s="2" t="s">
        <v>25</v>
      </c>
      <c r="D1756" s="1" t="s">
        <v>26</v>
      </c>
    </row>
    <row r="1757">
      <c r="A1757" s="2" t="s">
        <v>1556</v>
      </c>
      <c r="B1757" s="1" t="s">
        <v>1557</v>
      </c>
      <c r="C1757" s="2" t="s">
        <v>321</v>
      </c>
      <c r="D1757" s="1" t="s">
        <v>322</v>
      </c>
      <c r="E1757" s="2" t="s">
        <v>1558</v>
      </c>
    </row>
    <row r="1758">
      <c r="A1758" s="2" t="s">
        <v>1575</v>
      </c>
      <c r="B1758" s="1" t="s">
        <v>1576</v>
      </c>
      <c r="C1758" s="2" t="s">
        <v>118</v>
      </c>
      <c r="D1758" s="1" t="s">
        <v>119</v>
      </c>
    </row>
    <row r="1759">
      <c r="A1759" s="2" t="s">
        <v>1604</v>
      </c>
      <c r="B1759" s="1" t="s">
        <v>1605</v>
      </c>
      <c r="C1759" s="2" t="s">
        <v>41</v>
      </c>
      <c r="D1759" s="1" t="s">
        <v>42</v>
      </c>
    </row>
    <row r="1760">
      <c r="A1760" s="2" t="s">
        <v>1604</v>
      </c>
      <c r="B1760" s="1" t="s">
        <v>1605</v>
      </c>
      <c r="C1760" s="2" t="s">
        <v>288</v>
      </c>
      <c r="D1760" s="1" t="s">
        <v>289</v>
      </c>
    </row>
    <row r="1761">
      <c r="A1761" s="2" t="s">
        <v>1604</v>
      </c>
      <c r="B1761" s="1" t="s">
        <v>1605</v>
      </c>
      <c r="C1761" s="2" t="s">
        <v>133</v>
      </c>
      <c r="D1761" s="1" t="s">
        <v>134</v>
      </c>
    </row>
    <row r="1762">
      <c r="A1762" s="2" t="s">
        <v>1571</v>
      </c>
      <c r="B1762" s="1" t="s">
        <v>1572</v>
      </c>
      <c r="C1762" s="2" t="s">
        <v>133</v>
      </c>
      <c r="D1762" s="1" t="s">
        <v>134</v>
      </c>
    </row>
    <row r="1763">
      <c r="A1763" s="2" t="s">
        <v>1604</v>
      </c>
      <c r="B1763" s="1" t="s">
        <v>1605</v>
      </c>
      <c r="C1763" s="2" t="s">
        <v>43</v>
      </c>
      <c r="D1763" s="1" t="s">
        <v>44</v>
      </c>
    </row>
    <row r="1764">
      <c r="A1764" s="2" t="s">
        <v>1604</v>
      </c>
      <c r="B1764" s="1" t="s">
        <v>1605</v>
      </c>
      <c r="C1764" s="2" t="s">
        <v>49</v>
      </c>
      <c r="D1764" s="1" t="s">
        <v>50</v>
      </c>
    </row>
    <row r="1765">
      <c r="A1765" s="2" t="s">
        <v>1571</v>
      </c>
      <c r="B1765" s="1" t="s">
        <v>1572</v>
      </c>
      <c r="C1765" s="2" t="s">
        <v>49</v>
      </c>
      <c r="D1765" s="1" t="s">
        <v>50</v>
      </c>
    </row>
    <row r="1766">
      <c r="A1766" s="2" t="s">
        <v>1606</v>
      </c>
      <c r="B1766" s="1" t="s">
        <v>1607</v>
      </c>
    </row>
    <row r="1767">
      <c r="A1767" s="2" t="s">
        <v>1588</v>
      </c>
      <c r="B1767" s="1" t="s">
        <v>1589</v>
      </c>
      <c r="C1767" s="2" t="s">
        <v>151</v>
      </c>
      <c r="D1767" s="1" t="s">
        <v>152</v>
      </c>
    </row>
    <row r="1768">
      <c r="A1768" s="2" t="s">
        <v>1550</v>
      </c>
      <c r="B1768" s="1" t="s">
        <v>1551</v>
      </c>
      <c r="C1768" s="2" t="s">
        <v>43</v>
      </c>
      <c r="D1768" s="1" t="s">
        <v>44</v>
      </c>
    </row>
    <row r="1769">
      <c r="A1769" s="2" t="s">
        <v>1608</v>
      </c>
      <c r="B1769" s="1" t="s">
        <v>1609</v>
      </c>
    </row>
    <row r="1770">
      <c r="A1770" s="2" t="s">
        <v>1610</v>
      </c>
      <c r="B1770" s="1" t="s">
        <v>1611</v>
      </c>
    </row>
    <row r="1771">
      <c r="A1771" s="2" t="s">
        <v>1612</v>
      </c>
      <c r="B1771" s="1" t="s">
        <v>1613</v>
      </c>
    </row>
    <row r="1772">
      <c r="A1772" s="2" t="s">
        <v>1604</v>
      </c>
      <c r="B1772" s="1" t="s">
        <v>1605</v>
      </c>
      <c r="C1772" s="2" t="s">
        <v>92</v>
      </c>
      <c r="D1772" s="1" t="s">
        <v>93</v>
      </c>
    </row>
    <row r="1773">
      <c r="A1773" s="2" t="s">
        <v>1614</v>
      </c>
      <c r="B1773" s="1" t="s">
        <v>1615</v>
      </c>
    </row>
    <row r="1774">
      <c r="A1774" s="2" t="s">
        <v>1586</v>
      </c>
      <c r="B1774" s="1" t="s">
        <v>1587</v>
      </c>
      <c r="C1774" s="2" t="s">
        <v>151</v>
      </c>
      <c r="D1774" s="1" t="s">
        <v>152</v>
      </c>
    </row>
    <row r="1775">
      <c r="A1775" s="2" t="s">
        <v>1550</v>
      </c>
      <c r="B1775" s="1" t="s">
        <v>1551</v>
      </c>
      <c r="C1775" s="2" t="s">
        <v>49</v>
      </c>
      <c r="D1775" s="1" t="s">
        <v>50</v>
      </c>
    </row>
    <row r="1776">
      <c r="A1776" s="2" t="s">
        <v>1542</v>
      </c>
      <c r="B1776" s="1" t="s">
        <v>1543</v>
      </c>
      <c r="C1776" s="2" t="s">
        <v>41</v>
      </c>
      <c r="D1776" s="1" t="s">
        <v>42</v>
      </c>
    </row>
    <row r="1777">
      <c r="A1777" s="2" t="s">
        <v>1556</v>
      </c>
      <c r="B1777" s="1" t="s">
        <v>1557</v>
      </c>
      <c r="C1777" s="2" t="s">
        <v>1616</v>
      </c>
      <c r="D1777" s="1" t="s">
        <v>1617</v>
      </c>
      <c r="E1777" s="2" t="s">
        <v>1558</v>
      </c>
    </row>
    <row r="1778">
      <c r="A1778" s="2" t="s">
        <v>1542</v>
      </c>
      <c r="B1778" s="1" t="s">
        <v>1543</v>
      </c>
      <c r="C1778" s="2" t="s">
        <v>43</v>
      </c>
      <c r="D1778" s="1" t="s">
        <v>44</v>
      </c>
    </row>
    <row r="1779">
      <c r="A1779" s="2" t="s">
        <v>1618</v>
      </c>
      <c r="B1779" s="1" t="s">
        <v>1619</v>
      </c>
      <c r="C1779" s="2" t="s">
        <v>41</v>
      </c>
      <c r="D1779" s="1" t="s">
        <v>42</v>
      </c>
    </row>
    <row r="1780">
      <c r="A1780" s="2" t="s">
        <v>1620</v>
      </c>
      <c r="B1780" s="1" t="s">
        <v>1621</v>
      </c>
      <c r="C1780" s="2" t="s">
        <v>43</v>
      </c>
      <c r="D1780" s="1" t="s">
        <v>44</v>
      </c>
    </row>
    <row r="1781">
      <c r="A1781" s="2" t="s">
        <v>1618</v>
      </c>
      <c r="B1781" s="1" t="s">
        <v>1619</v>
      </c>
      <c r="C1781" s="2" t="s">
        <v>84</v>
      </c>
      <c r="D1781" s="1" t="s">
        <v>85</v>
      </c>
    </row>
    <row r="1782">
      <c r="A1782" s="2" t="s">
        <v>1618</v>
      </c>
      <c r="B1782" s="1" t="s">
        <v>1619</v>
      </c>
      <c r="C1782" s="2" t="s">
        <v>43</v>
      </c>
      <c r="D1782" s="1" t="s">
        <v>44</v>
      </c>
    </row>
    <row r="1783">
      <c r="A1783" s="2" t="s">
        <v>1622</v>
      </c>
      <c r="B1783" s="1" t="s">
        <v>1623</v>
      </c>
      <c r="C1783" s="2" t="s">
        <v>490</v>
      </c>
      <c r="D1783" s="1" t="s">
        <v>491</v>
      </c>
    </row>
    <row r="1784">
      <c r="A1784" s="2" t="s">
        <v>1624</v>
      </c>
      <c r="B1784" s="1" t="s">
        <v>1625</v>
      </c>
      <c r="C1784" s="2" t="s">
        <v>1626</v>
      </c>
      <c r="D1784" s="1" t="s">
        <v>1627</v>
      </c>
    </row>
    <row r="1785">
      <c r="A1785" s="2" t="s">
        <v>101</v>
      </c>
      <c r="B1785" s="1" t="s">
        <v>102</v>
      </c>
      <c r="C1785" s="2" t="s">
        <v>1628</v>
      </c>
      <c r="D1785" s="1" t="s">
        <v>1629</v>
      </c>
      <c r="E1785" s="2" t="s">
        <v>105</v>
      </c>
    </row>
    <row r="1786">
      <c r="A1786" s="2" t="s">
        <v>101</v>
      </c>
      <c r="B1786" s="1" t="s">
        <v>102</v>
      </c>
      <c r="C1786" s="2" t="s">
        <v>252</v>
      </c>
      <c r="D1786" s="1" t="s">
        <v>253</v>
      </c>
      <c r="E1786" s="2" t="s">
        <v>105</v>
      </c>
    </row>
    <row r="1787">
      <c r="A1787" s="2" t="s">
        <v>1630</v>
      </c>
      <c r="B1787" s="1" t="s">
        <v>1631</v>
      </c>
      <c r="C1787" s="2" t="s">
        <v>25</v>
      </c>
      <c r="D1787" s="1" t="s">
        <v>26</v>
      </c>
    </row>
    <row r="1788">
      <c r="A1788" s="2" t="s">
        <v>1632</v>
      </c>
      <c r="B1788" s="1" t="s">
        <v>1633</v>
      </c>
      <c r="C1788" s="2" t="s">
        <v>43</v>
      </c>
      <c r="D1788" s="1" t="s">
        <v>44</v>
      </c>
    </row>
    <row r="1789">
      <c r="A1789" s="2" t="s">
        <v>1618</v>
      </c>
      <c r="B1789" s="1" t="s">
        <v>1619</v>
      </c>
      <c r="C1789" s="2" t="s">
        <v>49</v>
      </c>
      <c r="D1789" s="1" t="s">
        <v>50</v>
      </c>
    </row>
    <row r="1790">
      <c r="A1790" s="2" t="s">
        <v>1634</v>
      </c>
      <c r="B1790" s="1" t="s">
        <v>1635</v>
      </c>
      <c r="C1790" s="2" t="s">
        <v>421</v>
      </c>
      <c r="D1790" s="1" t="s">
        <v>422</v>
      </c>
    </row>
    <row r="1791">
      <c r="A1791" s="2" t="s">
        <v>1636</v>
      </c>
      <c r="B1791" s="1" t="s">
        <v>1637</v>
      </c>
      <c r="C1791" s="2" t="s">
        <v>22</v>
      </c>
      <c r="D1791" s="1" t="s">
        <v>23</v>
      </c>
    </row>
    <row r="1792">
      <c r="A1792" s="2" t="s">
        <v>1636</v>
      </c>
      <c r="B1792" s="1" t="s">
        <v>1637</v>
      </c>
      <c r="C1792" s="2" t="s">
        <v>25</v>
      </c>
      <c r="D1792" s="1" t="s">
        <v>26</v>
      </c>
    </row>
    <row r="1793">
      <c r="A1793" s="2" t="s">
        <v>1638</v>
      </c>
      <c r="B1793" s="1" t="s">
        <v>1639</v>
      </c>
      <c r="C1793" s="2" t="s">
        <v>604</v>
      </c>
      <c r="D1793" s="1" t="s">
        <v>605</v>
      </c>
    </row>
    <row r="1794">
      <c r="A1794" s="2" t="s">
        <v>1640</v>
      </c>
      <c r="B1794" s="1" t="s">
        <v>1641</v>
      </c>
      <c r="C1794" s="2" t="s">
        <v>1642</v>
      </c>
      <c r="D1794" s="1" t="s">
        <v>1643</v>
      </c>
    </row>
    <row r="1795">
      <c r="A1795" s="2" t="s">
        <v>1644</v>
      </c>
      <c r="B1795" s="1" t="s">
        <v>1645</v>
      </c>
      <c r="C1795" s="2" t="s">
        <v>151</v>
      </c>
      <c r="D1795" s="1" t="s">
        <v>152</v>
      </c>
    </row>
    <row r="1796">
      <c r="A1796" s="2" t="s">
        <v>1646</v>
      </c>
      <c r="B1796" s="1" t="s">
        <v>1647</v>
      </c>
      <c r="C1796" s="2" t="s">
        <v>12</v>
      </c>
      <c r="D1796" s="1" t="s">
        <v>13</v>
      </c>
    </row>
    <row r="1797">
      <c r="A1797" s="2" t="s">
        <v>1648</v>
      </c>
      <c r="B1797" s="1" t="s">
        <v>1649</v>
      </c>
      <c r="C1797" s="2" t="s">
        <v>604</v>
      </c>
      <c r="D1797" s="1" t="s">
        <v>605</v>
      </c>
    </row>
    <row r="1798">
      <c r="A1798" s="2" t="s">
        <v>1650</v>
      </c>
      <c r="B1798" s="1" t="s">
        <v>1651</v>
      </c>
      <c r="C1798" s="2" t="s">
        <v>1269</v>
      </c>
      <c r="D1798" s="1" t="s">
        <v>1270</v>
      </c>
    </row>
    <row r="1799">
      <c r="A1799" s="2" t="s">
        <v>1634</v>
      </c>
      <c r="B1799" s="1" t="s">
        <v>1635</v>
      </c>
      <c r="C1799" s="2" t="s">
        <v>84</v>
      </c>
      <c r="D1799" s="1" t="s">
        <v>85</v>
      </c>
    </row>
    <row r="1800">
      <c r="A1800" s="2" t="s">
        <v>1652</v>
      </c>
      <c r="B1800" s="1" t="s">
        <v>1653</v>
      </c>
      <c r="C1800" s="2" t="s">
        <v>604</v>
      </c>
      <c r="D1800" s="1" t="s">
        <v>605</v>
      </c>
    </row>
    <row r="1801">
      <c r="A1801" s="2" t="s">
        <v>1634</v>
      </c>
      <c r="B1801" s="1" t="s">
        <v>1635</v>
      </c>
      <c r="C1801" s="2" t="s">
        <v>43</v>
      </c>
      <c r="D1801" s="1" t="s">
        <v>44</v>
      </c>
    </row>
    <row r="1802">
      <c r="A1802" s="2" t="s">
        <v>1646</v>
      </c>
      <c r="B1802" s="1" t="s">
        <v>1647</v>
      </c>
      <c r="C1802" s="2" t="s">
        <v>407</v>
      </c>
      <c r="D1802" s="1" t="s">
        <v>408</v>
      </c>
    </row>
    <row r="1803">
      <c r="A1803" s="2" t="s">
        <v>1654</v>
      </c>
      <c r="B1803" s="1" t="s">
        <v>1655</v>
      </c>
      <c r="C1803" s="2" t="s">
        <v>604</v>
      </c>
      <c r="D1803" s="1" t="s">
        <v>605</v>
      </c>
    </row>
    <row r="1804">
      <c r="A1804" s="2" t="s">
        <v>1656</v>
      </c>
      <c r="B1804" s="1" t="s">
        <v>1657</v>
      </c>
      <c r="C1804" s="2" t="s">
        <v>53</v>
      </c>
      <c r="D1804" s="1" t="s">
        <v>54</v>
      </c>
    </row>
    <row r="1805">
      <c r="A1805" s="2" t="s">
        <v>1624</v>
      </c>
      <c r="B1805" s="1" t="s">
        <v>1625</v>
      </c>
      <c r="C1805" s="2" t="s">
        <v>1658</v>
      </c>
      <c r="D1805" s="1" t="s">
        <v>1659</v>
      </c>
    </row>
    <row r="1806">
      <c r="A1806" s="2" t="s">
        <v>1634</v>
      </c>
      <c r="B1806" s="1" t="s">
        <v>1635</v>
      </c>
      <c r="C1806" s="2" t="s">
        <v>49</v>
      </c>
      <c r="D1806" s="1" t="s">
        <v>50</v>
      </c>
    </row>
    <row r="1807">
      <c r="A1807" s="2" t="s">
        <v>1660</v>
      </c>
      <c r="B1807" s="1" t="s">
        <v>1661</v>
      </c>
      <c r="C1807" s="2" t="s">
        <v>79</v>
      </c>
      <c r="D1807" s="1" t="s">
        <v>80</v>
      </c>
      <c r="E1807" s="2" t="s">
        <v>1662</v>
      </c>
    </row>
    <row r="1808">
      <c r="A1808" s="2" t="s">
        <v>1648</v>
      </c>
      <c r="B1808" s="1" t="s">
        <v>1649</v>
      </c>
      <c r="C1808" s="2" t="s">
        <v>306</v>
      </c>
      <c r="D1808" s="1" t="s">
        <v>307</v>
      </c>
    </row>
    <row r="1809">
      <c r="A1809" s="2" t="s">
        <v>1636</v>
      </c>
      <c r="B1809" s="1" t="s">
        <v>1637</v>
      </c>
      <c r="C1809" s="2" t="s">
        <v>143</v>
      </c>
      <c r="D1809" s="1" t="s">
        <v>144</v>
      </c>
    </row>
    <row r="1810">
      <c r="A1810" s="2" t="s">
        <v>1646</v>
      </c>
      <c r="B1810" s="1" t="s">
        <v>1647</v>
      </c>
      <c r="C1810" s="2" t="s">
        <v>1663</v>
      </c>
      <c r="D1810" s="1" t="s">
        <v>1664</v>
      </c>
    </row>
    <row r="1811">
      <c r="A1811" s="2" t="s">
        <v>1654</v>
      </c>
      <c r="B1811" s="1" t="s">
        <v>1655</v>
      </c>
      <c r="C1811" s="2" t="s">
        <v>306</v>
      </c>
      <c r="D1811" s="1" t="s">
        <v>307</v>
      </c>
    </row>
    <row r="1812">
      <c r="A1812" s="2" t="s">
        <v>1665</v>
      </c>
      <c r="B1812" s="1" t="s">
        <v>1666</v>
      </c>
      <c r="C1812" s="2" t="s">
        <v>162</v>
      </c>
      <c r="D1812" s="1" t="s">
        <v>163</v>
      </c>
      <c r="E1812" s="2" t="s">
        <v>1667</v>
      </c>
    </row>
    <row r="1813">
      <c r="A1813" s="2" t="s">
        <v>1668</v>
      </c>
      <c r="B1813" s="1" t="s">
        <v>1669</v>
      </c>
    </row>
    <row r="1814">
      <c r="A1814" s="2" t="s">
        <v>1670</v>
      </c>
      <c r="B1814" s="1" t="s">
        <v>1671</v>
      </c>
      <c r="C1814" s="2" t="s">
        <v>361</v>
      </c>
      <c r="D1814" s="1" t="s">
        <v>362</v>
      </c>
    </row>
    <row r="1815">
      <c r="A1815" s="2" t="s">
        <v>1672</v>
      </c>
      <c r="B1815" s="1" t="s">
        <v>1673</v>
      </c>
    </row>
    <row r="1816">
      <c r="A1816" s="2" t="s">
        <v>1674</v>
      </c>
      <c r="B1816" s="1" t="s">
        <v>1675</v>
      </c>
    </row>
    <row r="1817">
      <c r="A1817" s="2" t="s">
        <v>1676</v>
      </c>
      <c r="B1817" s="1" t="s">
        <v>1677</v>
      </c>
    </row>
    <row r="1818">
      <c r="A1818" s="2" t="s">
        <v>1678</v>
      </c>
      <c r="B1818" s="1" t="s">
        <v>1679</v>
      </c>
      <c r="C1818" s="2" t="s">
        <v>12</v>
      </c>
      <c r="D1818" s="1" t="s">
        <v>13</v>
      </c>
    </row>
    <row r="1819">
      <c r="A1819" s="2" t="s">
        <v>1680</v>
      </c>
      <c r="B1819" s="1" t="s">
        <v>1681</v>
      </c>
    </row>
    <row r="1820">
      <c r="A1820" s="2" t="s">
        <v>1682</v>
      </c>
      <c r="B1820" s="1" t="s">
        <v>1683</v>
      </c>
    </row>
    <row r="1821">
      <c r="A1821" s="2" t="s">
        <v>1684</v>
      </c>
      <c r="B1821" s="1" t="s">
        <v>1685</v>
      </c>
    </row>
    <row r="1822">
      <c r="A1822" s="2" t="s">
        <v>1686</v>
      </c>
      <c r="B1822" s="1" t="s">
        <v>1687</v>
      </c>
    </row>
    <row r="1823">
      <c r="A1823" s="2" t="s">
        <v>1688</v>
      </c>
      <c r="B1823" s="1" t="s">
        <v>1689</v>
      </c>
      <c r="C1823" s="2" t="s">
        <v>151</v>
      </c>
      <c r="D1823" s="1" t="s">
        <v>152</v>
      </c>
    </row>
    <row r="1824">
      <c r="A1824" s="2" t="s">
        <v>1690</v>
      </c>
      <c r="B1824" s="1" t="s">
        <v>1691</v>
      </c>
    </row>
    <row r="1825">
      <c r="A1825" s="2" t="s">
        <v>1692</v>
      </c>
      <c r="B1825" s="1" t="s">
        <v>1693</v>
      </c>
    </row>
    <row r="1826">
      <c r="A1826" s="2" t="s">
        <v>1694</v>
      </c>
      <c r="B1826" s="1" t="s">
        <v>1695</v>
      </c>
    </row>
    <row r="1827">
      <c r="A1827" s="2" t="s">
        <v>1696</v>
      </c>
      <c r="B1827" s="1" t="s">
        <v>1697</v>
      </c>
    </row>
    <row r="1828">
      <c r="A1828" s="2" t="s">
        <v>1698</v>
      </c>
      <c r="B1828" s="1" t="s">
        <v>1699</v>
      </c>
    </row>
    <row r="1829">
      <c r="A1829" s="2" t="s">
        <v>1700</v>
      </c>
      <c r="B1829" s="1" t="s">
        <v>1701</v>
      </c>
    </row>
    <row r="1830">
      <c r="A1830" s="2" t="s">
        <v>1702</v>
      </c>
      <c r="B1830" s="1" t="s">
        <v>1703</v>
      </c>
    </row>
    <row r="1831">
      <c r="A1831" s="2" t="s">
        <v>1704</v>
      </c>
      <c r="B1831" s="1" t="s">
        <v>1705</v>
      </c>
    </row>
    <row r="1832">
      <c r="A1832" s="2" t="s">
        <v>1706</v>
      </c>
      <c r="B1832" s="1" t="s">
        <v>1707</v>
      </c>
    </row>
    <row r="1833">
      <c r="A1833" s="2" t="s">
        <v>1708</v>
      </c>
      <c r="B1833" s="1" t="s">
        <v>1709</v>
      </c>
      <c r="C1833" s="2" t="s">
        <v>133</v>
      </c>
      <c r="D1833" s="1" t="s">
        <v>134</v>
      </c>
    </row>
    <row r="1834">
      <c r="A1834" s="2" t="s">
        <v>1710</v>
      </c>
      <c r="B1834" s="1" t="s">
        <v>1711</v>
      </c>
      <c r="C1834" s="2" t="s">
        <v>490</v>
      </c>
      <c r="D1834" s="1" t="s">
        <v>491</v>
      </c>
    </row>
    <row r="1835">
      <c r="A1835" s="2" t="s">
        <v>1632</v>
      </c>
      <c r="B1835" s="1" t="s">
        <v>1633</v>
      </c>
      <c r="C1835" s="2" t="s">
        <v>221</v>
      </c>
      <c r="D1835" s="1" t="s">
        <v>222</v>
      </c>
    </row>
    <row r="1836">
      <c r="A1836" s="2" t="s">
        <v>1638</v>
      </c>
      <c r="B1836" s="1" t="s">
        <v>1639</v>
      </c>
      <c r="C1836" s="2" t="s">
        <v>1120</v>
      </c>
      <c r="D1836" s="1" t="s">
        <v>1121</v>
      </c>
    </row>
    <row r="1837">
      <c r="A1837" s="2" t="s">
        <v>1712</v>
      </c>
      <c r="B1837" s="1" t="s">
        <v>1713</v>
      </c>
      <c r="C1837" s="2" t="s">
        <v>871</v>
      </c>
      <c r="D1837" s="1" t="s">
        <v>642</v>
      </c>
    </row>
    <row r="1838">
      <c r="A1838" s="2" t="s">
        <v>1714</v>
      </c>
      <c r="B1838" s="1" t="s">
        <v>1715</v>
      </c>
      <c r="C1838" s="2" t="s">
        <v>173</v>
      </c>
      <c r="D1838" s="1" t="s">
        <v>174</v>
      </c>
    </row>
    <row r="1839">
      <c r="A1839" s="2" t="s">
        <v>1716</v>
      </c>
      <c r="B1839" s="1" t="s">
        <v>1717</v>
      </c>
      <c r="C1839" s="2" t="s">
        <v>221</v>
      </c>
      <c r="D1839" s="1" t="s">
        <v>222</v>
      </c>
    </row>
    <row r="1840">
      <c r="A1840" s="2" t="s">
        <v>1665</v>
      </c>
      <c r="B1840" s="1" t="s">
        <v>1666</v>
      </c>
      <c r="C1840" s="2" t="s">
        <v>60</v>
      </c>
      <c r="D1840" s="1" t="s">
        <v>61</v>
      </c>
      <c r="E1840" s="2" t="s">
        <v>1667</v>
      </c>
    </row>
    <row r="1841">
      <c r="A1841" s="2" t="s">
        <v>1656</v>
      </c>
      <c r="B1841" s="1" t="s">
        <v>1657</v>
      </c>
      <c r="C1841" s="2" t="s">
        <v>508</v>
      </c>
      <c r="D1841" s="1" t="s">
        <v>509</v>
      </c>
    </row>
    <row r="1842">
      <c r="A1842" s="2" t="s">
        <v>1718</v>
      </c>
      <c r="B1842" s="1" t="s">
        <v>1719</v>
      </c>
      <c r="C1842" s="2" t="s">
        <v>69</v>
      </c>
      <c r="D1842" s="1" t="s">
        <v>70</v>
      </c>
    </row>
    <row r="1843">
      <c r="A1843" s="2" t="s">
        <v>1720</v>
      </c>
      <c r="B1843" s="1" t="s">
        <v>1721</v>
      </c>
      <c r="C1843" s="2" t="s">
        <v>151</v>
      </c>
      <c r="D1843" s="1" t="s">
        <v>152</v>
      </c>
    </row>
    <row r="1844">
      <c r="A1844" s="2" t="s">
        <v>1708</v>
      </c>
      <c r="B1844" s="1" t="s">
        <v>1709</v>
      </c>
      <c r="C1844" s="2" t="s">
        <v>604</v>
      </c>
      <c r="D1844" s="1" t="s">
        <v>605</v>
      </c>
    </row>
    <row r="1845">
      <c r="A1845" s="2" t="s">
        <v>1718</v>
      </c>
      <c r="B1845" s="1" t="s">
        <v>1719</v>
      </c>
      <c r="C1845" s="2" t="s">
        <v>1091</v>
      </c>
      <c r="D1845" s="1" t="s">
        <v>1092</v>
      </c>
    </row>
    <row r="1846">
      <c r="A1846" s="2" t="s">
        <v>1656</v>
      </c>
      <c r="B1846" s="1" t="s">
        <v>1657</v>
      </c>
      <c r="C1846" s="2" t="s">
        <v>69</v>
      </c>
      <c r="D1846" s="1" t="s">
        <v>70</v>
      </c>
    </row>
    <row r="1847">
      <c r="A1847" s="2" t="s">
        <v>1722</v>
      </c>
      <c r="B1847" s="1" t="s">
        <v>1723</v>
      </c>
      <c r="C1847" s="2" t="s">
        <v>49</v>
      </c>
      <c r="D1847" s="1" t="s">
        <v>50</v>
      </c>
    </row>
    <row r="1848">
      <c r="A1848" s="2" t="s">
        <v>1724</v>
      </c>
      <c r="B1848" s="1" t="s">
        <v>1725</v>
      </c>
      <c r="C1848" s="2" t="s">
        <v>508</v>
      </c>
      <c r="D1848" s="1" t="s">
        <v>509</v>
      </c>
    </row>
    <row r="1849">
      <c r="A1849" s="2" t="s">
        <v>1712</v>
      </c>
      <c r="B1849" s="1" t="s">
        <v>1713</v>
      </c>
      <c r="C1849" s="2" t="s">
        <v>1726</v>
      </c>
      <c r="D1849" s="1" t="s">
        <v>1727</v>
      </c>
    </row>
    <row r="1850">
      <c r="A1850" s="2" t="s">
        <v>1728</v>
      </c>
      <c r="B1850" s="1" t="s">
        <v>1729</v>
      </c>
      <c r="C1850" s="2" t="s">
        <v>743</v>
      </c>
      <c r="D1850" s="1" t="s">
        <v>744</v>
      </c>
    </row>
    <row r="1851">
      <c r="A1851" s="2" t="s">
        <v>1724</v>
      </c>
      <c r="B1851" s="1" t="s">
        <v>1725</v>
      </c>
      <c r="C1851" s="2" t="s">
        <v>69</v>
      </c>
      <c r="D1851" s="1" t="s">
        <v>70</v>
      </c>
    </row>
    <row r="1852">
      <c r="A1852" s="2" t="s">
        <v>323</v>
      </c>
      <c r="B1852" s="1" t="s">
        <v>324</v>
      </c>
      <c r="C1852" s="2" t="s">
        <v>405</v>
      </c>
      <c r="D1852" s="1" t="s">
        <v>406</v>
      </c>
      <c r="E1852" s="2" t="s">
        <v>325</v>
      </c>
    </row>
    <row r="1853">
      <c r="A1853" s="2" t="s">
        <v>1728</v>
      </c>
      <c r="B1853" s="1" t="s">
        <v>1729</v>
      </c>
      <c r="C1853" s="2" t="s">
        <v>1307</v>
      </c>
      <c r="D1853" s="1" t="s">
        <v>1308</v>
      </c>
    </row>
    <row r="1854">
      <c r="A1854" s="2" t="s">
        <v>1730</v>
      </c>
      <c r="B1854" s="1" t="s">
        <v>1731</v>
      </c>
      <c r="C1854" s="2" t="s">
        <v>162</v>
      </c>
      <c r="D1854" s="1" t="s">
        <v>163</v>
      </c>
    </row>
    <row r="1855">
      <c r="A1855" s="2" t="s">
        <v>1730</v>
      </c>
      <c r="B1855" s="1" t="s">
        <v>1731</v>
      </c>
      <c r="C1855" s="2" t="s">
        <v>84</v>
      </c>
      <c r="D1855" s="1" t="s">
        <v>85</v>
      </c>
    </row>
    <row r="1856">
      <c r="A1856" s="2" t="s">
        <v>1732</v>
      </c>
      <c r="B1856" s="1" t="s">
        <v>1733</v>
      </c>
      <c r="C1856" s="2" t="s">
        <v>84</v>
      </c>
      <c r="D1856" s="1" t="s">
        <v>85</v>
      </c>
    </row>
    <row r="1857">
      <c r="A1857" s="2" t="s">
        <v>1732</v>
      </c>
      <c r="B1857" s="1" t="s">
        <v>1733</v>
      </c>
      <c r="C1857" s="2" t="s">
        <v>247</v>
      </c>
      <c r="D1857" s="1" t="s">
        <v>248</v>
      </c>
    </row>
    <row r="1858">
      <c r="A1858" s="2" t="s">
        <v>1730</v>
      </c>
      <c r="B1858" s="1" t="s">
        <v>1731</v>
      </c>
      <c r="C1858" s="2" t="s">
        <v>49</v>
      </c>
      <c r="D1858" s="1" t="s">
        <v>50</v>
      </c>
    </row>
    <row r="1859">
      <c r="A1859" s="2" t="s">
        <v>323</v>
      </c>
      <c r="B1859" s="1" t="s">
        <v>324</v>
      </c>
      <c r="C1859" s="2" t="s">
        <v>247</v>
      </c>
      <c r="D1859" s="1" t="s">
        <v>248</v>
      </c>
      <c r="E1859" s="2" t="s">
        <v>325</v>
      </c>
    </row>
    <row r="1860">
      <c r="A1860" s="2" t="s">
        <v>1734</v>
      </c>
      <c r="B1860" s="1" t="s">
        <v>1735</v>
      </c>
      <c r="C1860" s="2" t="s">
        <v>828</v>
      </c>
      <c r="D1860" s="1" t="s">
        <v>829</v>
      </c>
    </row>
    <row r="1861">
      <c r="A1861" s="2" t="s">
        <v>1630</v>
      </c>
      <c r="B1861" s="1" t="s">
        <v>1631</v>
      </c>
      <c r="C1861" s="2" t="s">
        <v>41</v>
      </c>
      <c r="D1861" s="1" t="s">
        <v>42</v>
      </c>
    </row>
    <row r="1862">
      <c r="A1862" s="2" t="s">
        <v>1630</v>
      </c>
      <c r="B1862" s="1" t="s">
        <v>1631</v>
      </c>
      <c r="C1862" s="2" t="s">
        <v>84</v>
      </c>
      <c r="D1862" s="1" t="s">
        <v>85</v>
      </c>
    </row>
    <row r="1863">
      <c r="A1863" s="2" t="s">
        <v>1630</v>
      </c>
      <c r="B1863" s="1" t="s">
        <v>1631</v>
      </c>
      <c r="C1863" s="2" t="s">
        <v>43</v>
      </c>
      <c r="D1863" s="1" t="s">
        <v>44</v>
      </c>
    </row>
    <row r="1864">
      <c r="A1864" s="2" t="s">
        <v>1716</v>
      </c>
      <c r="B1864" s="1" t="s">
        <v>1717</v>
      </c>
      <c r="C1864" s="2" t="s">
        <v>22</v>
      </c>
      <c r="D1864" s="1" t="s">
        <v>23</v>
      </c>
    </row>
    <row r="1865">
      <c r="A1865" s="2" t="s">
        <v>1636</v>
      </c>
      <c r="B1865" s="1" t="s">
        <v>1637</v>
      </c>
      <c r="C1865" s="2" t="s">
        <v>41</v>
      </c>
      <c r="D1865" s="1" t="s">
        <v>42</v>
      </c>
    </row>
    <row r="1866">
      <c r="A1866" s="2" t="s">
        <v>1636</v>
      </c>
      <c r="B1866" s="1" t="s">
        <v>1637</v>
      </c>
      <c r="C1866" s="2" t="s">
        <v>12</v>
      </c>
      <c r="D1866" s="1" t="s">
        <v>13</v>
      </c>
    </row>
    <row r="1867">
      <c r="A1867" s="2" t="s">
        <v>1630</v>
      </c>
      <c r="B1867" s="1" t="s">
        <v>1631</v>
      </c>
      <c r="C1867" s="2" t="s">
        <v>49</v>
      </c>
      <c r="D1867" s="1" t="s">
        <v>50</v>
      </c>
    </row>
    <row r="1868">
      <c r="A1868" s="2" t="s">
        <v>1636</v>
      </c>
      <c r="B1868" s="1" t="s">
        <v>1637</v>
      </c>
      <c r="C1868" s="2" t="s">
        <v>135</v>
      </c>
      <c r="D1868" s="1" t="s">
        <v>136</v>
      </c>
    </row>
    <row r="1869">
      <c r="A1869" s="2" t="s">
        <v>1716</v>
      </c>
      <c r="B1869" s="1" t="s">
        <v>1717</v>
      </c>
      <c r="C1869" s="2" t="s">
        <v>370</v>
      </c>
      <c r="D1869" s="1" t="s">
        <v>371</v>
      </c>
    </row>
    <row r="1870">
      <c r="A1870" s="2" t="s">
        <v>1636</v>
      </c>
      <c r="B1870" s="1" t="s">
        <v>1637</v>
      </c>
      <c r="C1870" s="2" t="s">
        <v>43</v>
      </c>
      <c r="D1870" s="1" t="s">
        <v>44</v>
      </c>
    </row>
    <row r="1871">
      <c r="A1871" s="2" t="s">
        <v>1660</v>
      </c>
      <c r="B1871" s="1" t="s">
        <v>1661</v>
      </c>
      <c r="C1871" s="2" t="s">
        <v>162</v>
      </c>
      <c r="D1871" s="1" t="s">
        <v>163</v>
      </c>
      <c r="E1871" s="2" t="s">
        <v>1662</v>
      </c>
    </row>
    <row r="1872">
      <c r="A1872" s="2" t="s">
        <v>1736</v>
      </c>
      <c r="B1872" s="1" t="s">
        <v>1737</v>
      </c>
      <c r="C1872" s="2" t="s">
        <v>604</v>
      </c>
      <c r="D1872" s="1" t="s">
        <v>605</v>
      </c>
    </row>
    <row r="1873">
      <c r="A1873" s="2" t="s">
        <v>1634</v>
      </c>
      <c r="B1873" s="1" t="s">
        <v>1635</v>
      </c>
      <c r="C1873" s="2" t="s">
        <v>25</v>
      </c>
      <c r="D1873" s="1" t="s">
        <v>26</v>
      </c>
    </row>
    <row r="1874">
      <c r="A1874" s="2" t="s">
        <v>1660</v>
      </c>
      <c r="B1874" s="1" t="s">
        <v>1661</v>
      </c>
      <c r="C1874" s="2" t="s">
        <v>116</v>
      </c>
      <c r="D1874" s="1" t="s">
        <v>117</v>
      </c>
      <c r="E1874" s="2" t="s">
        <v>1662</v>
      </c>
    </row>
    <row r="1875">
      <c r="A1875" s="2" t="s">
        <v>1636</v>
      </c>
      <c r="B1875" s="1" t="s">
        <v>1637</v>
      </c>
      <c r="C1875" s="2" t="s">
        <v>49</v>
      </c>
      <c r="D1875" s="1" t="s">
        <v>50</v>
      </c>
    </row>
    <row r="1876">
      <c r="A1876" s="2" t="s">
        <v>323</v>
      </c>
      <c r="B1876" s="1" t="s">
        <v>324</v>
      </c>
      <c r="C1876" s="2" t="s">
        <v>22</v>
      </c>
      <c r="D1876" s="1" t="s">
        <v>23</v>
      </c>
      <c r="E1876" s="2" t="s">
        <v>325</v>
      </c>
    </row>
    <row r="1877">
      <c r="A1877" s="2" t="s">
        <v>1730</v>
      </c>
      <c r="B1877" s="1" t="s">
        <v>1731</v>
      </c>
      <c r="C1877" s="2" t="s">
        <v>508</v>
      </c>
      <c r="D1877" s="1" t="s">
        <v>509</v>
      </c>
    </row>
    <row r="1878">
      <c r="A1878" s="2" t="s">
        <v>1736</v>
      </c>
      <c r="B1878" s="1" t="s">
        <v>1737</v>
      </c>
      <c r="C1878" s="2" t="s">
        <v>306</v>
      </c>
      <c r="D1878" s="1" t="s">
        <v>307</v>
      </c>
    </row>
    <row r="1879">
      <c r="A1879" s="2" t="s">
        <v>1738</v>
      </c>
      <c r="B1879" s="1" t="s">
        <v>1739</v>
      </c>
      <c r="C1879" s="2" t="s">
        <v>1740</v>
      </c>
      <c r="D1879" s="1" t="s">
        <v>1741</v>
      </c>
    </row>
    <row r="1880">
      <c r="A1880" s="2" t="s">
        <v>1624</v>
      </c>
      <c r="B1880" s="1" t="s">
        <v>1625</v>
      </c>
      <c r="C1880" s="2" t="s">
        <v>1742</v>
      </c>
      <c r="D1880" s="1" t="s">
        <v>1743</v>
      </c>
    </row>
    <row r="1881">
      <c r="A1881" s="2" t="s">
        <v>1730</v>
      </c>
      <c r="B1881" s="1" t="s">
        <v>1731</v>
      </c>
      <c r="C1881" s="2" t="s">
        <v>69</v>
      </c>
      <c r="D1881" s="1" t="s">
        <v>70</v>
      </c>
    </row>
    <row r="1882">
      <c r="A1882" s="2" t="s">
        <v>1744</v>
      </c>
      <c r="B1882" s="1" t="s">
        <v>1745</v>
      </c>
      <c r="C1882" s="2" t="s">
        <v>1346</v>
      </c>
      <c r="D1882" s="1" t="s">
        <v>1347</v>
      </c>
    </row>
    <row r="1883">
      <c r="A1883" s="2" t="s">
        <v>1678</v>
      </c>
      <c r="B1883" s="1" t="s">
        <v>1679</v>
      </c>
      <c r="C1883" s="2" t="s">
        <v>1746</v>
      </c>
      <c r="D1883" s="1" t="s">
        <v>1747</v>
      </c>
    </row>
    <row r="1884">
      <c r="A1884" s="2" t="s">
        <v>1678</v>
      </c>
      <c r="B1884" s="1" t="s">
        <v>1679</v>
      </c>
      <c r="C1884" s="2" t="s">
        <v>22</v>
      </c>
      <c r="D1884" s="1" t="s">
        <v>23</v>
      </c>
    </row>
    <row r="1885">
      <c r="A1885" s="2" t="s">
        <v>1748</v>
      </c>
      <c r="B1885" s="1" t="s">
        <v>1749</v>
      </c>
      <c r="C1885" s="2" t="s">
        <v>1750</v>
      </c>
      <c r="D1885" s="1" t="s">
        <v>637</v>
      </c>
    </row>
    <row r="1886">
      <c r="A1886" s="2" t="s">
        <v>1644</v>
      </c>
      <c r="B1886" s="1" t="s">
        <v>1645</v>
      </c>
      <c r="C1886" s="2" t="s">
        <v>604</v>
      </c>
      <c r="D1886" s="1" t="s">
        <v>605</v>
      </c>
    </row>
    <row r="1887">
      <c r="A1887" s="2" t="s">
        <v>1630</v>
      </c>
      <c r="B1887" s="1" t="s">
        <v>1631</v>
      </c>
      <c r="C1887" s="2" t="s">
        <v>69</v>
      </c>
      <c r="D1887" s="1" t="s">
        <v>70</v>
      </c>
    </row>
    <row r="1888">
      <c r="A1888" s="2" t="s">
        <v>1751</v>
      </c>
      <c r="B1888" s="1" t="s">
        <v>1752</v>
      </c>
      <c r="C1888" s="2" t="s">
        <v>604</v>
      </c>
      <c r="D1888" s="1" t="s">
        <v>605</v>
      </c>
    </row>
    <row r="1889">
      <c r="A1889" s="2" t="s">
        <v>1753</v>
      </c>
      <c r="B1889" s="1" t="s">
        <v>1754</v>
      </c>
      <c r="C1889" s="2" t="s">
        <v>604</v>
      </c>
      <c r="D1889" s="1" t="s">
        <v>605</v>
      </c>
    </row>
    <row r="1890">
      <c r="A1890" s="2" t="s">
        <v>1688</v>
      </c>
      <c r="B1890" s="1" t="s">
        <v>1689</v>
      </c>
      <c r="C1890" s="2" t="s">
        <v>12</v>
      </c>
      <c r="D1890" s="1" t="s">
        <v>13</v>
      </c>
    </row>
    <row r="1891">
      <c r="A1891" s="2" t="s">
        <v>1665</v>
      </c>
      <c r="B1891" s="1" t="s">
        <v>1666</v>
      </c>
      <c r="C1891" s="2" t="s">
        <v>79</v>
      </c>
      <c r="D1891" s="1" t="s">
        <v>80</v>
      </c>
      <c r="E1891" s="2" t="s">
        <v>1667</v>
      </c>
    </row>
    <row r="1892">
      <c r="A1892" s="2" t="s">
        <v>1636</v>
      </c>
      <c r="B1892" s="1" t="s">
        <v>1637</v>
      </c>
      <c r="C1892" s="2" t="s">
        <v>69</v>
      </c>
      <c r="D1892" s="1" t="s">
        <v>70</v>
      </c>
    </row>
    <row r="1893">
      <c r="A1893" s="2" t="s">
        <v>1734</v>
      </c>
      <c r="B1893" s="1" t="s">
        <v>1735</v>
      </c>
      <c r="C1893" s="2" t="s">
        <v>717</v>
      </c>
      <c r="D1893" s="1" t="s">
        <v>718</v>
      </c>
    </row>
    <row r="1894">
      <c r="A1894" s="2" t="s">
        <v>1755</v>
      </c>
      <c r="B1894" s="1" t="s">
        <v>1756</v>
      </c>
      <c r="C1894" s="2" t="s">
        <v>216</v>
      </c>
      <c r="D1894" s="1" t="s">
        <v>217</v>
      </c>
    </row>
    <row r="1895">
      <c r="A1895" s="2" t="s">
        <v>1708</v>
      </c>
      <c r="B1895" s="1" t="s">
        <v>1709</v>
      </c>
      <c r="C1895" s="2" t="s">
        <v>151</v>
      </c>
      <c r="D1895" s="1" t="s">
        <v>152</v>
      </c>
    </row>
    <row r="1896">
      <c r="A1896" s="2" t="s">
        <v>1757</v>
      </c>
      <c r="B1896" s="1" t="s">
        <v>1758</v>
      </c>
      <c r="C1896" s="2" t="s">
        <v>604</v>
      </c>
      <c r="D1896" s="1" t="s">
        <v>605</v>
      </c>
    </row>
    <row r="1897">
      <c r="A1897" s="2" t="s">
        <v>1724</v>
      </c>
      <c r="B1897" s="1" t="s">
        <v>1725</v>
      </c>
      <c r="C1897" s="2" t="s">
        <v>25</v>
      </c>
      <c r="D1897" s="1" t="s">
        <v>26</v>
      </c>
    </row>
    <row r="1898">
      <c r="A1898" s="2" t="s">
        <v>1660</v>
      </c>
      <c r="B1898" s="1" t="s">
        <v>1661</v>
      </c>
      <c r="C1898" s="2" t="s">
        <v>12</v>
      </c>
      <c r="D1898" s="1" t="s">
        <v>13</v>
      </c>
      <c r="E1898" s="2" t="s">
        <v>1662</v>
      </c>
    </row>
    <row r="1899">
      <c r="A1899" s="2" t="s">
        <v>1759</v>
      </c>
      <c r="B1899" s="1" t="s">
        <v>1760</v>
      </c>
      <c r="C1899" s="2" t="s">
        <v>604</v>
      </c>
      <c r="D1899" s="1" t="s">
        <v>605</v>
      </c>
    </row>
    <row r="1900">
      <c r="A1900" s="2" t="s">
        <v>101</v>
      </c>
      <c r="B1900" s="1" t="s">
        <v>102</v>
      </c>
      <c r="C1900" s="2" t="s">
        <v>124</v>
      </c>
      <c r="D1900" s="1" t="s">
        <v>125</v>
      </c>
      <c r="E1900" s="2" t="s">
        <v>105</v>
      </c>
    </row>
    <row r="1901">
      <c r="A1901" s="2" t="s">
        <v>1757</v>
      </c>
      <c r="B1901" s="1" t="s">
        <v>1758</v>
      </c>
      <c r="C1901" s="2" t="s">
        <v>306</v>
      </c>
      <c r="D1901" s="1" t="s">
        <v>307</v>
      </c>
    </row>
    <row r="1902">
      <c r="A1902" s="2" t="s">
        <v>1761</v>
      </c>
      <c r="B1902" s="1" t="s">
        <v>1762</v>
      </c>
      <c r="C1902" s="2" t="s">
        <v>651</v>
      </c>
      <c r="D1902" s="1" t="s">
        <v>652</v>
      </c>
      <c r="E1902" s="2" t="s">
        <v>1763</v>
      </c>
    </row>
    <row r="1903">
      <c r="A1903" s="2" t="s">
        <v>1759</v>
      </c>
      <c r="B1903" s="1" t="s">
        <v>1760</v>
      </c>
      <c r="C1903" s="2" t="s">
        <v>306</v>
      </c>
      <c r="D1903" s="1" t="s">
        <v>307</v>
      </c>
    </row>
    <row r="1904">
      <c r="A1904" s="2" t="s">
        <v>1764</v>
      </c>
      <c r="B1904" s="1" t="s">
        <v>1765</v>
      </c>
      <c r="C1904" s="2" t="s">
        <v>173</v>
      </c>
      <c r="D1904" s="1" t="s">
        <v>174</v>
      </c>
    </row>
    <row r="1905">
      <c r="A1905" s="2" t="s">
        <v>1766</v>
      </c>
      <c r="B1905" s="1" t="s">
        <v>1767</v>
      </c>
      <c r="C1905" s="2" t="s">
        <v>311</v>
      </c>
      <c r="D1905" s="1" t="s">
        <v>312</v>
      </c>
    </row>
    <row r="1906">
      <c r="A1906" s="2" t="s">
        <v>749</v>
      </c>
      <c r="B1906" s="1" t="s">
        <v>750</v>
      </c>
      <c r="C1906" s="2" t="s">
        <v>133</v>
      </c>
      <c r="D1906" s="1" t="s">
        <v>134</v>
      </c>
    </row>
    <row r="1907">
      <c r="A1907" s="2" t="s">
        <v>1640</v>
      </c>
      <c r="B1907" s="1" t="s">
        <v>1641</v>
      </c>
      <c r="C1907" s="2" t="s">
        <v>1768</v>
      </c>
      <c r="D1907" s="1" t="s">
        <v>1769</v>
      </c>
    </row>
    <row r="1908">
      <c r="A1908" s="2" t="s">
        <v>1770</v>
      </c>
      <c r="B1908" s="1" t="s">
        <v>1771</v>
      </c>
      <c r="C1908" s="2" t="s">
        <v>407</v>
      </c>
      <c r="D1908" s="1" t="s">
        <v>408</v>
      </c>
    </row>
    <row r="1909">
      <c r="A1909" s="2" t="s">
        <v>1772</v>
      </c>
      <c r="B1909" s="1" t="s">
        <v>1773</v>
      </c>
      <c r="C1909" s="2" t="s">
        <v>793</v>
      </c>
      <c r="D1909" s="1" t="s">
        <v>794</v>
      </c>
    </row>
    <row r="1910">
      <c r="A1910" s="2" t="s">
        <v>1650</v>
      </c>
      <c r="B1910" s="1" t="s">
        <v>1651</v>
      </c>
      <c r="C1910" s="2" t="s">
        <v>743</v>
      </c>
      <c r="D1910" s="1" t="s">
        <v>744</v>
      </c>
    </row>
    <row r="1911">
      <c r="A1911" s="2" t="s">
        <v>1774</v>
      </c>
      <c r="B1911" s="1" t="s">
        <v>1775</v>
      </c>
      <c r="C1911" s="2" t="s">
        <v>22</v>
      </c>
      <c r="D1911" s="1" t="s">
        <v>23</v>
      </c>
    </row>
    <row r="1912">
      <c r="A1912" s="2" t="s">
        <v>1774</v>
      </c>
      <c r="B1912" s="1" t="s">
        <v>1775</v>
      </c>
      <c r="C1912" s="2" t="s">
        <v>151</v>
      </c>
      <c r="D1912" s="1" t="s">
        <v>152</v>
      </c>
    </row>
    <row r="1913">
      <c r="A1913" s="2" t="s">
        <v>1620</v>
      </c>
      <c r="B1913" s="1" t="s">
        <v>1621</v>
      </c>
      <c r="C1913" s="2" t="s">
        <v>216</v>
      </c>
      <c r="D1913" s="1" t="s">
        <v>217</v>
      </c>
    </row>
    <row r="1914">
      <c r="A1914" s="2" t="s">
        <v>1776</v>
      </c>
      <c r="B1914" s="1" t="s">
        <v>1777</v>
      </c>
      <c r="C1914" s="2" t="s">
        <v>1778</v>
      </c>
      <c r="D1914" s="1" t="s">
        <v>1779</v>
      </c>
    </row>
    <row r="1915">
      <c r="A1915" s="2" t="s">
        <v>1780</v>
      </c>
      <c r="B1915" s="1" t="s">
        <v>1781</v>
      </c>
      <c r="C1915" s="2" t="s">
        <v>12</v>
      </c>
      <c r="D1915" s="1" t="s">
        <v>13</v>
      </c>
      <c r="E1915" s="2" t="s">
        <v>1782</v>
      </c>
    </row>
    <row r="1916">
      <c r="A1916" s="2" t="s">
        <v>1776</v>
      </c>
      <c r="B1916" s="1" t="s">
        <v>1777</v>
      </c>
      <c r="C1916" s="2" t="s">
        <v>370</v>
      </c>
      <c r="D1916" s="1" t="s">
        <v>371</v>
      </c>
    </row>
    <row r="1917">
      <c r="A1917" s="2" t="s">
        <v>1780</v>
      </c>
      <c r="B1917" s="1" t="s">
        <v>1781</v>
      </c>
      <c r="C1917" s="2" t="s">
        <v>1013</v>
      </c>
      <c r="D1917" s="1" t="s">
        <v>1014</v>
      </c>
      <c r="E1917" s="2" t="s">
        <v>1782</v>
      </c>
    </row>
    <row r="1918">
      <c r="A1918" s="2" t="s">
        <v>1780</v>
      </c>
      <c r="B1918" s="1" t="s">
        <v>1781</v>
      </c>
      <c r="C1918" s="2" t="s">
        <v>114</v>
      </c>
      <c r="D1918" s="1" t="s">
        <v>115</v>
      </c>
      <c r="E1918" s="2" t="s">
        <v>1782</v>
      </c>
    </row>
    <row r="1919">
      <c r="A1919" s="2" t="s">
        <v>1776</v>
      </c>
      <c r="B1919" s="1" t="s">
        <v>1777</v>
      </c>
      <c r="C1919" s="2" t="s">
        <v>139</v>
      </c>
      <c r="D1919" s="1" t="s">
        <v>140</v>
      </c>
    </row>
    <row r="1920">
      <c r="A1920" s="2" t="s">
        <v>1776</v>
      </c>
      <c r="B1920" s="1" t="s">
        <v>1777</v>
      </c>
      <c r="C1920" s="2" t="s">
        <v>807</v>
      </c>
      <c r="D1920" s="1" t="s">
        <v>808</v>
      </c>
    </row>
    <row r="1921">
      <c r="A1921" s="2" t="s">
        <v>1783</v>
      </c>
      <c r="B1921" s="1" t="s">
        <v>1784</v>
      </c>
      <c r="C1921" s="2" t="s">
        <v>604</v>
      </c>
      <c r="D1921" s="1" t="s">
        <v>605</v>
      </c>
    </row>
    <row r="1922">
      <c r="A1922" s="2" t="s">
        <v>1783</v>
      </c>
      <c r="B1922" s="1" t="s">
        <v>1784</v>
      </c>
      <c r="C1922" s="2" t="s">
        <v>306</v>
      </c>
      <c r="D1922" s="1" t="s">
        <v>307</v>
      </c>
    </row>
    <row r="1923">
      <c r="A1923" s="2" t="s">
        <v>1785</v>
      </c>
      <c r="B1923" s="1" t="s">
        <v>1786</v>
      </c>
    </row>
    <row r="1924">
      <c r="A1924" s="2" t="s">
        <v>1787</v>
      </c>
      <c r="B1924" s="1" t="s">
        <v>1788</v>
      </c>
      <c r="C1924" s="2" t="s">
        <v>739</v>
      </c>
      <c r="D1924" s="1" t="s">
        <v>740</v>
      </c>
    </row>
    <row r="1925">
      <c r="A1925" s="2" t="s">
        <v>1789</v>
      </c>
      <c r="B1925" s="1" t="s">
        <v>1790</v>
      </c>
      <c r="C1925" s="2" t="s">
        <v>1791</v>
      </c>
      <c r="D1925" s="1" t="s">
        <v>1792</v>
      </c>
      <c r="E1925" s="2" t="s">
        <v>1793</v>
      </c>
    </row>
    <row r="1926">
      <c r="A1926" s="2" t="s">
        <v>1794</v>
      </c>
      <c r="B1926" s="1" t="s">
        <v>1795</v>
      </c>
      <c r="C1926" s="2" t="s">
        <v>1044</v>
      </c>
      <c r="D1926" s="1" t="s">
        <v>1045</v>
      </c>
      <c r="E1926" s="2" t="s">
        <v>1796</v>
      </c>
    </row>
    <row r="1927">
      <c r="A1927" s="2" t="s">
        <v>1794</v>
      </c>
      <c r="B1927" s="1" t="s">
        <v>1795</v>
      </c>
      <c r="C1927" s="2" t="s">
        <v>266</v>
      </c>
      <c r="D1927" s="1" t="s">
        <v>267</v>
      </c>
      <c r="E1927" s="2" t="s">
        <v>1796</v>
      </c>
    </row>
    <row r="1928">
      <c r="A1928" s="2" t="s">
        <v>1797</v>
      </c>
      <c r="B1928" s="1" t="s">
        <v>1798</v>
      </c>
      <c r="C1928" s="2" t="s">
        <v>114</v>
      </c>
      <c r="D1928" s="1" t="s">
        <v>115</v>
      </c>
    </row>
    <row r="1929">
      <c r="A1929" s="2" t="s">
        <v>1797</v>
      </c>
      <c r="B1929" s="1" t="s">
        <v>1798</v>
      </c>
      <c r="C1929" s="2" t="s">
        <v>22</v>
      </c>
      <c r="D1929" s="1" t="s">
        <v>23</v>
      </c>
    </row>
    <row r="1930">
      <c r="A1930" s="2" t="s">
        <v>1794</v>
      </c>
      <c r="B1930" s="1" t="s">
        <v>1795</v>
      </c>
      <c r="C1930" s="2" t="s">
        <v>1799</v>
      </c>
      <c r="D1930" s="1" t="s">
        <v>1800</v>
      </c>
      <c r="E1930" s="2" t="s">
        <v>1796</v>
      </c>
    </row>
    <row r="1931">
      <c r="A1931" s="2" t="s">
        <v>1797</v>
      </c>
      <c r="B1931" s="1" t="s">
        <v>1798</v>
      </c>
      <c r="C1931" s="2" t="s">
        <v>77</v>
      </c>
      <c r="D1931" s="1" t="s">
        <v>78</v>
      </c>
    </row>
    <row r="1932">
      <c r="A1932" s="2" t="s">
        <v>1797</v>
      </c>
      <c r="B1932" s="1" t="s">
        <v>1798</v>
      </c>
      <c r="C1932" s="2" t="s">
        <v>124</v>
      </c>
      <c r="D1932" s="1" t="s">
        <v>125</v>
      </c>
    </row>
    <row r="1933">
      <c r="A1933" s="2" t="s">
        <v>1794</v>
      </c>
      <c r="B1933" s="1" t="s">
        <v>1795</v>
      </c>
      <c r="C1933" s="2" t="s">
        <v>1801</v>
      </c>
      <c r="D1933" s="1" t="s">
        <v>1802</v>
      </c>
      <c r="E1933" s="2" t="s">
        <v>1796</v>
      </c>
    </row>
    <row r="1934">
      <c r="A1934" s="2" t="s">
        <v>1794</v>
      </c>
      <c r="B1934" s="1" t="s">
        <v>1795</v>
      </c>
      <c r="C1934" s="2" t="s">
        <v>1803</v>
      </c>
      <c r="D1934" s="1" t="s">
        <v>1804</v>
      </c>
      <c r="E1934" s="2" t="s">
        <v>1796</v>
      </c>
    </row>
    <row r="1935">
      <c r="A1935" s="2" t="s">
        <v>1805</v>
      </c>
      <c r="B1935" s="1" t="s">
        <v>1806</v>
      </c>
      <c r="C1935" s="2" t="s">
        <v>79</v>
      </c>
      <c r="D1935" s="1" t="s">
        <v>80</v>
      </c>
      <c r="E1935" s="2" t="s">
        <v>1807</v>
      </c>
    </row>
    <row r="1936">
      <c r="A1936" s="2" t="s">
        <v>1805</v>
      </c>
      <c r="B1936" s="1" t="s">
        <v>1806</v>
      </c>
      <c r="C1936" s="2" t="s">
        <v>12</v>
      </c>
      <c r="D1936" s="1" t="s">
        <v>13</v>
      </c>
      <c r="E1936" s="2" t="s">
        <v>1807</v>
      </c>
    </row>
    <row r="1937">
      <c r="A1937" s="2" t="s">
        <v>1805</v>
      </c>
      <c r="B1937" s="1" t="s">
        <v>1806</v>
      </c>
      <c r="C1937" s="2" t="s">
        <v>84</v>
      </c>
      <c r="D1937" s="1" t="s">
        <v>85</v>
      </c>
      <c r="E1937" s="2" t="s">
        <v>1807</v>
      </c>
    </row>
    <row r="1938">
      <c r="A1938" s="2" t="s">
        <v>1805</v>
      </c>
      <c r="B1938" s="1" t="s">
        <v>1806</v>
      </c>
      <c r="C1938" s="2" t="s">
        <v>77</v>
      </c>
      <c r="D1938" s="1" t="s">
        <v>78</v>
      </c>
      <c r="E1938" s="2" t="s">
        <v>1807</v>
      </c>
    </row>
    <row r="1939">
      <c r="A1939" s="2" t="s">
        <v>1805</v>
      </c>
      <c r="B1939" s="1" t="s">
        <v>1806</v>
      </c>
      <c r="C1939" s="2" t="s">
        <v>49</v>
      </c>
      <c r="D1939" s="1" t="s">
        <v>50</v>
      </c>
      <c r="E1939" s="2" t="s">
        <v>1807</v>
      </c>
    </row>
    <row r="1940">
      <c r="A1940" s="2" t="s">
        <v>1805</v>
      </c>
      <c r="B1940" s="1" t="s">
        <v>1806</v>
      </c>
      <c r="C1940" s="2" t="s">
        <v>90</v>
      </c>
      <c r="D1940" s="1" t="s">
        <v>91</v>
      </c>
      <c r="E1940" s="2" t="s">
        <v>1807</v>
      </c>
    </row>
    <row r="1941">
      <c r="A1941" s="2" t="s">
        <v>1805</v>
      </c>
      <c r="B1941" s="1" t="s">
        <v>1806</v>
      </c>
      <c r="C1941" s="2" t="s">
        <v>421</v>
      </c>
      <c r="D1941" s="1" t="s">
        <v>422</v>
      </c>
      <c r="E1941" s="2" t="s">
        <v>1807</v>
      </c>
    </row>
    <row r="1942">
      <c r="A1942" s="2" t="s">
        <v>1805</v>
      </c>
      <c r="B1942" s="1" t="s">
        <v>1806</v>
      </c>
      <c r="C1942" s="2" t="s">
        <v>133</v>
      </c>
      <c r="D1942" s="1" t="s">
        <v>134</v>
      </c>
      <c r="E1942" s="2" t="s">
        <v>1807</v>
      </c>
    </row>
    <row r="1943">
      <c r="A1943" s="2" t="s">
        <v>1805</v>
      </c>
      <c r="B1943" s="1" t="s">
        <v>1806</v>
      </c>
      <c r="C1943" s="2" t="s">
        <v>225</v>
      </c>
      <c r="D1943" s="1" t="s">
        <v>226</v>
      </c>
      <c r="E1943" s="2" t="s">
        <v>1807</v>
      </c>
    </row>
    <row r="1944">
      <c r="A1944" s="2" t="s">
        <v>1805</v>
      </c>
      <c r="B1944" s="1" t="s">
        <v>1806</v>
      </c>
      <c r="C1944" s="2" t="s">
        <v>43</v>
      </c>
      <c r="D1944" s="1" t="s">
        <v>44</v>
      </c>
      <c r="E1944" s="2" t="s">
        <v>1807</v>
      </c>
    </row>
    <row r="1945">
      <c r="A1945" s="2" t="s">
        <v>1808</v>
      </c>
      <c r="B1945" s="1" t="s">
        <v>1809</v>
      </c>
      <c r="C1945" s="2" t="s">
        <v>12</v>
      </c>
      <c r="D1945" s="1" t="s">
        <v>13</v>
      </c>
      <c r="E1945" s="2" t="s">
        <v>1810</v>
      </c>
    </row>
    <row r="1946">
      <c r="A1946" s="2" t="s">
        <v>1811</v>
      </c>
      <c r="B1946" s="1" t="s">
        <v>1812</v>
      </c>
      <c r="C1946" s="2" t="s">
        <v>12</v>
      </c>
      <c r="D1946" s="1" t="s">
        <v>13</v>
      </c>
      <c r="E1946" s="2" t="s">
        <v>1813</v>
      </c>
    </row>
    <row r="1947">
      <c r="A1947" s="2" t="s">
        <v>1808</v>
      </c>
      <c r="B1947" s="1" t="s">
        <v>1809</v>
      </c>
      <c r="C1947" s="2" t="s">
        <v>114</v>
      </c>
      <c r="D1947" s="1" t="s">
        <v>115</v>
      </c>
      <c r="E1947" s="2" t="s">
        <v>1810</v>
      </c>
    </row>
    <row r="1948">
      <c r="A1948" s="2" t="s">
        <v>1814</v>
      </c>
      <c r="B1948" s="1" t="s">
        <v>1815</v>
      </c>
      <c r="C1948" s="2" t="s">
        <v>53</v>
      </c>
      <c r="D1948" s="1" t="s">
        <v>54</v>
      </c>
      <c r="E1948" s="2" t="s">
        <v>1816</v>
      </c>
    </row>
    <row r="1949">
      <c r="A1949" s="2" t="s">
        <v>1811</v>
      </c>
      <c r="B1949" s="1" t="s">
        <v>1812</v>
      </c>
      <c r="C1949" s="2" t="s">
        <v>114</v>
      </c>
      <c r="D1949" s="1" t="s">
        <v>115</v>
      </c>
      <c r="E1949" s="2" t="s">
        <v>1813</v>
      </c>
    </row>
    <row r="1950">
      <c r="A1950" s="2" t="s">
        <v>1811</v>
      </c>
      <c r="B1950" s="1" t="s">
        <v>1812</v>
      </c>
      <c r="C1950" s="2" t="s">
        <v>332</v>
      </c>
      <c r="D1950" s="1" t="s">
        <v>333</v>
      </c>
      <c r="E1950" s="2" t="s">
        <v>1813</v>
      </c>
    </row>
    <row r="1951">
      <c r="A1951" s="2" t="s">
        <v>1811</v>
      </c>
      <c r="B1951" s="1" t="s">
        <v>1812</v>
      </c>
      <c r="C1951" s="2" t="s">
        <v>337</v>
      </c>
      <c r="D1951" s="1" t="s">
        <v>338</v>
      </c>
      <c r="E1951" s="2" t="s">
        <v>1813</v>
      </c>
    </row>
    <row r="1952">
      <c r="A1952" s="2" t="s">
        <v>1814</v>
      </c>
      <c r="B1952" s="1" t="s">
        <v>1815</v>
      </c>
      <c r="C1952" s="2" t="s">
        <v>49</v>
      </c>
      <c r="D1952" s="1" t="s">
        <v>50</v>
      </c>
      <c r="E1952" s="2" t="s">
        <v>1816</v>
      </c>
    </row>
    <row r="1953">
      <c r="A1953" s="2" t="s">
        <v>1814</v>
      </c>
      <c r="B1953" s="1" t="s">
        <v>1815</v>
      </c>
      <c r="C1953" s="2" t="s">
        <v>221</v>
      </c>
      <c r="D1953" s="1" t="s">
        <v>222</v>
      </c>
      <c r="E1953" s="2" t="s">
        <v>1816</v>
      </c>
    </row>
    <row r="1954">
      <c r="A1954" s="2" t="s">
        <v>1814</v>
      </c>
      <c r="B1954" s="1" t="s">
        <v>1815</v>
      </c>
      <c r="C1954" s="2" t="s">
        <v>69</v>
      </c>
      <c r="D1954" s="1" t="s">
        <v>70</v>
      </c>
      <c r="E1954" s="2" t="s">
        <v>1816</v>
      </c>
    </row>
    <row r="1955">
      <c r="A1955" s="2" t="s">
        <v>1814</v>
      </c>
      <c r="B1955" s="1" t="s">
        <v>1815</v>
      </c>
      <c r="C1955" s="2" t="s">
        <v>216</v>
      </c>
      <c r="D1955" s="1" t="s">
        <v>217</v>
      </c>
      <c r="E1955" s="2" t="s">
        <v>1816</v>
      </c>
    </row>
    <row r="1956">
      <c r="A1956" s="2" t="s">
        <v>1814</v>
      </c>
      <c r="B1956" s="1" t="s">
        <v>1815</v>
      </c>
      <c r="C1956" s="2" t="s">
        <v>43</v>
      </c>
      <c r="D1956" s="1" t="s">
        <v>44</v>
      </c>
      <c r="E1956" s="2" t="s">
        <v>1816</v>
      </c>
    </row>
    <row r="1957">
      <c r="A1957" s="2" t="s">
        <v>1814</v>
      </c>
      <c r="B1957" s="1" t="s">
        <v>1815</v>
      </c>
      <c r="C1957" s="2" t="s">
        <v>75</v>
      </c>
      <c r="D1957" s="1" t="s">
        <v>76</v>
      </c>
      <c r="E1957" s="2" t="s">
        <v>1816</v>
      </c>
    </row>
    <row r="1958">
      <c r="A1958" s="2" t="s">
        <v>1817</v>
      </c>
      <c r="B1958" s="1" t="s">
        <v>1818</v>
      </c>
      <c r="C1958" s="2" t="s">
        <v>162</v>
      </c>
      <c r="D1958" s="1" t="s">
        <v>163</v>
      </c>
    </row>
    <row r="1959">
      <c r="A1959" s="2" t="s">
        <v>1817</v>
      </c>
      <c r="B1959" s="1" t="s">
        <v>1818</v>
      </c>
      <c r="C1959" s="2" t="s">
        <v>103</v>
      </c>
      <c r="D1959" s="1" t="s">
        <v>104</v>
      </c>
    </row>
    <row r="1960">
      <c r="A1960" s="2" t="s">
        <v>1817</v>
      </c>
      <c r="B1960" s="1" t="s">
        <v>1818</v>
      </c>
      <c r="C1960" s="2" t="s">
        <v>135</v>
      </c>
      <c r="D1960" s="1" t="s">
        <v>136</v>
      </c>
    </row>
    <row r="1961">
      <c r="A1961" s="2" t="s">
        <v>1817</v>
      </c>
      <c r="B1961" s="1" t="s">
        <v>1818</v>
      </c>
      <c r="C1961" s="2" t="s">
        <v>431</v>
      </c>
      <c r="D1961" s="1" t="s">
        <v>432</v>
      </c>
    </row>
    <row r="1962">
      <c r="A1962" s="2" t="s">
        <v>1817</v>
      </c>
      <c r="B1962" s="1" t="s">
        <v>1818</v>
      </c>
      <c r="C1962" s="2" t="s">
        <v>252</v>
      </c>
      <c r="D1962" s="1" t="s">
        <v>253</v>
      </c>
    </row>
    <row r="1963">
      <c r="A1963" s="2" t="s">
        <v>1817</v>
      </c>
      <c r="B1963" s="1" t="s">
        <v>1818</v>
      </c>
      <c r="C1963" s="2" t="s">
        <v>22</v>
      </c>
      <c r="D1963" s="1" t="s">
        <v>23</v>
      </c>
    </row>
    <row r="1964">
      <c r="A1964" s="2" t="s">
        <v>1817</v>
      </c>
      <c r="B1964" s="1" t="s">
        <v>1818</v>
      </c>
      <c r="C1964" s="2" t="s">
        <v>25</v>
      </c>
      <c r="D1964" s="1" t="s">
        <v>26</v>
      </c>
    </row>
    <row r="1965">
      <c r="A1965" s="2" t="s">
        <v>1819</v>
      </c>
      <c r="B1965" s="1" t="s">
        <v>1820</v>
      </c>
      <c r="C1965" s="2" t="s">
        <v>1602</v>
      </c>
      <c r="D1965" s="1" t="s">
        <v>1603</v>
      </c>
    </row>
    <row r="1966">
      <c r="A1966" s="2" t="s">
        <v>1819</v>
      </c>
      <c r="B1966" s="1" t="s">
        <v>1820</v>
      </c>
      <c r="C1966" s="2" t="s">
        <v>962</v>
      </c>
      <c r="D1966" s="1" t="s">
        <v>963</v>
      </c>
    </row>
    <row r="1967">
      <c r="A1967" s="2" t="s">
        <v>1819</v>
      </c>
      <c r="B1967" s="1" t="s">
        <v>1820</v>
      </c>
      <c r="C1967" s="2" t="s">
        <v>395</v>
      </c>
      <c r="D1967" s="1" t="s">
        <v>396</v>
      </c>
    </row>
    <row r="1968">
      <c r="A1968" s="2" t="s">
        <v>1821</v>
      </c>
      <c r="B1968" s="1" t="s">
        <v>1822</v>
      </c>
    </row>
    <row r="1969">
      <c r="A1969" s="2" t="s">
        <v>1823</v>
      </c>
      <c r="B1969" s="1" t="s">
        <v>1824</v>
      </c>
    </row>
    <row r="1970">
      <c r="A1970" s="2" t="s">
        <v>1825</v>
      </c>
      <c r="B1970" s="1" t="s">
        <v>1826</v>
      </c>
      <c r="C1970" s="2" t="s">
        <v>306</v>
      </c>
      <c r="D1970" s="1" t="s">
        <v>307</v>
      </c>
    </row>
    <row r="1971">
      <c r="A1971" s="2" t="s">
        <v>1827</v>
      </c>
      <c r="B1971" s="1" t="s">
        <v>1828</v>
      </c>
      <c r="C1971" s="2" t="s">
        <v>604</v>
      </c>
      <c r="D1971" s="1" t="s">
        <v>605</v>
      </c>
      <c r="E1971" s="2" t="s">
        <v>1829</v>
      </c>
    </row>
    <row r="1972">
      <c r="A1972" s="2" t="s">
        <v>1830</v>
      </c>
      <c r="B1972" s="1" t="s">
        <v>1831</v>
      </c>
      <c r="C1972" s="2" t="s">
        <v>41</v>
      </c>
      <c r="D1972" s="1" t="s">
        <v>42</v>
      </c>
    </row>
    <row r="1973">
      <c r="A1973" s="2" t="s">
        <v>1830</v>
      </c>
      <c r="B1973" s="1" t="s">
        <v>1831</v>
      </c>
      <c r="C1973" s="2" t="s">
        <v>84</v>
      </c>
      <c r="D1973" s="1" t="s">
        <v>85</v>
      </c>
    </row>
    <row r="1974">
      <c r="A1974" s="2" t="s">
        <v>1830</v>
      </c>
      <c r="B1974" s="1" t="s">
        <v>1831</v>
      </c>
      <c r="C1974" s="2" t="s">
        <v>43</v>
      </c>
      <c r="D1974" s="1" t="s">
        <v>44</v>
      </c>
    </row>
    <row r="1975">
      <c r="A1975" s="2" t="s">
        <v>1830</v>
      </c>
      <c r="B1975" s="1" t="s">
        <v>1831</v>
      </c>
      <c r="C1975" s="2" t="s">
        <v>49</v>
      </c>
      <c r="D1975" s="1" t="s">
        <v>50</v>
      </c>
    </row>
    <row r="1976">
      <c r="A1976" s="2" t="s">
        <v>1830</v>
      </c>
      <c r="B1976" s="1" t="s">
        <v>1831</v>
      </c>
      <c r="C1976" s="2" t="s">
        <v>69</v>
      </c>
      <c r="D1976" s="1" t="s">
        <v>70</v>
      </c>
    </row>
    <row r="1977">
      <c r="A1977" s="2" t="s">
        <v>1827</v>
      </c>
      <c r="B1977" s="1" t="s">
        <v>1828</v>
      </c>
      <c r="C1977" s="2" t="s">
        <v>1832</v>
      </c>
      <c r="D1977" s="1" t="s">
        <v>1833</v>
      </c>
      <c r="E1977" s="2" t="s">
        <v>1829</v>
      </c>
    </row>
    <row r="1978">
      <c r="A1978" s="2" t="s">
        <v>1825</v>
      </c>
      <c r="B1978" s="1" t="s">
        <v>1826</v>
      </c>
      <c r="C1978" s="2" t="s">
        <v>49</v>
      </c>
      <c r="D1978" s="1" t="s">
        <v>50</v>
      </c>
    </row>
    <row r="1979">
      <c r="A1979" s="2" t="s">
        <v>1827</v>
      </c>
      <c r="B1979" s="1" t="s">
        <v>1828</v>
      </c>
      <c r="C1979" s="2" t="s">
        <v>1120</v>
      </c>
      <c r="D1979" s="1" t="s">
        <v>1121</v>
      </c>
      <c r="E1979" s="2" t="s">
        <v>1829</v>
      </c>
    </row>
    <row r="1980">
      <c r="A1980" s="2" t="s">
        <v>1827</v>
      </c>
      <c r="B1980" s="1" t="s">
        <v>1828</v>
      </c>
      <c r="C1980" s="2" t="s">
        <v>1834</v>
      </c>
      <c r="D1980" s="1" t="s">
        <v>1835</v>
      </c>
      <c r="E1980" s="2" t="s">
        <v>1829</v>
      </c>
    </row>
    <row r="1981">
      <c r="A1981" s="2" t="s">
        <v>1825</v>
      </c>
      <c r="B1981" s="1" t="s">
        <v>1826</v>
      </c>
      <c r="C1981" s="2" t="s">
        <v>604</v>
      </c>
      <c r="D1981" s="1" t="s">
        <v>605</v>
      </c>
    </row>
  </sheetData>
  <hyperlinks>
    <hyperlink r:id="rId1" ref="A2"/>
    <hyperlink r:id="rId2" ref="C2"/>
    <hyperlink r:id="rId3" ref="E2"/>
    <hyperlink r:id="rId4" ref="A3"/>
    <hyperlink r:id="rId5" ref="C3"/>
    <hyperlink r:id="rId6" ref="E3"/>
    <hyperlink r:id="rId7" ref="A4"/>
    <hyperlink r:id="rId8" ref="C4"/>
    <hyperlink r:id="rId9" ref="E4"/>
    <hyperlink r:id="rId10" ref="A5"/>
    <hyperlink r:id="rId11" ref="C5"/>
    <hyperlink r:id="rId12" ref="E5"/>
    <hyperlink r:id="rId13" ref="A6"/>
    <hyperlink r:id="rId14" ref="C6"/>
    <hyperlink r:id="rId15" ref="E6"/>
    <hyperlink r:id="rId16" ref="A7"/>
    <hyperlink r:id="rId17" ref="C7"/>
    <hyperlink r:id="rId18" ref="E7"/>
    <hyperlink r:id="rId19" ref="A8"/>
    <hyperlink r:id="rId20" ref="C8"/>
    <hyperlink r:id="rId21" ref="A9"/>
    <hyperlink r:id="rId22" ref="C9"/>
    <hyperlink r:id="rId23" ref="A10"/>
    <hyperlink r:id="rId24" ref="C10"/>
    <hyperlink r:id="rId25" ref="E10"/>
    <hyperlink r:id="rId26" ref="A11"/>
    <hyperlink r:id="rId27" ref="C11"/>
    <hyperlink r:id="rId28" ref="A12"/>
    <hyperlink r:id="rId29" ref="C12"/>
    <hyperlink r:id="rId30" ref="A13"/>
    <hyperlink r:id="rId31" ref="C13"/>
    <hyperlink r:id="rId32" ref="A14"/>
    <hyperlink r:id="rId33" ref="C14"/>
    <hyperlink r:id="rId34" ref="A15"/>
    <hyperlink r:id="rId35" ref="C15"/>
    <hyperlink r:id="rId36" ref="A16"/>
    <hyperlink r:id="rId37" ref="C16"/>
    <hyperlink r:id="rId38" ref="E16"/>
    <hyperlink r:id="rId39" ref="A17"/>
    <hyperlink r:id="rId40" ref="C17"/>
    <hyperlink r:id="rId41" ref="A18"/>
    <hyperlink r:id="rId42" ref="C18"/>
    <hyperlink r:id="rId43" ref="E18"/>
    <hyperlink r:id="rId44" ref="A19"/>
    <hyperlink r:id="rId45" ref="C19"/>
    <hyperlink r:id="rId46" ref="E19"/>
    <hyperlink r:id="rId47" ref="A20"/>
    <hyperlink r:id="rId48" ref="C20"/>
    <hyperlink r:id="rId49" ref="E20"/>
    <hyperlink r:id="rId50" ref="A21"/>
    <hyperlink r:id="rId51" ref="C21"/>
    <hyperlink r:id="rId52" ref="A22"/>
    <hyperlink r:id="rId53" ref="C22"/>
    <hyperlink r:id="rId54" ref="A23"/>
    <hyperlink r:id="rId55" ref="C23"/>
    <hyperlink r:id="rId56" ref="A24"/>
    <hyperlink r:id="rId57" ref="C24"/>
    <hyperlink r:id="rId58" ref="E24"/>
    <hyperlink r:id="rId59" ref="A25"/>
    <hyperlink r:id="rId60" ref="C25"/>
    <hyperlink r:id="rId61" ref="A26"/>
    <hyperlink r:id="rId62" ref="C26"/>
    <hyperlink r:id="rId63" ref="A27"/>
    <hyperlink r:id="rId64" ref="C27"/>
    <hyperlink r:id="rId65" ref="E27"/>
    <hyperlink r:id="rId66" ref="A28"/>
    <hyperlink r:id="rId67" ref="C28"/>
    <hyperlink r:id="rId68" ref="E28"/>
    <hyperlink r:id="rId69" ref="A29"/>
    <hyperlink r:id="rId70" ref="C29"/>
    <hyperlink r:id="rId71" ref="E29"/>
    <hyperlink r:id="rId72" ref="A30"/>
    <hyperlink r:id="rId73" ref="C30"/>
    <hyperlink r:id="rId74" ref="E30"/>
    <hyperlink r:id="rId75" ref="A31"/>
    <hyperlink r:id="rId76" ref="C31"/>
    <hyperlink r:id="rId77" ref="A32"/>
    <hyperlink r:id="rId78" ref="C32"/>
    <hyperlink r:id="rId79" ref="E32"/>
    <hyperlink r:id="rId80" ref="A33"/>
    <hyperlink r:id="rId81" ref="C33"/>
    <hyperlink r:id="rId82" ref="A34"/>
    <hyperlink r:id="rId83" ref="C34"/>
    <hyperlink r:id="rId84" ref="E34"/>
    <hyperlink r:id="rId85" ref="A35"/>
    <hyperlink r:id="rId86" ref="C35"/>
    <hyperlink r:id="rId87" ref="E35"/>
    <hyperlink r:id="rId88" ref="A36"/>
    <hyperlink r:id="rId89" ref="C36"/>
    <hyperlink r:id="rId90" ref="E36"/>
    <hyperlink r:id="rId91" ref="A37"/>
    <hyperlink r:id="rId92" ref="C37"/>
    <hyperlink r:id="rId93" ref="A38"/>
    <hyperlink r:id="rId94" ref="C38"/>
    <hyperlink r:id="rId95" ref="E38"/>
    <hyperlink r:id="rId96" ref="A39"/>
    <hyperlink r:id="rId97" ref="C39"/>
    <hyperlink r:id="rId98" ref="E39"/>
    <hyperlink r:id="rId99" ref="A40"/>
    <hyperlink r:id="rId100" ref="C40"/>
    <hyperlink r:id="rId101" ref="A41"/>
    <hyperlink r:id="rId102" ref="C41"/>
    <hyperlink r:id="rId103" ref="E41"/>
    <hyperlink r:id="rId104" ref="A42"/>
    <hyperlink r:id="rId105" ref="C42"/>
    <hyperlink r:id="rId106" ref="E42"/>
    <hyperlink r:id="rId107" ref="A43"/>
    <hyperlink r:id="rId108" ref="C43"/>
    <hyperlink r:id="rId109" ref="E43"/>
    <hyperlink r:id="rId110" ref="A44"/>
    <hyperlink r:id="rId111" ref="C44"/>
    <hyperlink r:id="rId112" ref="E44"/>
    <hyperlink r:id="rId113" ref="A45"/>
    <hyperlink r:id="rId114" ref="C45"/>
    <hyperlink r:id="rId115" ref="A46"/>
    <hyperlink r:id="rId116" ref="C46"/>
    <hyperlink r:id="rId117" ref="E46"/>
    <hyperlink r:id="rId118" ref="A47"/>
    <hyperlink r:id="rId119" ref="C47"/>
    <hyperlink r:id="rId120" ref="E47"/>
    <hyperlink r:id="rId121" ref="A48"/>
    <hyperlink r:id="rId122" ref="C48"/>
    <hyperlink r:id="rId123" ref="E48"/>
    <hyperlink r:id="rId124" ref="A49"/>
    <hyperlink r:id="rId125" ref="C49"/>
    <hyperlink r:id="rId126" ref="E49"/>
    <hyperlink r:id="rId127" ref="A50"/>
    <hyperlink r:id="rId128" ref="C50"/>
    <hyperlink r:id="rId129" ref="E50"/>
    <hyperlink r:id="rId130" ref="A51"/>
    <hyperlink r:id="rId131" ref="C51"/>
    <hyperlink r:id="rId132" ref="E51"/>
    <hyperlink r:id="rId133" ref="A52"/>
    <hyperlink r:id="rId134" ref="C52"/>
    <hyperlink r:id="rId135" ref="E52"/>
    <hyperlink r:id="rId136" ref="A53"/>
    <hyperlink r:id="rId137" ref="C53"/>
    <hyperlink r:id="rId138" ref="E53"/>
    <hyperlink r:id="rId139" ref="A54"/>
    <hyperlink r:id="rId140" ref="C54"/>
    <hyperlink r:id="rId141" ref="E54"/>
    <hyperlink r:id="rId142" ref="A55"/>
    <hyperlink r:id="rId143" ref="C55"/>
    <hyperlink r:id="rId144" ref="E55"/>
    <hyperlink r:id="rId145" ref="A56"/>
    <hyperlink r:id="rId146" ref="C56"/>
    <hyperlink r:id="rId147" ref="E56"/>
    <hyperlink r:id="rId148" ref="A57"/>
    <hyperlink r:id="rId149" ref="C57"/>
    <hyperlink r:id="rId150" ref="E57"/>
    <hyperlink r:id="rId151" ref="A58"/>
    <hyperlink r:id="rId152" ref="C58"/>
    <hyperlink r:id="rId153" ref="E58"/>
    <hyperlink r:id="rId154" ref="A59"/>
    <hyperlink r:id="rId155" ref="C59"/>
    <hyperlink r:id="rId156" ref="A60"/>
    <hyperlink r:id="rId157" ref="C60"/>
    <hyperlink r:id="rId158" ref="A61"/>
    <hyperlink r:id="rId159" ref="C61"/>
    <hyperlink r:id="rId160" ref="E61"/>
    <hyperlink r:id="rId161" ref="A62"/>
    <hyperlink r:id="rId162" ref="C62"/>
    <hyperlink r:id="rId163" ref="A63"/>
    <hyperlink r:id="rId164" ref="C63"/>
    <hyperlink r:id="rId165" ref="A64"/>
    <hyperlink r:id="rId166" ref="C64"/>
    <hyperlink r:id="rId167" ref="A65"/>
    <hyperlink r:id="rId168" ref="C65"/>
    <hyperlink r:id="rId169" ref="E65"/>
    <hyperlink r:id="rId170" ref="A66"/>
    <hyperlink r:id="rId171" ref="C66"/>
    <hyperlink r:id="rId172" ref="E66"/>
    <hyperlink r:id="rId173" ref="A67"/>
    <hyperlink r:id="rId174" ref="C67"/>
    <hyperlink r:id="rId175" ref="E67"/>
    <hyperlink r:id="rId176" ref="A68"/>
    <hyperlink r:id="rId177" ref="C68"/>
    <hyperlink r:id="rId178" ref="E68"/>
    <hyperlink r:id="rId179" ref="A69"/>
    <hyperlink r:id="rId180" ref="C69"/>
    <hyperlink r:id="rId181" ref="E69"/>
    <hyperlink r:id="rId182" ref="A70"/>
    <hyperlink r:id="rId183" ref="C70"/>
    <hyperlink r:id="rId184" ref="E70"/>
    <hyperlink r:id="rId185" ref="A71"/>
    <hyperlink r:id="rId186" ref="C71"/>
    <hyperlink r:id="rId187" ref="E71"/>
    <hyperlink r:id="rId188" ref="A72"/>
    <hyperlink r:id="rId189" ref="C72"/>
    <hyperlink r:id="rId190" ref="E72"/>
    <hyperlink r:id="rId191" ref="A73"/>
    <hyperlink r:id="rId192" ref="C73"/>
    <hyperlink r:id="rId193" ref="E73"/>
    <hyperlink r:id="rId194" ref="A74"/>
    <hyperlink r:id="rId195" ref="C74"/>
    <hyperlink r:id="rId196" ref="E74"/>
    <hyperlink r:id="rId197" ref="A75"/>
    <hyperlink r:id="rId198" ref="C75"/>
    <hyperlink r:id="rId199" ref="E75"/>
    <hyperlink r:id="rId200" ref="A76"/>
    <hyperlink r:id="rId201" ref="C76"/>
    <hyperlink r:id="rId202" ref="E76"/>
    <hyperlink r:id="rId203" ref="A77"/>
    <hyperlink r:id="rId204" ref="C77"/>
    <hyperlink r:id="rId205" ref="E77"/>
    <hyperlink r:id="rId206" ref="A78"/>
    <hyperlink r:id="rId207" ref="C78"/>
    <hyperlink r:id="rId208" ref="E78"/>
    <hyperlink r:id="rId209" ref="A79"/>
    <hyperlink r:id="rId210" ref="C79"/>
    <hyperlink r:id="rId211" ref="E79"/>
    <hyperlink r:id="rId212" ref="A80"/>
    <hyperlink r:id="rId213" ref="C80"/>
    <hyperlink r:id="rId214" ref="E80"/>
    <hyperlink r:id="rId215" ref="A81"/>
    <hyperlink r:id="rId216" ref="C81"/>
    <hyperlink r:id="rId217" ref="E81"/>
    <hyperlink r:id="rId218" ref="A82"/>
    <hyperlink r:id="rId219" ref="C82"/>
    <hyperlink r:id="rId220" ref="A83"/>
    <hyperlink r:id="rId221" ref="C83"/>
    <hyperlink r:id="rId222" ref="A84"/>
    <hyperlink r:id="rId223" ref="C84"/>
    <hyperlink r:id="rId224" ref="E84"/>
    <hyperlink r:id="rId225" ref="A85"/>
    <hyperlink r:id="rId226" ref="C85"/>
    <hyperlink r:id="rId227" ref="A86"/>
    <hyperlink r:id="rId228" ref="C86"/>
    <hyperlink r:id="rId229" ref="E86"/>
    <hyperlink r:id="rId230" ref="A87"/>
    <hyperlink r:id="rId231" ref="C87"/>
    <hyperlink r:id="rId232" ref="E87"/>
    <hyperlink r:id="rId233" ref="A88"/>
    <hyperlink r:id="rId234" ref="C88"/>
    <hyperlink r:id="rId235" ref="A89"/>
    <hyperlink r:id="rId236" ref="C89"/>
    <hyperlink r:id="rId237" ref="E89"/>
    <hyperlink r:id="rId238" ref="A90"/>
    <hyperlink r:id="rId239" ref="C90"/>
    <hyperlink r:id="rId240" ref="E90"/>
    <hyperlink r:id="rId241" ref="A91"/>
    <hyperlink r:id="rId242" ref="C91"/>
    <hyperlink r:id="rId243" ref="A92"/>
    <hyperlink r:id="rId244" ref="C92"/>
    <hyperlink r:id="rId245" ref="E92"/>
    <hyperlink r:id="rId246" ref="A93"/>
    <hyperlink r:id="rId247" ref="C93"/>
    <hyperlink r:id="rId248" ref="E93"/>
    <hyperlink r:id="rId249" ref="A94"/>
    <hyperlink r:id="rId250" ref="C94"/>
    <hyperlink r:id="rId251" ref="E94"/>
    <hyperlink r:id="rId252" ref="A95"/>
    <hyperlink r:id="rId253" ref="C95"/>
    <hyperlink r:id="rId254" ref="E95"/>
    <hyperlink r:id="rId255" ref="A96"/>
    <hyperlink r:id="rId256" ref="C96"/>
    <hyperlink r:id="rId257" ref="E96"/>
    <hyperlink r:id="rId258" ref="A97"/>
    <hyperlink r:id="rId259" ref="C97"/>
    <hyperlink r:id="rId260" ref="E97"/>
    <hyperlink r:id="rId261" ref="A98"/>
    <hyperlink r:id="rId262" ref="C98"/>
    <hyperlink r:id="rId263" ref="E98"/>
    <hyperlink r:id="rId264" ref="A99"/>
    <hyperlink r:id="rId265" ref="C99"/>
    <hyperlink r:id="rId266" ref="E99"/>
    <hyperlink r:id="rId267" ref="A100"/>
    <hyperlink r:id="rId268" ref="C100"/>
    <hyperlink r:id="rId269" ref="E100"/>
    <hyperlink r:id="rId270" ref="A101"/>
    <hyperlink r:id="rId271" ref="C101"/>
    <hyperlink r:id="rId272" ref="E101"/>
    <hyperlink r:id="rId273" ref="A102"/>
    <hyperlink r:id="rId274" ref="C102"/>
    <hyperlink r:id="rId275" ref="A103"/>
    <hyperlink r:id="rId276" ref="C103"/>
    <hyperlink r:id="rId277" ref="A104"/>
    <hyperlink r:id="rId278" ref="C104"/>
    <hyperlink r:id="rId279" ref="A105"/>
    <hyperlink r:id="rId280" ref="C105"/>
    <hyperlink r:id="rId281" ref="A106"/>
    <hyperlink r:id="rId282" ref="C106"/>
    <hyperlink r:id="rId283" ref="E106"/>
    <hyperlink r:id="rId284" ref="A107"/>
    <hyperlink r:id="rId285" ref="C107"/>
    <hyperlink r:id="rId286" ref="E107"/>
    <hyperlink r:id="rId287" ref="A108"/>
    <hyperlink r:id="rId288" ref="C108"/>
    <hyperlink r:id="rId289" ref="E108"/>
    <hyperlink r:id="rId290" ref="A109"/>
    <hyperlink r:id="rId291" ref="C109"/>
    <hyperlink r:id="rId292" ref="E109"/>
    <hyperlink r:id="rId293" ref="A110"/>
    <hyperlink r:id="rId294" ref="C110"/>
    <hyperlink r:id="rId295" ref="E110"/>
    <hyperlink r:id="rId296" ref="A111"/>
    <hyperlink r:id="rId297" ref="C111"/>
    <hyperlink r:id="rId298" ref="E111"/>
    <hyperlink r:id="rId299" ref="A112"/>
    <hyperlink r:id="rId300" ref="C112"/>
    <hyperlink r:id="rId301" ref="A113"/>
    <hyperlink r:id="rId302" ref="C113"/>
    <hyperlink r:id="rId303" ref="E113"/>
    <hyperlink r:id="rId304" ref="A114"/>
    <hyperlink r:id="rId305" ref="C114"/>
    <hyperlink r:id="rId306" ref="E114"/>
    <hyperlink r:id="rId307" ref="A115"/>
    <hyperlink r:id="rId308" ref="C115"/>
    <hyperlink r:id="rId309" ref="E115"/>
    <hyperlink r:id="rId310" ref="A116"/>
    <hyperlink r:id="rId311" ref="C116"/>
    <hyperlink r:id="rId312" ref="A117"/>
    <hyperlink r:id="rId313" ref="C117"/>
    <hyperlink r:id="rId314" ref="E117"/>
    <hyperlink r:id="rId315" ref="A118"/>
    <hyperlink r:id="rId316" ref="C118"/>
    <hyperlink r:id="rId317" ref="A119"/>
    <hyperlink r:id="rId318" ref="C119"/>
    <hyperlink r:id="rId319" ref="A120"/>
    <hyperlink r:id="rId320" ref="C120"/>
    <hyperlink r:id="rId321" ref="E120"/>
    <hyperlink r:id="rId322" ref="A121"/>
    <hyperlink r:id="rId323" ref="C121"/>
    <hyperlink r:id="rId324" ref="A122"/>
    <hyperlink r:id="rId325" ref="C122"/>
    <hyperlink r:id="rId326" ref="A123"/>
    <hyperlink r:id="rId327" ref="C123"/>
    <hyperlink r:id="rId328" ref="A124"/>
    <hyperlink r:id="rId329" ref="C124"/>
    <hyperlink r:id="rId330" ref="A125"/>
    <hyperlink r:id="rId331" ref="C125"/>
    <hyperlink r:id="rId332" ref="E125"/>
    <hyperlink r:id="rId333" ref="A126"/>
    <hyperlink r:id="rId334" ref="C126"/>
    <hyperlink r:id="rId335" ref="E126"/>
    <hyperlink r:id="rId336" ref="A127"/>
    <hyperlink r:id="rId337" ref="C127"/>
    <hyperlink r:id="rId338" ref="E127"/>
    <hyperlink r:id="rId339" ref="A128"/>
    <hyperlink r:id="rId340" ref="C128"/>
    <hyperlink r:id="rId341" ref="A129"/>
    <hyperlink r:id="rId342" ref="C129"/>
    <hyperlink r:id="rId343" ref="E129"/>
    <hyperlink r:id="rId344" ref="A130"/>
    <hyperlink r:id="rId345" ref="C130"/>
    <hyperlink r:id="rId346" ref="E130"/>
    <hyperlink r:id="rId347" ref="A131"/>
    <hyperlink r:id="rId348" ref="C131"/>
    <hyperlink r:id="rId349" ref="E131"/>
    <hyperlink r:id="rId350" ref="A132"/>
    <hyperlink r:id="rId351" ref="C132"/>
    <hyperlink r:id="rId352" ref="E132"/>
    <hyperlink r:id="rId353" ref="A133"/>
    <hyperlink r:id="rId354" ref="C133"/>
    <hyperlink r:id="rId355" ref="E133"/>
    <hyperlink r:id="rId356" ref="A134"/>
    <hyperlink r:id="rId357" ref="C134"/>
    <hyperlink r:id="rId358" ref="A135"/>
    <hyperlink r:id="rId359" ref="C135"/>
    <hyperlink r:id="rId360" ref="A136"/>
    <hyperlink r:id="rId361" ref="C136"/>
    <hyperlink r:id="rId362" ref="A137"/>
    <hyperlink r:id="rId363" ref="C137"/>
    <hyperlink r:id="rId364" ref="A138"/>
    <hyperlink r:id="rId365" ref="C138"/>
    <hyperlink r:id="rId366" ref="A139"/>
    <hyperlink r:id="rId367" ref="C139"/>
    <hyperlink r:id="rId368" ref="A140"/>
    <hyperlink r:id="rId369" ref="C140"/>
    <hyperlink r:id="rId370" ref="E140"/>
    <hyperlink r:id="rId371" ref="A141"/>
    <hyperlink r:id="rId372" ref="C141"/>
    <hyperlink r:id="rId373" ref="E141"/>
    <hyperlink r:id="rId374" ref="A142"/>
    <hyperlink r:id="rId375" ref="C142"/>
    <hyperlink r:id="rId376" ref="E142"/>
    <hyperlink r:id="rId377" ref="A143"/>
    <hyperlink r:id="rId378" ref="C143"/>
    <hyperlink r:id="rId379" ref="E143"/>
    <hyperlink r:id="rId380" ref="A144"/>
    <hyperlink r:id="rId381" ref="C144"/>
    <hyperlink r:id="rId382" ref="A145"/>
    <hyperlink r:id="rId383" ref="C145"/>
    <hyperlink r:id="rId384" ref="E145"/>
    <hyperlink r:id="rId385" ref="A146"/>
    <hyperlink r:id="rId386" ref="C146"/>
    <hyperlink r:id="rId387" ref="E146"/>
    <hyperlink r:id="rId388" ref="A147"/>
    <hyperlink r:id="rId389" ref="C147"/>
    <hyperlink r:id="rId390" ref="E147"/>
    <hyperlink r:id="rId391" ref="A148"/>
    <hyperlink r:id="rId392" ref="C148"/>
    <hyperlink r:id="rId393" ref="E148"/>
    <hyperlink r:id="rId394" ref="A149"/>
    <hyperlink r:id="rId395" ref="C149"/>
    <hyperlink r:id="rId396" ref="E149"/>
    <hyperlink r:id="rId397" ref="A150"/>
    <hyperlink r:id="rId398" ref="C150"/>
    <hyperlink r:id="rId399" ref="E150"/>
    <hyperlink r:id="rId400" ref="A151"/>
    <hyperlink r:id="rId401" ref="C151"/>
    <hyperlink r:id="rId402" ref="E151"/>
    <hyperlink r:id="rId403" ref="A152"/>
    <hyperlink r:id="rId404" ref="C152"/>
    <hyperlink r:id="rId405" ref="E152"/>
    <hyperlink r:id="rId406" ref="A153"/>
    <hyperlink r:id="rId407" ref="C153"/>
    <hyperlink r:id="rId408" ref="E153"/>
    <hyperlink r:id="rId409" ref="A154"/>
    <hyperlink r:id="rId410" ref="C154"/>
    <hyperlink r:id="rId411" ref="E154"/>
    <hyperlink r:id="rId412" ref="A155"/>
    <hyperlink r:id="rId413" ref="C155"/>
    <hyperlink r:id="rId414" ref="A156"/>
    <hyperlink r:id="rId415" ref="C156"/>
    <hyperlink r:id="rId416" ref="E156"/>
    <hyperlink r:id="rId417" ref="A157"/>
    <hyperlink r:id="rId418" ref="C157"/>
    <hyperlink r:id="rId419" ref="E157"/>
    <hyperlink r:id="rId420" ref="A158"/>
    <hyperlink r:id="rId421" ref="C158"/>
    <hyperlink r:id="rId422" ref="E158"/>
    <hyperlink r:id="rId423" ref="A159"/>
    <hyperlink r:id="rId424" ref="C159"/>
    <hyperlink r:id="rId425" ref="E159"/>
    <hyperlink r:id="rId426" ref="A160"/>
    <hyperlink r:id="rId427" ref="C160"/>
    <hyperlink r:id="rId428" ref="A161"/>
    <hyperlink r:id="rId429" ref="C161"/>
    <hyperlink r:id="rId430" ref="E161"/>
    <hyperlink r:id="rId431" ref="A162"/>
    <hyperlink r:id="rId432" ref="C162"/>
    <hyperlink r:id="rId433" ref="E162"/>
    <hyperlink r:id="rId434" ref="A163"/>
    <hyperlink r:id="rId435" ref="C163"/>
    <hyperlink r:id="rId436" ref="E163"/>
    <hyperlink r:id="rId437" ref="A164"/>
    <hyperlink r:id="rId438" ref="C164"/>
    <hyperlink r:id="rId439" ref="E164"/>
    <hyperlink r:id="rId440" ref="A165"/>
    <hyperlink r:id="rId441" ref="C165"/>
    <hyperlink r:id="rId442" ref="E165"/>
    <hyperlink r:id="rId443" ref="A166"/>
    <hyperlink r:id="rId444" ref="C166"/>
    <hyperlink r:id="rId445" ref="A167"/>
    <hyperlink r:id="rId446" ref="C167"/>
    <hyperlink r:id="rId447" ref="A168"/>
    <hyperlink r:id="rId448" ref="C168"/>
    <hyperlink r:id="rId449" ref="E168"/>
    <hyperlink r:id="rId450" ref="A169"/>
    <hyperlink r:id="rId451" ref="C169"/>
    <hyperlink r:id="rId452" ref="E169"/>
    <hyperlink r:id="rId453" ref="A170"/>
    <hyperlink r:id="rId454" ref="C170"/>
    <hyperlink r:id="rId455" ref="A171"/>
    <hyperlink r:id="rId456" ref="C171"/>
    <hyperlink r:id="rId457" ref="A172"/>
    <hyperlink r:id="rId458" ref="C172"/>
    <hyperlink r:id="rId459" ref="A173"/>
    <hyperlink r:id="rId460" ref="C173"/>
    <hyperlink r:id="rId461" ref="E173"/>
    <hyperlink r:id="rId462" ref="A174"/>
    <hyperlink r:id="rId463" ref="C174"/>
    <hyperlink r:id="rId464" ref="A175"/>
    <hyperlink r:id="rId465" ref="C175"/>
    <hyperlink r:id="rId466" ref="E175"/>
    <hyperlink r:id="rId467" ref="A176"/>
    <hyperlink r:id="rId468" ref="C176"/>
    <hyperlink r:id="rId469" ref="E176"/>
    <hyperlink r:id="rId470" ref="A177"/>
    <hyperlink r:id="rId471" ref="C177"/>
    <hyperlink r:id="rId472" ref="E177"/>
    <hyperlink r:id="rId473" ref="A178"/>
    <hyperlink r:id="rId474" ref="C178"/>
    <hyperlink r:id="rId475" ref="E178"/>
    <hyperlink r:id="rId476" ref="A179"/>
    <hyperlink r:id="rId477" ref="C179"/>
    <hyperlink r:id="rId478" ref="E179"/>
    <hyperlink r:id="rId479" ref="A180"/>
    <hyperlink r:id="rId480" ref="C180"/>
    <hyperlink r:id="rId481" ref="A181"/>
    <hyperlink r:id="rId482" ref="C181"/>
    <hyperlink r:id="rId483" ref="E181"/>
    <hyperlink r:id="rId484" ref="A182"/>
    <hyperlink r:id="rId485" ref="C182"/>
    <hyperlink r:id="rId486" ref="A183"/>
    <hyperlink r:id="rId487" ref="C183"/>
    <hyperlink r:id="rId488" ref="A184"/>
    <hyperlink r:id="rId489" ref="C184"/>
    <hyperlink r:id="rId490" ref="A185"/>
    <hyperlink r:id="rId491" ref="C185"/>
    <hyperlink r:id="rId492" ref="E185"/>
    <hyperlink r:id="rId493" ref="A186"/>
    <hyperlink r:id="rId494" ref="C186"/>
    <hyperlink r:id="rId495" ref="A187"/>
    <hyperlink r:id="rId496" ref="C187"/>
    <hyperlink r:id="rId497" ref="E187"/>
    <hyperlink r:id="rId498" ref="A188"/>
    <hyperlink r:id="rId499" ref="C188"/>
    <hyperlink r:id="rId500" ref="E188"/>
    <hyperlink r:id="rId501" ref="A189"/>
    <hyperlink r:id="rId502" ref="C189"/>
    <hyperlink r:id="rId503" ref="E189"/>
    <hyperlink r:id="rId504" ref="A190"/>
    <hyperlink r:id="rId505" ref="C190"/>
    <hyperlink r:id="rId506" ref="E190"/>
    <hyperlink r:id="rId507" ref="A191"/>
    <hyperlink r:id="rId508" ref="C191"/>
    <hyperlink r:id="rId509" ref="E191"/>
    <hyperlink r:id="rId510" ref="A192"/>
    <hyperlink r:id="rId511" ref="C192"/>
    <hyperlink r:id="rId512" ref="A193"/>
    <hyperlink r:id="rId513" ref="C193"/>
    <hyperlink r:id="rId514" ref="A194"/>
    <hyperlink r:id="rId515" ref="C194"/>
    <hyperlink r:id="rId516" ref="A195"/>
    <hyperlink r:id="rId517" ref="C195"/>
    <hyperlink r:id="rId518" ref="E195"/>
    <hyperlink r:id="rId519" ref="A196"/>
    <hyperlink r:id="rId520" ref="C196"/>
    <hyperlink r:id="rId521" ref="A197"/>
    <hyperlink r:id="rId522" ref="C197"/>
    <hyperlink r:id="rId523" ref="A198"/>
    <hyperlink r:id="rId524" ref="C198"/>
    <hyperlink r:id="rId525" ref="A199"/>
    <hyperlink r:id="rId526" ref="C199"/>
    <hyperlink r:id="rId527" ref="A200"/>
    <hyperlink r:id="rId528" ref="C200"/>
    <hyperlink r:id="rId529" ref="A201"/>
    <hyperlink r:id="rId530" ref="C201"/>
    <hyperlink r:id="rId531" ref="A202"/>
    <hyperlink r:id="rId532" ref="C202"/>
    <hyperlink r:id="rId533" ref="A203"/>
    <hyperlink r:id="rId534" ref="C203"/>
    <hyperlink r:id="rId535" ref="A204"/>
    <hyperlink r:id="rId536" ref="C204"/>
    <hyperlink r:id="rId537" ref="A205"/>
    <hyperlink r:id="rId538" ref="C205"/>
    <hyperlink r:id="rId539" ref="A206"/>
    <hyperlink r:id="rId540" ref="C206"/>
    <hyperlink r:id="rId541" ref="A207"/>
    <hyperlink r:id="rId542" ref="C207"/>
    <hyperlink r:id="rId543" ref="A208"/>
    <hyperlink r:id="rId544" ref="C208"/>
    <hyperlink r:id="rId545" ref="A209"/>
    <hyperlink r:id="rId546" ref="C209"/>
    <hyperlink r:id="rId547" ref="A210"/>
    <hyperlink r:id="rId548" ref="C210"/>
    <hyperlink r:id="rId549" ref="A211"/>
    <hyperlink r:id="rId550" ref="C211"/>
    <hyperlink r:id="rId551" ref="A212"/>
    <hyperlink r:id="rId552" ref="C212"/>
    <hyperlink r:id="rId553" ref="A213"/>
    <hyperlink r:id="rId554" ref="C213"/>
    <hyperlink r:id="rId555" ref="A214"/>
    <hyperlink r:id="rId556" ref="C214"/>
    <hyperlink r:id="rId557" ref="A215"/>
    <hyperlink r:id="rId558" ref="C215"/>
    <hyperlink r:id="rId559" ref="A216"/>
    <hyperlink r:id="rId560" ref="C216"/>
    <hyperlink r:id="rId561" ref="A217"/>
    <hyperlink r:id="rId562" ref="C217"/>
    <hyperlink r:id="rId563" ref="A218"/>
    <hyperlink r:id="rId564" ref="C218"/>
    <hyperlink r:id="rId565" ref="A219"/>
    <hyperlink r:id="rId566" ref="C219"/>
    <hyperlink r:id="rId567" ref="A220"/>
    <hyperlink r:id="rId568" ref="C220"/>
    <hyperlink r:id="rId569" ref="A221"/>
    <hyperlink r:id="rId570" ref="C221"/>
    <hyperlink r:id="rId571" ref="A222"/>
    <hyperlink r:id="rId572" ref="C222"/>
    <hyperlink r:id="rId573" ref="A223"/>
    <hyperlink r:id="rId574" ref="C223"/>
    <hyperlink r:id="rId575" ref="A224"/>
    <hyperlink r:id="rId576" ref="C224"/>
    <hyperlink r:id="rId577" ref="A225"/>
    <hyperlink r:id="rId578" ref="C225"/>
    <hyperlink r:id="rId579" ref="A226"/>
    <hyperlink r:id="rId580" ref="C226"/>
    <hyperlink r:id="rId581" ref="A227"/>
    <hyperlink r:id="rId582" ref="C227"/>
    <hyperlink r:id="rId583" ref="A228"/>
    <hyperlink r:id="rId584" ref="C228"/>
    <hyperlink r:id="rId585" ref="A229"/>
    <hyperlink r:id="rId586" ref="C229"/>
    <hyperlink r:id="rId587" ref="A230"/>
    <hyperlink r:id="rId588" ref="C230"/>
    <hyperlink r:id="rId589" ref="A231"/>
    <hyperlink r:id="rId590" ref="C231"/>
    <hyperlink r:id="rId591" ref="E231"/>
    <hyperlink r:id="rId592" ref="A232"/>
    <hyperlink r:id="rId593" ref="C232"/>
    <hyperlink r:id="rId594" ref="A233"/>
    <hyperlink r:id="rId595" ref="C233"/>
    <hyperlink r:id="rId596" ref="A234"/>
    <hyperlink r:id="rId597" ref="C234"/>
    <hyperlink r:id="rId598" ref="A235"/>
    <hyperlink r:id="rId599" ref="C235"/>
    <hyperlink r:id="rId600" ref="A236"/>
    <hyperlink r:id="rId601" ref="C236"/>
    <hyperlink r:id="rId602" ref="E236"/>
    <hyperlink r:id="rId603" ref="A237"/>
    <hyperlink r:id="rId604" ref="C237"/>
    <hyperlink r:id="rId605" ref="A238"/>
    <hyperlink r:id="rId606" ref="C238"/>
    <hyperlink r:id="rId607" ref="A239"/>
    <hyperlink r:id="rId608" ref="C239"/>
    <hyperlink r:id="rId609" ref="A240"/>
    <hyperlink r:id="rId610" ref="C240"/>
    <hyperlink r:id="rId611" ref="A241"/>
    <hyperlink r:id="rId612" ref="C241"/>
    <hyperlink r:id="rId613" ref="A242"/>
    <hyperlink r:id="rId614" ref="C242"/>
    <hyperlink r:id="rId615" ref="E242"/>
    <hyperlink r:id="rId616" ref="A243"/>
    <hyperlink r:id="rId617" ref="C243"/>
    <hyperlink r:id="rId618" ref="A244"/>
    <hyperlink r:id="rId619" ref="C244"/>
    <hyperlink r:id="rId620" ref="E244"/>
    <hyperlink r:id="rId621" ref="A245"/>
    <hyperlink r:id="rId622" ref="C245"/>
    <hyperlink r:id="rId623" ref="A246"/>
    <hyperlink r:id="rId624" ref="C246"/>
    <hyperlink r:id="rId625" ref="A247"/>
    <hyperlink r:id="rId626" ref="C247"/>
    <hyperlink r:id="rId627" ref="A248"/>
    <hyperlink r:id="rId628" ref="C248"/>
    <hyperlink r:id="rId629" ref="A249"/>
    <hyperlink r:id="rId630" ref="C249"/>
    <hyperlink r:id="rId631" ref="A250"/>
    <hyperlink r:id="rId632" ref="C250"/>
    <hyperlink r:id="rId633" ref="A251"/>
    <hyperlink r:id="rId634" ref="C251"/>
    <hyperlink r:id="rId635" ref="A252"/>
    <hyperlink r:id="rId636" ref="C252"/>
    <hyperlink r:id="rId637" ref="A253"/>
    <hyperlink r:id="rId638" ref="C253"/>
    <hyperlink r:id="rId639" ref="A254"/>
    <hyperlink r:id="rId640" ref="C254"/>
    <hyperlink r:id="rId641" ref="E254"/>
    <hyperlink r:id="rId642" ref="A255"/>
    <hyperlink r:id="rId643" ref="C255"/>
    <hyperlink r:id="rId644" ref="A256"/>
    <hyperlink r:id="rId645" ref="C256"/>
    <hyperlink r:id="rId646" ref="E256"/>
    <hyperlink r:id="rId647" ref="A257"/>
    <hyperlink r:id="rId648" ref="C257"/>
    <hyperlink r:id="rId649" ref="A258"/>
    <hyperlink r:id="rId650" ref="C258"/>
    <hyperlink r:id="rId651" ref="A259"/>
    <hyperlink r:id="rId652" ref="C259"/>
    <hyperlink r:id="rId653" ref="E259"/>
    <hyperlink r:id="rId654" ref="A260"/>
    <hyperlink r:id="rId655" ref="C260"/>
    <hyperlink r:id="rId656" ref="A261"/>
    <hyperlink r:id="rId657" ref="C261"/>
    <hyperlink r:id="rId658" ref="A262"/>
    <hyperlink r:id="rId659" ref="C262"/>
    <hyperlink r:id="rId660" ref="A263"/>
    <hyperlink r:id="rId661" ref="C263"/>
    <hyperlink r:id="rId662" ref="A264"/>
    <hyperlink r:id="rId663" ref="C264"/>
    <hyperlink r:id="rId664" ref="A265"/>
    <hyperlink r:id="rId665" ref="C265"/>
    <hyperlink r:id="rId666" ref="A266"/>
    <hyperlink r:id="rId667" ref="C266"/>
    <hyperlink r:id="rId668" ref="A267"/>
    <hyperlink r:id="rId669" ref="C267"/>
    <hyperlink r:id="rId670" ref="A268"/>
    <hyperlink r:id="rId671" ref="C268"/>
    <hyperlink r:id="rId672" ref="A269"/>
    <hyperlink r:id="rId673" ref="C269"/>
    <hyperlink r:id="rId674" ref="A270"/>
    <hyperlink r:id="rId675" ref="C270"/>
    <hyperlink r:id="rId676" ref="A271"/>
    <hyperlink r:id="rId677" ref="C271"/>
    <hyperlink r:id="rId678" ref="A272"/>
    <hyperlink r:id="rId679" ref="C272"/>
    <hyperlink r:id="rId680" ref="A273"/>
    <hyperlink r:id="rId681" ref="C273"/>
    <hyperlink r:id="rId682" ref="A274"/>
    <hyperlink r:id="rId683" ref="C274"/>
    <hyperlink r:id="rId684" ref="A275"/>
    <hyperlink r:id="rId685" ref="C275"/>
    <hyperlink r:id="rId686" ref="A276"/>
    <hyperlink r:id="rId687" ref="C276"/>
    <hyperlink r:id="rId688" ref="A277"/>
    <hyperlink r:id="rId689" ref="C277"/>
    <hyperlink r:id="rId690" ref="A278"/>
    <hyperlink r:id="rId691" ref="C278"/>
    <hyperlink r:id="rId692" ref="A279"/>
    <hyperlink r:id="rId693" ref="C279"/>
    <hyperlink r:id="rId694" ref="A280"/>
    <hyperlink r:id="rId695" ref="C280"/>
    <hyperlink r:id="rId696" ref="A281"/>
    <hyperlink r:id="rId697" ref="C281"/>
    <hyperlink r:id="rId698" ref="A282"/>
    <hyperlink r:id="rId699" ref="C282"/>
    <hyperlink r:id="rId700" ref="A283"/>
    <hyperlink r:id="rId701" ref="C283"/>
    <hyperlink r:id="rId702" ref="A284"/>
    <hyperlink r:id="rId703" ref="C284"/>
    <hyperlink r:id="rId704" ref="A285"/>
    <hyperlink r:id="rId705" ref="C285"/>
    <hyperlink r:id="rId706" ref="A286"/>
    <hyperlink r:id="rId707" ref="C286"/>
    <hyperlink r:id="rId708" ref="A287"/>
    <hyperlink r:id="rId709" ref="C287"/>
    <hyperlink r:id="rId710" ref="A288"/>
    <hyperlink r:id="rId711" ref="C288"/>
    <hyperlink r:id="rId712" ref="A289"/>
    <hyperlink r:id="rId713" ref="C289"/>
    <hyperlink r:id="rId714" ref="A290"/>
    <hyperlink r:id="rId715" ref="C290"/>
    <hyperlink r:id="rId716" ref="E290"/>
    <hyperlink r:id="rId717" ref="A291"/>
    <hyperlink r:id="rId718" ref="C291"/>
    <hyperlink r:id="rId719" ref="A292"/>
    <hyperlink r:id="rId720" ref="C292"/>
    <hyperlink r:id="rId721" ref="A293"/>
    <hyperlink r:id="rId722" ref="C293"/>
    <hyperlink r:id="rId723" ref="E293"/>
    <hyperlink r:id="rId724" ref="A294"/>
    <hyperlink r:id="rId725" ref="C294"/>
    <hyperlink r:id="rId726" ref="A295"/>
    <hyperlink r:id="rId727" ref="C295"/>
    <hyperlink r:id="rId728" ref="E295"/>
    <hyperlink r:id="rId729" ref="A296"/>
    <hyperlink r:id="rId730" ref="C296"/>
    <hyperlink r:id="rId731" ref="E296"/>
    <hyperlink r:id="rId732" ref="A297"/>
    <hyperlink r:id="rId733" ref="C297"/>
    <hyperlink r:id="rId734" ref="E297"/>
    <hyperlink r:id="rId735" ref="A298"/>
    <hyperlink r:id="rId736" ref="C298"/>
    <hyperlink r:id="rId737" ref="E298"/>
    <hyperlink r:id="rId738" ref="A299"/>
    <hyperlink r:id="rId739" ref="C299"/>
    <hyperlink r:id="rId740" ref="E299"/>
    <hyperlink r:id="rId741" ref="A300"/>
    <hyperlink r:id="rId742" ref="C300"/>
    <hyperlink r:id="rId743" ref="E300"/>
    <hyperlink r:id="rId744" ref="A301"/>
    <hyperlink r:id="rId745" ref="C301"/>
    <hyperlink r:id="rId746" ref="E301"/>
    <hyperlink r:id="rId747" ref="A302"/>
    <hyperlink r:id="rId748" ref="C302"/>
    <hyperlink r:id="rId749" ref="A303"/>
    <hyperlink r:id="rId750" ref="C303"/>
    <hyperlink r:id="rId751" ref="E303"/>
    <hyperlink r:id="rId752" ref="A304"/>
    <hyperlink r:id="rId753" ref="C304"/>
    <hyperlink r:id="rId754" ref="A305"/>
    <hyperlink r:id="rId755" ref="C305"/>
    <hyperlink r:id="rId756" ref="E305"/>
    <hyperlink r:id="rId757" ref="A306"/>
    <hyperlink r:id="rId758" ref="C306"/>
    <hyperlink r:id="rId759" ref="A307"/>
    <hyperlink r:id="rId760" ref="C307"/>
    <hyperlink r:id="rId761" ref="A308"/>
    <hyperlink r:id="rId762" ref="C308"/>
    <hyperlink r:id="rId763" ref="A309"/>
    <hyperlink r:id="rId764" ref="C309"/>
    <hyperlink r:id="rId765" ref="A310"/>
    <hyperlink r:id="rId766" ref="C310"/>
    <hyperlink r:id="rId767" ref="A311"/>
    <hyperlink r:id="rId768" ref="C311"/>
    <hyperlink r:id="rId769" ref="A312"/>
    <hyperlink r:id="rId770" ref="C312"/>
    <hyperlink r:id="rId771" ref="A313"/>
    <hyperlink r:id="rId772" ref="C313"/>
    <hyperlink r:id="rId773" ref="E313"/>
    <hyperlink r:id="rId774" ref="A314"/>
    <hyperlink r:id="rId775" ref="C314"/>
    <hyperlink r:id="rId776" ref="E314"/>
    <hyperlink r:id="rId777" ref="A315"/>
    <hyperlink r:id="rId778" ref="C315"/>
    <hyperlink r:id="rId779" ref="E315"/>
    <hyperlink r:id="rId780" ref="A316"/>
    <hyperlink r:id="rId781" ref="C316"/>
    <hyperlink r:id="rId782" ref="E316"/>
    <hyperlink r:id="rId783" ref="A317"/>
    <hyperlink r:id="rId784" ref="C317"/>
    <hyperlink r:id="rId785" ref="E317"/>
    <hyperlink r:id="rId786" ref="A318"/>
    <hyperlink r:id="rId787" ref="C318"/>
    <hyperlink r:id="rId788" ref="A319"/>
    <hyperlink r:id="rId789" ref="C319"/>
    <hyperlink r:id="rId790" ref="E319"/>
    <hyperlink r:id="rId791" ref="A320"/>
    <hyperlink r:id="rId792" ref="C320"/>
    <hyperlink r:id="rId793" ref="A321"/>
    <hyperlink r:id="rId794" ref="C321"/>
    <hyperlink r:id="rId795" ref="A322"/>
    <hyperlink r:id="rId796" ref="C322"/>
    <hyperlink r:id="rId797" ref="E322"/>
    <hyperlink r:id="rId798" ref="A323"/>
    <hyperlink r:id="rId799" ref="C323"/>
    <hyperlink r:id="rId800" ref="E323"/>
    <hyperlink r:id="rId801" ref="A324"/>
    <hyperlink r:id="rId802" ref="C324"/>
    <hyperlink r:id="rId803" ref="E324"/>
    <hyperlink r:id="rId804" ref="A325"/>
    <hyperlink r:id="rId805" ref="C325"/>
    <hyperlink r:id="rId806" ref="E325"/>
    <hyperlink r:id="rId807" ref="A326"/>
    <hyperlink r:id="rId808" ref="C326"/>
    <hyperlink r:id="rId809" ref="E326"/>
    <hyperlink r:id="rId810" ref="A327"/>
    <hyperlink r:id="rId811" ref="C327"/>
    <hyperlink r:id="rId812" ref="E327"/>
    <hyperlink r:id="rId813" ref="A328"/>
    <hyperlink r:id="rId814" ref="C328"/>
    <hyperlink r:id="rId815" ref="E328"/>
    <hyperlink r:id="rId816" ref="A329"/>
    <hyperlink r:id="rId817" ref="C329"/>
    <hyperlink r:id="rId818" ref="A330"/>
    <hyperlink r:id="rId819" ref="C330"/>
    <hyperlink r:id="rId820" ref="A331"/>
    <hyperlink r:id="rId821" ref="C331"/>
    <hyperlink r:id="rId822" ref="A332"/>
    <hyperlink r:id="rId823" ref="C332"/>
    <hyperlink r:id="rId824" ref="E332"/>
    <hyperlink r:id="rId825" ref="A333"/>
    <hyperlink r:id="rId826" ref="C333"/>
    <hyperlink r:id="rId827" ref="E333"/>
    <hyperlink r:id="rId828" ref="A334"/>
    <hyperlink r:id="rId829" ref="C334"/>
    <hyperlink r:id="rId830" ref="E334"/>
    <hyperlink r:id="rId831" ref="A335"/>
    <hyperlink r:id="rId832" ref="C335"/>
    <hyperlink r:id="rId833" ref="E335"/>
    <hyperlink r:id="rId834" ref="A336"/>
    <hyperlink r:id="rId835" ref="C336"/>
    <hyperlink r:id="rId836" ref="E336"/>
    <hyperlink r:id="rId837" ref="A337"/>
    <hyperlink r:id="rId838" ref="C337"/>
    <hyperlink r:id="rId839" ref="E337"/>
    <hyperlink r:id="rId840" ref="A338"/>
    <hyperlink r:id="rId841" ref="C338"/>
    <hyperlink r:id="rId842" ref="E338"/>
    <hyperlink r:id="rId843" ref="A339"/>
    <hyperlink r:id="rId844" ref="C339"/>
    <hyperlink r:id="rId845" ref="E339"/>
    <hyperlink r:id="rId846" ref="A340"/>
    <hyperlink r:id="rId847" ref="C340"/>
    <hyperlink r:id="rId848" ref="E340"/>
    <hyperlink r:id="rId849" ref="A341"/>
    <hyperlink r:id="rId850" ref="C341"/>
    <hyperlink r:id="rId851" ref="A342"/>
    <hyperlink r:id="rId852" ref="C342"/>
    <hyperlink r:id="rId853" ref="A343"/>
    <hyperlink r:id="rId854" ref="C343"/>
    <hyperlink r:id="rId855" ref="A344"/>
    <hyperlink r:id="rId856" ref="C344"/>
    <hyperlink r:id="rId857" ref="E344"/>
    <hyperlink r:id="rId858" ref="A345"/>
    <hyperlink r:id="rId859" ref="C345"/>
    <hyperlink r:id="rId860" ref="E345"/>
    <hyperlink r:id="rId861" ref="A346"/>
    <hyperlink r:id="rId862" ref="C346"/>
    <hyperlink r:id="rId863" ref="A347"/>
    <hyperlink r:id="rId864" ref="C347"/>
    <hyperlink r:id="rId865" ref="E347"/>
    <hyperlink r:id="rId866" ref="A348"/>
    <hyperlink r:id="rId867" ref="C348"/>
    <hyperlink r:id="rId868" ref="A349"/>
    <hyperlink r:id="rId869" ref="C349"/>
    <hyperlink r:id="rId870" ref="A350"/>
    <hyperlink r:id="rId871" ref="C350"/>
    <hyperlink r:id="rId872" ref="E350"/>
    <hyperlink r:id="rId873" ref="A351"/>
    <hyperlink r:id="rId874" ref="C351"/>
    <hyperlink r:id="rId875" ref="E351"/>
    <hyperlink r:id="rId876" ref="A352"/>
    <hyperlink r:id="rId877" ref="C352"/>
    <hyperlink r:id="rId878" ref="E352"/>
    <hyperlink r:id="rId879" ref="A353"/>
    <hyperlink r:id="rId880" ref="C353"/>
    <hyperlink r:id="rId881" ref="E353"/>
    <hyperlink r:id="rId882" ref="A354"/>
    <hyperlink r:id="rId883" ref="C354"/>
    <hyperlink r:id="rId884" ref="E354"/>
    <hyperlink r:id="rId885" ref="A355"/>
    <hyperlink r:id="rId886" ref="C355"/>
    <hyperlink r:id="rId887" ref="A356"/>
    <hyperlink r:id="rId888" ref="C356"/>
    <hyperlink r:id="rId889" ref="E356"/>
    <hyperlink r:id="rId890" ref="A357"/>
    <hyperlink r:id="rId891" ref="C357"/>
    <hyperlink r:id="rId892" ref="E357"/>
    <hyperlink r:id="rId893" ref="A358"/>
    <hyperlink r:id="rId894" ref="C358"/>
    <hyperlink r:id="rId895" ref="E358"/>
    <hyperlink r:id="rId896" ref="A359"/>
    <hyperlink r:id="rId897" ref="C359"/>
    <hyperlink r:id="rId898" ref="E359"/>
    <hyperlink r:id="rId899" ref="A360"/>
    <hyperlink r:id="rId900" ref="C360"/>
    <hyperlink r:id="rId901" ref="E360"/>
    <hyperlink r:id="rId902" ref="A361"/>
    <hyperlink r:id="rId903" ref="C361"/>
    <hyperlink r:id="rId904" ref="E361"/>
    <hyperlink r:id="rId905" ref="A362"/>
    <hyperlink r:id="rId906" ref="C362"/>
    <hyperlink r:id="rId907" ref="E362"/>
    <hyperlink r:id="rId908" ref="A363"/>
    <hyperlink r:id="rId909" ref="C363"/>
    <hyperlink r:id="rId910" ref="A364"/>
    <hyperlink r:id="rId911" ref="C364"/>
    <hyperlink r:id="rId912" ref="A365"/>
    <hyperlink r:id="rId913" ref="C365"/>
    <hyperlink r:id="rId914" ref="A366"/>
    <hyperlink r:id="rId915" ref="C366"/>
    <hyperlink r:id="rId916" ref="E366"/>
    <hyperlink r:id="rId917" ref="A367"/>
    <hyperlink r:id="rId918" ref="C367"/>
    <hyperlink r:id="rId919" ref="E367"/>
    <hyperlink r:id="rId920" ref="A368"/>
    <hyperlink r:id="rId921" ref="C368"/>
    <hyperlink r:id="rId922" ref="A369"/>
    <hyperlink r:id="rId923" ref="C369"/>
    <hyperlink r:id="rId924" ref="E369"/>
    <hyperlink r:id="rId925" ref="A370"/>
    <hyperlink r:id="rId926" ref="C370"/>
    <hyperlink r:id="rId927" ref="A371"/>
    <hyperlink r:id="rId928" ref="C371"/>
    <hyperlink r:id="rId929" ref="E371"/>
    <hyperlink r:id="rId930" ref="A372"/>
    <hyperlink r:id="rId931" ref="C372"/>
    <hyperlink r:id="rId932" ref="A373"/>
    <hyperlink r:id="rId933" ref="C373"/>
    <hyperlink r:id="rId934" ref="A374"/>
    <hyperlink r:id="rId935" ref="C374"/>
    <hyperlink r:id="rId936" ref="E374"/>
    <hyperlink r:id="rId937" ref="A375"/>
    <hyperlink r:id="rId938" ref="C375"/>
    <hyperlink r:id="rId939" ref="A376"/>
    <hyperlink r:id="rId940" ref="C376"/>
    <hyperlink r:id="rId941" ref="E376"/>
    <hyperlink r:id="rId942" ref="A377"/>
    <hyperlink r:id="rId943" ref="C377"/>
    <hyperlink r:id="rId944" ref="E377"/>
    <hyperlink r:id="rId945" ref="A378"/>
    <hyperlink r:id="rId946" ref="C378"/>
    <hyperlink r:id="rId947" ref="A379"/>
    <hyperlink r:id="rId948" ref="C379"/>
    <hyperlink r:id="rId949" ref="E379"/>
    <hyperlink r:id="rId950" ref="A380"/>
    <hyperlink r:id="rId951" ref="C380"/>
    <hyperlink r:id="rId952" ref="E380"/>
    <hyperlink r:id="rId953" ref="A381"/>
    <hyperlink r:id="rId954" ref="C381"/>
    <hyperlink r:id="rId955" ref="E381"/>
    <hyperlink r:id="rId956" ref="A382"/>
    <hyperlink r:id="rId957" ref="C382"/>
    <hyperlink r:id="rId958" ref="E382"/>
    <hyperlink r:id="rId959" ref="A383"/>
    <hyperlink r:id="rId960" ref="C383"/>
    <hyperlink r:id="rId961" ref="E383"/>
    <hyperlink r:id="rId962" ref="A384"/>
    <hyperlink r:id="rId963" ref="C384"/>
    <hyperlink r:id="rId964" ref="A385"/>
    <hyperlink r:id="rId965" ref="C385"/>
    <hyperlink r:id="rId966" ref="E385"/>
    <hyperlink r:id="rId967" ref="A386"/>
    <hyperlink r:id="rId968" ref="C386"/>
    <hyperlink r:id="rId969" ref="A387"/>
    <hyperlink r:id="rId970" ref="C387"/>
    <hyperlink r:id="rId971" ref="A388"/>
    <hyperlink r:id="rId972" ref="C388"/>
    <hyperlink r:id="rId973" ref="A389"/>
    <hyperlink r:id="rId974" ref="C389"/>
    <hyperlink r:id="rId975" ref="A390"/>
    <hyperlink r:id="rId976" ref="C390"/>
    <hyperlink r:id="rId977" ref="A391"/>
    <hyperlink r:id="rId978" ref="C391"/>
    <hyperlink r:id="rId979" ref="E391"/>
    <hyperlink r:id="rId980" ref="A392"/>
    <hyperlink r:id="rId981" ref="C392"/>
    <hyperlink r:id="rId982" ref="A393"/>
    <hyperlink r:id="rId983" ref="C393"/>
    <hyperlink r:id="rId984" ref="A394"/>
    <hyperlink r:id="rId985" ref="C394"/>
    <hyperlink r:id="rId986" ref="A395"/>
    <hyperlink r:id="rId987" ref="C395"/>
    <hyperlink r:id="rId988" ref="A396"/>
    <hyperlink r:id="rId989" ref="C396"/>
    <hyperlink r:id="rId990" ref="A397"/>
    <hyperlink r:id="rId991" ref="C397"/>
    <hyperlink r:id="rId992" ref="A398"/>
    <hyperlink r:id="rId993" ref="C398"/>
    <hyperlink r:id="rId994" ref="A399"/>
    <hyperlink r:id="rId995" ref="C399"/>
    <hyperlink r:id="rId996" ref="A400"/>
    <hyperlink r:id="rId997" ref="C400"/>
    <hyperlink r:id="rId998" ref="A401"/>
    <hyperlink r:id="rId999" ref="C401"/>
    <hyperlink r:id="rId1000" ref="A402"/>
    <hyperlink r:id="rId1001" ref="C402"/>
    <hyperlink r:id="rId1002" ref="A403"/>
    <hyperlink r:id="rId1003" ref="C403"/>
    <hyperlink r:id="rId1004" ref="A404"/>
    <hyperlink r:id="rId1005" ref="C404"/>
    <hyperlink r:id="rId1006" ref="A405"/>
    <hyperlink r:id="rId1007" ref="C405"/>
    <hyperlink r:id="rId1008" ref="A406"/>
    <hyperlink r:id="rId1009" ref="C406"/>
    <hyperlink r:id="rId1010" ref="A407"/>
    <hyperlink r:id="rId1011" ref="C407"/>
    <hyperlink r:id="rId1012" ref="A408"/>
    <hyperlink r:id="rId1013" ref="C408"/>
    <hyperlink r:id="rId1014" ref="A409"/>
    <hyperlink r:id="rId1015" ref="C409"/>
    <hyperlink r:id="rId1016" ref="A410"/>
    <hyperlink r:id="rId1017" ref="C410"/>
    <hyperlink r:id="rId1018" ref="A411"/>
    <hyperlink r:id="rId1019" ref="C411"/>
    <hyperlink r:id="rId1020" ref="A412"/>
    <hyperlink r:id="rId1021" ref="C412"/>
    <hyperlink r:id="rId1022" ref="A413"/>
    <hyperlink r:id="rId1023" ref="C413"/>
    <hyperlink r:id="rId1024" ref="A414"/>
    <hyperlink r:id="rId1025" ref="C414"/>
    <hyperlink r:id="rId1026" ref="A415"/>
    <hyperlink r:id="rId1027" ref="C415"/>
    <hyperlink r:id="rId1028" ref="A416"/>
    <hyperlink r:id="rId1029" ref="C416"/>
    <hyperlink r:id="rId1030" ref="A417"/>
    <hyperlink r:id="rId1031" ref="C417"/>
    <hyperlink r:id="rId1032" ref="A418"/>
    <hyperlink r:id="rId1033" ref="C418"/>
    <hyperlink r:id="rId1034" ref="A419"/>
    <hyperlink r:id="rId1035" ref="C419"/>
    <hyperlink r:id="rId1036" ref="A420"/>
    <hyperlink r:id="rId1037" ref="C420"/>
    <hyperlink r:id="rId1038" ref="A421"/>
    <hyperlink r:id="rId1039" ref="C421"/>
    <hyperlink r:id="rId1040" ref="A422"/>
    <hyperlink r:id="rId1041" ref="C422"/>
    <hyperlink r:id="rId1042" ref="A423"/>
    <hyperlink r:id="rId1043" ref="C423"/>
    <hyperlink r:id="rId1044" ref="A424"/>
    <hyperlink r:id="rId1045" ref="C424"/>
    <hyperlink r:id="rId1046" ref="A425"/>
    <hyperlink r:id="rId1047" ref="C425"/>
    <hyperlink r:id="rId1048" ref="A426"/>
    <hyperlink r:id="rId1049" ref="C426"/>
    <hyperlink r:id="rId1050" ref="A427"/>
    <hyperlink r:id="rId1051" ref="C427"/>
    <hyperlink r:id="rId1052" ref="A428"/>
    <hyperlink r:id="rId1053" ref="C428"/>
    <hyperlink r:id="rId1054" ref="A429"/>
    <hyperlink r:id="rId1055" ref="C429"/>
    <hyperlink r:id="rId1056" ref="A430"/>
    <hyperlink r:id="rId1057" ref="C430"/>
    <hyperlink r:id="rId1058" ref="A431"/>
    <hyperlink r:id="rId1059" ref="C431"/>
    <hyperlink r:id="rId1060" ref="A432"/>
    <hyperlink r:id="rId1061" ref="C432"/>
    <hyperlink r:id="rId1062" ref="A433"/>
    <hyperlink r:id="rId1063" ref="C433"/>
    <hyperlink r:id="rId1064" ref="E433"/>
    <hyperlink r:id="rId1065" ref="A434"/>
    <hyperlink r:id="rId1066" ref="C434"/>
    <hyperlink r:id="rId1067" ref="A435"/>
    <hyperlink r:id="rId1068" ref="C435"/>
    <hyperlink r:id="rId1069" ref="A436"/>
    <hyperlink r:id="rId1070" ref="C436"/>
    <hyperlink r:id="rId1071" ref="A437"/>
    <hyperlink r:id="rId1072" ref="C437"/>
    <hyperlink r:id="rId1073" ref="A438"/>
    <hyperlink r:id="rId1074" ref="C438"/>
    <hyperlink r:id="rId1075" ref="A439"/>
    <hyperlink r:id="rId1076" ref="C439"/>
    <hyperlink r:id="rId1077" ref="A440"/>
    <hyperlink r:id="rId1078" ref="C440"/>
    <hyperlink r:id="rId1079" ref="A441"/>
    <hyperlink r:id="rId1080" ref="C441"/>
    <hyperlink r:id="rId1081" ref="A442"/>
    <hyperlink r:id="rId1082" ref="C442"/>
    <hyperlink r:id="rId1083" ref="A443"/>
    <hyperlink r:id="rId1084" ref="C443"/>
    <hyperlink r:id="rId1085" ref="A444"/>
    <hyperlink r:id="rId1086" ref="C444"/>
    <hyperlink r:id="rId1087" ref="A445"/>
    <hyperlink r:id="rId1088" ref="C445"/>
    <hyperlink r:id="rId1089" ref="A446"/>
    <hyperlink r:id="rId1090" ref="C446"/>
    <hyperlink r:id="rId1091" ref="A447"/>
    <hyperlink r:id="rId1092" ref="C447"/>
    <hyperlink r:id="rId1093" ref="A448"/>
    <hyperlink r:id="rId1094" ref="C448"/>
    <hyperlink r:id="rId1095" ref="A449"/>
    <hyperlink r:id="rId1096" ref="A450"/>
    <hyperlink r:id="rId1097" ref="C450"/>
    <hyperlink r:id="rId1098" ref="E450"/>
    <hyperlink r:id="rId1099" ref="A451"/>
    <hyperlink r:id="rId1100" ref="C451"/>
    <hyperlink r:id="rId1101" ref="A452"/>
    <hyperlink r:id="rId1102" ref="C452"/>
    <hyperlink r:id="rId1103" ref="A453"/>
    <hyperlink r:id="rId1104" ref="C453"/>
    <hyperlink r:id="rId1105" ref="A454"/>
    <hyperlink r:id="rId1106" ref="C454"/>
    <hyperlink r:id="rId1107" ref="A455"/>
    <hyperlink r:id="rId1108" ref="C455"/>
    <hyperlink r:id="rId1109" ref="A456"/>
    <hyperlink r:id="rId1110" ref="C456"/>
    <hyperlink r:id="rId1111" ref="A457"/>
    <hyperlink r:id="rId1112" ref="C457"/>
    <hyperlink r:id="rId1113" ref="A458"/>
    <hyperlink r:id="rId1114" ref="C458"/>
    <hyperlink r:id="rId1115" ref="A459"/>
    <hyperlink r:id="rId1116" ref="C459"/>
    <hyperlink r:id="rId1117" ref="A460"/>
    <hyperlink r:id="rId1118" ref="C460"/>
    <hyperlink r:id="rId1119" ref="A461"/>
    <hyperlink r:id="rId1120" ref="C461"/>
    <hyperlink r:id="rId1121" ref="A462"/>
    <hyperlink r:id="rId1122" ref="C462"/>
    <hyperlink r:id="rId1123" ref="A463"/>
    <hyperlink r:id="rId1124" ref="C463"/>
    <hyperlink r:id="rId1125" ref="A464"/>
    <hyperlink r:id="rId1126" ref="C464"/>
    <hyperlink r:id="rId1127" ref="A465"/>
    <hyperlink r:id="rId1128" ref="C465"/>
    <hyperlink r:id="rId1129" ref="A466"/>
    <hyperlink r:id="rId1130" ref="C466"/>
    <hyperlink r:id="rId1131" ref="A467"/>
    <hyperlink r:id="rId1132" ref="C467"/>
    <hyperlink r:id="rId1133" ref="A468"/>
    <hyperlink r:id="rId1134" ref="C468"/>
    <hyperlink r:id="rId1135" ref="A469"/>
    <hyperlink r:id="rId1136" ref="C469"/>
    <hyperlink r:id="rId1137" ref="A470"/>
    <hyperlink r:id="rId1138" ref="C470"/>
    <hyperlink r:id="rId1139" ref="A471"/>
    <hyperlink r:id="rId1140" ref="C471"/>
    <hyperlink r:id="rId1141" ref="A472"/>
    <hyperlink r:id="rId1142" ref="C472"/>
    <hyperlink r:id="rId1143" ref="A473"/>
    <hyperlink r:id="rId1144" ref="C473"/>
    <hyperlink r:id="rId1145" ref="A474"/>
    <hyperlink r:id="rId1146" ref="C474"/>
    <hyperlink r:id="rId1147" ref="A475"/>
    <hyperlink r:id="rId1148" ref="C475"/>
    <hyperlink r:id="rId1149" ref="A476"/>
    <hyperlink r:id="rId1150" ref="C476"/>
    <hyperlink r:id="rId1151" ref="A477"/>
    <hyperlink r:id="rId1152" ref="C477"/>
    <hyperlink r:id="rId1153" ref="A478"/>
    <hyperlink r:id="rId1154" ref="C478"/>
    <hyperlink r:id="rId1155" ref="A479"/>
    <hyperlink r:id="rId1156" ref="C479"/>
    <hyperlink r:id="rId1157" ref="A480"/>
    <hyperlink r:id="rId1158" ref="C480"/>
    <hyperlink r:id="rId1159" ref="A481"/>
    <hyperlink r:id="rId1160" ref="C481"/>
    <hyperlink r:id="rId1161" ref="A482"/>
    <hyperlink r:id="rId1162" ref="C482"/>
    <hyperlink r:id="rId1163" ref="A483"/>
    <hyperlink r:id="rId1164" ref="C483"/>
    <hyperlink r:id="rId1165" ref="A484"/>
    <hyperlink r:id="rId1166" ref="C484"/>
    <hyperlink r:id="rId1167" ref="E484"/>
    <hyperlink r:id="rId1168" ref="A485"/>
    <hyperlink r:id="rId1169" ref="C485"/>
    <hyperlink r:id="rId1170" ref="A486"/>
    <hyperlink r:id="rId1171" ref="C486"/>
    <hyperlink r:id="rId1172" ref="E486"/>
    <hyperlink r:id="rId1173" ref="A487"/>
    <hyperlink r:id="rId1174" ref="C487"/>
    <hyperlink r:id="rId1175" ref="A488"/>
    <hyperlink r:id="rId1176" ref="C488"/>
    <hyperlink r:id="rId1177" ref="A489"/>
    <hyperlink r:id="rId1178" ref="C489"/>
    <hyperlink r:id="rId1179" ref="A490"/>
    <hyperlink r:id="rId1180" ref="C490"/>
    <hyperlink r:id="rId1181" ref="A491"/>
    <hyperlink r:id="rId1182" ref="C491"/>
    <hyperlink r:id="rId1183" ref="A492"/>
    <hyperlink r:id="rId1184" ref="C492"/>
    <hyperlink r:id="rId1185" ref="E492"/>
    <hyperlink r:id="rId1186" ref="A493"/>
    <hyperlink r:id="rId1187" ref="C493"/>
    <hyperlink r:id="rId1188" ref="A494"/>
    <hyperlink r:id="rId1189" ref="C494"/>
    <hyperlink r:id="rId1190" ref="A495"/>
    <hyperlink r:id="rId1191" ref="C495"/>
    <hyperlink r:id="rId1192" ref="A496"/>
    <hyperlink r:id="rId1193" ref="C496"/>
    <hyperlink r:id="rId1194" ref="A497"/>
    <hyperlink r:id="rId1195" ref="C497"/>
    <hyperlink r:id="rId1196" ref="A498"/>
    <hyperlink r:id="rId1197" ref="C498"/>
    <hyperlink r:id="rId1198" ref="E498"/>
    <hyperlink r:id="rId1199" ref="A499"/>
    <hyperlink r:id="rId1200" ref="C499"/>
    <hyperlink r:id="rId1201" ref="A500"/>
    <hyperlink r:id="rId1202" ref="C500"/>
    <hyperlink r:id="rId1203" ref="E500"/>
    <hyperlink r:id="rId1204" ref="A501"/>
    <hyperlink r:id="rId1205" ref="C501"/>
    <hyperlink r:id="rId1206" ref="A502"/>
    <hyperlink r:id="rId1207" ref="C502"/>
    <hyperlink r:id="rId1208" ref="E502"/>
    <hyperlink r:id="rId1209" ref="A503"/>
    <hyperlink r:id="rId1210" ref="C503"/>
    <hyperlink r:id="rId1211" ref="A504"/>
    <hyperlink r:id="rId1212" ref="C504"/>
    <hyperlink r:id="rId1213" ref="A505"/>
    <hyperlink r:id="rId1214" ref="C505"/>
    <hyperlink r:id="rId1215" ref="A506"/>
    <hyperlink r:id="rId1216" ref="C506"/>
    <hyperlink r:id="rId1217" ref="A507"/>
    <hyperlink r:id="rId1218" ref="C507"/>
    <hyperlink r:id="rId1219" ref="E507"/>
    <hyperlink r:id="rId1220" ref="A508"/>
    <hyperlink r:id="rId1221" ref="C508"/>
    <hyperlink r:id="rId1222" ref="A509"/>
    <hyperlink r:id="rId1223" ref="C509"/>
    <hyperlink r:id="rId1224" ref="A510"/>
    <hyperlink r:id="rId1225" ref="C510"/>
    <hyperlink r:id="rId1226" ref="A511"/>
    <hyperlink r:id="rId1227" ref="C511"/>
    <hyperlink r:id="rId1228" ref="A512"/>
    <hyperlink r:id="rId1229" ref="C512"/>
    <hyperlink r:id="rId1230" ref="A513"/>
    <hyperlink r:id="rId1231" ref="C513"/>
    <hyperlink r:id="rId1232" ref="A514"/>
    <hyperlink r:id="rId1233" ref="C514"/>
    <hyperlink r:id="rId1234" ref="A515"/>
    <hyperlink r:id="rId1235" ref="C515"/>
    <hyperlink r:id="rId1236" ref="A516"/>
    <hyperlink r:id="rId1237" ref="C516"/>
    <hyperlink r:id="rId1238" ref="A517"/>
    <hyperlink r:id="rId1239" ref="C517"/>
    <hyperlink r:id="rId1240" ref="A518"/>
    <hyperlink r:id="rId1241" ref="C518"/>
    <hyperlink r:id="rId1242" ref="A519"/>
    <hyperlink r:id="rId1243" ref="C519"/>
    <hyperlink r:id="rId1244" ref="A520"/>
    <hyperlink r:id="rId1245" ref="C520"/>
    <hyperlink r:id="rId1246" ref="A521"/>
    <hyperlink r:id="rId1247" ref="C521"/>
    <hyperlink r:id="rId1248" ref="A522"/>
    <hyperlink r:id="rId1249" ref="C522"/>
    <hyperlink r:id="rId1250" ref="A523"/>
    <hyperlink r:id="rId1251" ref="C523"/>
    <hyperlink r:id="rId1252" ref="A524"/>
    <hyperlink r:id="rId1253" ref="C524"/>
    <hyperlink r:id="rId1254" ref="A525"/>
    <hyperlink r:id="rId1255" ref="C525"/>
    <hyperlink r:id="rId1256" ref="A526"/>
    <hyperlink r:id="rId1257" ref="C526"/>
    <hyperlink r:id="rId1258" ref="A527"/>
    <hyperlink r:id="rId1259" ref="C527"/>
    <hyperlink r:id="rId1260" ref="A528"/>
    <hyperlink r:id="rId1261" ref="C528"/>
    <hyperlink r:id="rId1262" ref="E528"/>
    <hyperlink r:id="rId1263" ref="A529"/>
    <hyperlink r:id="rId1264" ref="C529"/>
    <hyperlink r:id="rId1265" ref="A530"/>
    <hyperlink r:id="rId1266" ref="C530"/>
    <hyperlink r:id="rId1267" ref="A531"/>
    <hyperlink r:id="rId1268" ref="C531"/>
    <hyperlink r:id="rId1269" ref="A532"/>
    <hyperlink r:id="rId1270" ref="C532"/>
    <hyperlink r:id="rId1271" ref="A533"/>
    <hyperlink r:id="rId1272" ref="C533"/>
    <hyperlink r:id="rId1273" ref="A534"/>
    <hyperlink r:id="rId1274" ref="C534"/>
    <hyperlink r:id="rId1275" ref="A535"/>
    <hyperlink r:id="rId1276" ref="C535"/>
    <hyperlink r:id="rId1277" ref="A536"/>
    <hyperlink r:id="rId1278" ref="C536"/>
    <hyperlink r:id="rId1279" ref="A537"/>
    <hyperlink r:id="rId1280" ref="C537"/>
    <hyperlink r:id="rId1281" ref="A538"/>
    <hyperlink r:id="rId1282" ref="C538"/>
    <hyperlink r:id="rId1283" ref="A539"/>
    <hyperlink r:id="rId1284" ref="C539"/>
    <hyperlink r:id="rId1285" ref="A540"/>
    <hyperlink r:id="rId1286" ref="C540"/>
    <hyperlink r:id="rId1287" ref="A541"/>
    <hyperlink r:id="rId1288" ref="C541"/>
    <hyperlink r:id="rId1289" ref="A542"/>
    <hyperlink r:id="rId1290" ref="C542"/>
    <hyperlink r:id="rId1291" ref="A543"/>
    <hyperlink r:id="rId1292" ref="C543"/>
    <hyperlink r:id="rId1293" ref="A544"/>
    <hyperlink r:id="rId1294" ref="C544"/>
    <hyperlink r:id="rId1295" ref="A545"/>
    <hyperlink r:id="rId1296" ref="C545"/>
    <hyperlink r:id="rId1297" ref="A546"/>
    <hyperlink r:id="rId1298" ref="C546"/>
    <hyperlink r:id="rId1299" ref="A547"/>
    <hyperlink r:id="rId1300" ref="C547"/>
    <hyperlink r:id="rId1301" ref="A548"/>
    <hyperlink r:id="rId1302" ref="C548"/>
    <hyperlink r:id="rId1303" ref="E548"/>
    <hyperlink r:id="rId1304" ref="A549"/>
    <hyperlink r:id="rId1305" ref="C549"/>
    <hyperlink r:id="rId1306" ref="A550"/>
    <hyperlink r:id="rId1307" ref="C550"/>
    <hyperlink r:id="rId1308" ref="A551"/>
    <hyperlink r:id="rId1309" ref="C551"/>
    <hyperlink r:id="rId1310" ref="A552"/>
    <hyperlink r:id="rId1311" ref="C552"/>
    <hyperlink r:id="rId1312" ref="E552"/>
    <hyperlink r:id="rId1313" ref="A553"/>
    <hyperlink r:id="rId1314" ref="C553"/>
    <hyperlink r:id="rId1315" ref="A554"/>
    <hyperlink r:id="rId1316" ref="C554"/>
    <hyperlink r:id="rId1317" ref="A555"/>
    <hyperlink r:id="rId1318" ref="C555"/>
    <hyperlink r:id="rId1319" ref="A556"/>
    <hyperlink r:id="rId1320" ref="C556"/>
    <hyperlink r:id="rId1321" ref="A557"/>
    <hyperlink r:id="rId1322" ref="C557"/>
    <hyperlink r:id="rId1323" ref="A558"/>
    <hyperlink r:id="rId1324" ref="C558"/>
    <hyperlink r:id="rId1325" ref="A559"/>
    <hyperlink r:id="rId1326" ref="C559"/>
    <hyperlink r:id="rId1327" ref="E559"/>
    <hyperlink r:id="rId1328" ref="A560"/>
    <hyperlink r:id="rId1329" ref="C560"/>
    <hyperlink r:id="rId1330" ref="E560"/>
    <hyperlink r:id="rId1331" ref="A561"/>
    <hyperlink r:id="rId1332" ref="C561"/>
    <hyperlink r:id="rId1333" ref="A562"/>
    <hyperlink r:id="rId1334" ref="C562"/>
    <hyperlink r:id="rId1335" ref="A563"/>
    <hyperlink r:id="rId1336" ref="C563"/>
    <hyperlink r:id="rId1337" ref="A564"/>
    <hyperlink r:id="rId1338" ref="C564"/>
    <hyperlink r:id="rId1339" ref="A565"/>
    <hyperlink r:id="rId1340" ref="C565"/>
    <hyperlink r:id="rId1341" ref="A566"/>
    <hyperlink r:id="rId1342" ref="C566"/>
    <hyperlink r:id="rId1343" ref="A567"/>
    <hyperlink r:id="rId1344" ref="C567"/>
    <hyperlink r:id="rId1345" ref="A568"/>
    <hyperlink r:id="rId1346" ref="C568"/>
    <hyperlink r:id="rId1347" ref="E568"/>
    <hyperlink r:id="rId1348" ref="A569"/>
    <hyperlink r:id="rId1349" ref="C569"/>
    <hyperlink r:id="rId1350" ref="A570"/>
    <hyperlink r:id="rId1351" ref="C570"/>
    <hyperlink r:id="rId1352" ref="A571"/>
    <hyperlink r:id="rId1353" ref="C571"/>
    <hyperlink r:id="rId1354" ref="A572"/>
    <hyperlink r:id="rId1355" ref="C572"/>
    <hyperlink r:id="rId1356" ref="A573"/>
    <hyperlink r:id="rId1357" ref="C573"/>
    <hyperlink r:id="rId1358" ref="A574"/>
    <hyperlink r:id="rId1359" ref="C574"/>
    <hyperlink r:id="rId1360" ref="A575"/>
    <hyperlink r:id="rId1361" ref="C575"/>
    <hyperlink r:id="rId1362" ref="A576"/>
    <hyperlink r:id="rId1363" ref="C576"/>
    <hyperlink r:id="rId1364" ref="A577"/>
    <hyperlink r:id="rId1365" ref="C577"/>
    <hyperlink r:id="rId1366" ref="A578"/>
    <hyperlink r:id="rId1367" ref="C578"/>
    <hyperlink r:id="rId1368" ref="A579"/>
    <hyperlink r:id="rId1369" ref="C579"/>
    <hyperlink r:id="rId1370" ref="A580"/>
    <hyperlink r:id="rId1371" ref="C580"/>
    <hyperlink r:id="rId1372" ref="A581"/>
    <hyperlink r:id="rId1373" ref="C581"/>
    <hyperlink r:id="rId1374" ref="E581"/>
    <hyperlink r:id="rId1375" ref="A582"/>
    <hyperlink r:id="rId1376" ref="C582"/>
    <hyperlink r:id="rId1377" ref="E582"/>
    <hyperlink r:id="rId1378" ref="A583"/>
    <hyperlink r:id="rId1379" ref="C583"/>
    <hyperlink r:id="rId1380" ref="A584"/>
    <hyperlink r:id="rId1381" ref="C584"/>
    <hyperlink r:id="rId1382" ref="E584"/>
    <hyperlink r:id="rId1383" ref="A585"/>
    <hyperlink r:id="rId1384" ref="C585"/>
    <hyperlink r:id="rId1385" ref="A586"/>
    <hyperlink r:id="rId1386" ref="A587"/>
    <hyperlink r:id="rId1387" ref="C587"/>
    <hyperlink r:id="rId1388" ref="A588"/>
    <hyperlink r:id="rId1389" ref="C588"/>
    <hyperlink r:id="rId1390" ref="A589"/>
    <hyperlink r:id="rId1391" ref="C589"/>
    <hyperlink r:id="rId1392" ref="A590"/>
    <hyperlink r:id="rId1393" ref="C590"/>
    <hyperlink r:id="rId1394" ref="A591"/>
    <hyperlink r:id="rId1395" ref="C591"/>
    <hyperlink r:id="rId1396" ref="A592"/>
    <hyperlink r:id="rId1397" ref="C592"/>
    <hyperlink r:id="rId1398" ref="A593"/>
    <hyperlink r:id="rId1399" ref="C593"/>
    <hyperlink r:id="rId1400" ref="A594"/>
    <hyperlink r:id="rId1401" ref="C594"/>
    <hyperlink r:id="rId1402" ref="A595"/>
    <hyperlink r:id="rId1403" ref="C595"/>
    <hyperlink r:id="rId1404" ref="A596"/>
    <hyperlink r:id="rId1405" ref="C596"/>
    <hyperlink r:id="rId1406" ref="A597"/>
    <hyperlink r:id="rId1407" ref="C597"/>
    <hyperlink r:id="rId1408" ref="E597"/>
    <hyperlink r:id="rId1409" ref="A598"/>
    <hyperlink r:id="rId1410" ref="C598"/>
    <hyperlink r:id="rId1411" ref="A599"/>
    <hyperlink r:id="rId1412" ref="C599"/>
    <hyperlink r:id="rId1413" ref="A600"/>
    <hyperlink r:id="rId1414" ref="C600"/>
    <hyperlink r:id="rId1415" ref="A601"/>
    <hyperlink r:id="rId1416" ref="C601"/>
    <hyperlink r:id="rId1417" ref="A602"/>
    <hyperlink r:id="rId1418" ref="C602"/>
    <hyperlink r:id="rId1419" ref="A603"/>
    <hyperlink r:id="rId1420" ref="C603"/>
    <hyperlink r:id="rId1421" ref="A604"/>
    <hyperlink r:id="rId1422" ref="C604"/>
    <hyperlink r:id="rId1423" ref="A605"/>
    <hyperlink r:id="rId1424" ref="C605"/>
    <hyperlink r:id="rId1425" ref="A606"/>
    <hyperlink r:id="rId1426" ref="C606"/>
    <hyperlink r:id="rId1427" ref="A607"/>
    <hyperlink r:id="rId1428" ref="C607"/>
    <hyperlink r:id="rId1429" ref="A608"/>
    <hyperlink r:id="rId1430" ref="C608"/>
    <hyperlink r:id="rId1431" ref="A609"/>
    <hyperlink r:id="rId1432" ref="C609"/>
    <hyperlink r:id="rId1433" ref="A610"/>
    <hyperlink r:id="rId1434" ref="C610"/>
    <hyperlink r:id="rId1435" ref="A611"/>
    <hyperlink r:id="rId1436" ref="C611"/>
    <hyperlink r:id="rId1437" ref="A612"/>
    <hyperlink r:id="rId1438" ref="C612"/>
    <hyperlink r:id="rId1439" ref="A613"/>
    <hyperlink r:id="rId1440" ref="C613"/>
    <hyperlink r:id="rId1441" ref="A614"/>
    <hyperlink r:id="rId1442" ref="C614"/>
    <hyperlink r:id="rId1443" ref="A615"/>
    <hyperlink r:id="rId1444" ref="C615"/>
    <hyperlink r:id="rId1445" ref="A616"/>
    <hyperlink r:id="rId1446" ref="C616"/>
    <hyperlink r:id="rId1447" ref="A617"/>
    <hyperlink r:id="rId1448" ref="C617"/>
    <hyperlink r:id="rId1449" ref="A618"/>
    <hyperlink r:id="rId1450" ref="C618"/>
    <hyperlink r:id="rId1451" ref="A619"/>
    <hyperlink r:id="rId1452" ref="C619"/>
    <hyperlink r:id="rId1453" ref="A620"/>
    <hyperlink r:id="rId1454" ref="C620"/>
    <hyperlink r:id="rId1455" ref="A621"/>
    <hyperlink r:id="rId1456" ref="C621"/>
    <hyperlink r:id="rId1457" ref="A622"/>
    <hyperlink r:id="rId1458" ref="C622"/>
    <hyperlink r:id="rId1459" ref="A623"/>
    <hyperlink r:id="rId1460" ref="C623"/>
    <hyperlink r:id="rId1461" ref="A624"/>
    <hyperlink r:id="rId1462" ref="C624"/>
    <hyperlink r:id="rId1463" ref="E624"/>
    <hyperlink r:id="rId1464" ref="A625"/>
    <hyperlink r:id="rId1465" ref="C625"/>
    <hyperlink r:id="rId1466" ref="A626"/>
    <hyperlink r:id="rId1467" ref="C626"/>
    <hyperlink r:id="rId1468" ref="A627"/>
    <hyperlink r:id="rId1469" ref="C627"/>
    <hyperlink r:id="rId1470" ref="A628"/>
    <hyperlink r:id="rId1471" ref="C628"/>
    <hyperlink r:id="rId1472" ref="E628"/>
    <hyperlink r:id="rId1473" ref="A629"/>
    <hyperlink r:id="rId1474" ref="C629"/>
    <hyperlink r:id="rId1475" ref="A630"/>
    <hyperlink r:id="rId1476" ref="C630"/>
    <hyperlink r:id="rId1477" ref="A631"/>
    <hyperlink r:id="rId1478" ref="C631"/>
    <hyperlink r:id="rId1479" ref="A632"/>
    <hyperlink r:id="rId1480" ref="C632"/>
    <hyperlink r:id="rId1481" ref="A633"/>
    <hyperlink r:id="rId1482" ref="C633"/>
    <hyperlink r:id="rId1483" ref="A634"/>
    <hyperlink r:id="rId1484" ref="C634"/>
    <hyperlink r:id="rId1485" ref="A635"/>
    <hyperlink r:id="rId1486" ref="C635"/>
    <hyperlink r:id="rId1487" ref="A636"/>
    <hyperlink r:id="rId1488" ref="C636"/>
    <hyperlink r:id="rId1489" ref="A637"/>
    <hyperlink r:id="rId1490" ref="C637"/>
    <hyperlink r:id="rId1491" ref="A638"/>
    <hyperlink r:id="rId1492" ref="C638"/>
    <hyperlink r:id="rId1493" ref="A639"/>
    <hyperlink r:id="rId1494" ref="C639"/>
    <hyperlink r:id="rId1495" ref="A640"/>
    <hyperlink r:id="rId1496" ref="C640"/>
    <hyperlink r:id="rId1497" ref="A641"/>
    <hyperlink r:id="rId1498" ref="C641"/>
    <hyperlink r:id="rId1499" ref="A642"/>
    <hyperlink r:id="rId1500" ref="C642"/>
    <hyperlink r:id="rId1501" ref="A643"/>
    <hyperlink r:id="rId1502" ref="C643"/>
    <hyperlink r:id="rId1503" ref="A644"/>
    <hyperlink r:id="rId1504" ref="C644"/>
    <hyperlink r:id="rId1505" ref="A645"/>
    <hyperlink r:id="rId1506" ref="C645"/>
    <hyperlink r:id="rId1507" ref="E645"/>
    <hyperlink r:id="rId1508" ref="A646"/>
    <hyperlink r:id="rId1509" ref="C646"/>
    <hyperlink r:id="rId1510" ref="A647"/>
    <hyperlink r:id="rId1511" ref="C647"/>
    <hyperlink r:id="rId1512" ref="A648"/>
    <hyperlink r:id="rId1513" ref="C648"/>
    <hyperlink r:id="rId1514" ref="A649"/>
    <hyperlink r:id="rId1515" ref="C649"/>
    <hyperlink r:id="rId1516" ref="A650"/>
    <hyperlink r:id="rId1517" ref="C650"/>
    <hyperlink r:id="rId1518" ref="A651"/>
    <hyperlink r:id="rId1519" ref="C651"/>
    <hyperlink r:id="rId1520" ref="E651"/>
    <hyperlink r:id="rId1521" ref="A652"/>
    <hyperlink r:id="rId1522" ref="C652"/>
    <hyperlink r:id="rId1523" ref="A653"/>
    <hyperlink r:id="rId1524" ref="C653"/>
    <hyperlink r:id="rId1525" ref="A654"/>
    <hyperlink r:id="rId1526" ref="C654"/>
    <hyperlink r:id="rId1527" ref="A655"/>
    <hyperlink r:id="rId1528" ref="C655"/>
    <hyperlink r:id="rId1529" ref="A656"/>
    <hyperlink r:id="rId1530" ref="C656"/>
    <hyperlink r:id="rId1531" ref="A657"/>
    <hyperlink r:id="rId1532" ref="C657"/>
    <hyperlink r:id="rId1533" ref="A658"/>
    <hyperlink r:id="rId1534" ref="C658"/>
    <hyperlink r:id="rId1535" ref="A659"/>
    <hyperlink r:id="rId1536" ref="C659"/>
    <hyperlink r:id="rId1537" ref="A660"/>
    <hyperlink r:id="rId1538" ref="C660"/>
    <hyperlink r:id="rId1539" ref="A661"/>
    <hyperlink r:id="rId1540" ref="C661"/>
    <hyperlink r:id="rId1541" ref="A662"/>
    <hyperlink r:id="rId1542" ref="C662"/>
    <hyperlink r:id="rId1543" ref="A663"/>
    <hyperlink r:id="rId1544" ref="C663"/>
    <hyperlink r:id="rId1545" ref="A664"/>
    <hyperlink r:id="rId1546" ref="C664"/>
    <hyperlink r:id="rId1547" ref="A665"/>
    <hyperlink r:id="rId1548" ref="C665"/>
    <hyperlink r:id="rId1549" ref="A666"/>
    <hyperlink r:id="rId1550" ref="C666"/>
    <hyperlink r:id="rId1551" ref="A667"/>
    <hyperlink r:id="rId1552" ref="C667"/>
    <hyperlink r:id="rId1553" ref="A668"/>
    <hyperlink r:id="rId1554" ref="C668"/>
    <hyperlink r:id="rId1555" ref="A669"/>
    <hyperlink r:id="rId1556" ref="C669"/>
    <hyperlink r:id="rId1557" ref="A670"/>
    <hyperlink r:id="rId1558" ref="C670"/>
    <hyperlink r:id="rId1559" ref="A671"/>
    <hyperlink r:id="rId1560" ref="C671"/>
    <hyperlink r:id="rId1561" ref="A672"/>
    <hyperlink r:id="rId1562" ref="C672"/>
    <hyperlink r:id="rId1563" ref="A673"/>
    <hyperlink r:id="rId1564" ref="C673"/>
    <hyperlink r:id="rId1565" ref="A674"/>
    <hyperlink r:id="rId1566" ref="C674"/>
    <hyperlink r:id="rId1567" ref="A675"/>
    <hyperlink r:id="rId1568" ref="C675"/>
    <hyperlink r:id="rId1569" ref="A676"/>
    <hyperlink r:id="rId1570" ref="C676"/>
    <hyperlink r:id="rId1571" ref="A677"/>
    <hyperlink r:id="rId1572" ref="C677"/>
    <hyperlink r:id="rId1573" ref="A678"/>
    <hyperlink r:id="rId1574" ref="A679"/>
    <hyperlink r:id="rId1575" ref="A680"/>
    <hyperlink r:id="rId1576" ref="C680"/>
    <hyperlink r:id="rId1577" ref="A681"/>
    <hyperlink r:id="rId1578" ref="C681"/>
    <hyperlink r:id="rId1579" ref="A682"/>
    <hyperlink r:id="rId1580" ref="A683"/>
    <hyperlink r:id="rId1581" ref="C683"/>
    <hyperlink r:id="rId1582" ref="A684"/>
    <hyperlink r:id="rId1583" ref="C684"/>
    <hyperlink r:id="rId1584" ref="A685"/>
    <hyperlink r:id="rId1585" ref="C685"/>
    <hyperlink r:id="rId1586" ref="A686"/>
    <hyperlink r:id="rId1587" ref="C686"/>
    <hyperlink r:id="rId1588" ref="A687"/>
    <hyperlink r:id="rId1589" ref="C687"/>
    <hyperlink r:id="rId1590" ref="A688"/>
    <hyperlink r:id="rId1591" ref="C688"/>
    <hyperlink r:id="rId1592" ref="A689"/>
    <hyperlink r:id="rId1593" ref="C689"/>
    <hyperlink r:id="rId1594" ref="A690"/>
    <hyperlink r:id="rId1595" ref="C690"/>
    <hyperlink r:id="rId1596" ref="A691"/>
    <hyperlink r:id="rId1597" ref="C691"/>
    <hyperlink r:id="rId1598" ref="A692"/>
    <hyperlink r:id="rId1599" ref="C692"/>
    <hyperlink r:id="rId1600" ref="A693"/>
    <hyperlink r:id="rId1601" ref="C693"/>
    <hyperlink r:id="rId1602" ref="A694"/>
    <hyperlink r:id="rId1603" ref="C694"/>
    <hyperlink r:id="rId1604" ref="A695"/>
    <hyperlink r:id="rId1605" ref="C695"/>
    <hyperlink r:id="rId1606" ref="A696"/>
    <hyperlink r:id="rId1607" ref="C696"/>
    <hyperlink r:id="rId1608" ref="A697"/>
    <hyperlink r:id="rId1609" ref="C697"/>
    <hyperlink r:id="rId1610" ref="A698"/>
    <hyperlink r:id="rId1611" ref="C698"/>
    <hyperlink r:id="rId1612" ref="A699"/>
    <hyperlink r:id="rId1613" ref="C699"/>
    <hyperlink r:id="rId1614" ref="A700"/>
    <hyperlink r:id="rId1615" ref="C700"/>
    <hyperlink r:id="rId1616" ref="A701"/>
    <hyperlink r:id="rId1617" ref="C701"/>
    <hyperlink r:id="rId1618" ref="A702"/>
    <hyperlink r:id="rId1619" ref="C702"/>
    <hyperlink r:id="rId1620" ref="A703"/>
    <hyperlink r:id="rId1621" ref="C703"/>
    <hyperlink r:id="rId1622" ref="A704"/>
    <hyperlink r:id="rId1623" ref="C704"/>
    <hyperlink r:id="rId1624" ref="A705"/>
    <hyperlink r:id="rId1625" ref="C705"/>
    <hyperlink r:id="rId1626" ref="A706"/>
    <hyperlink r:id="rId1627" ref="C706"/>
    <hyperlink r:id="rId1628" ref="A707"/>
    <hyperlink r:id="rId1629" ref="C707"/>
    <hyperlink r:id="rId1630" ref="A708"/>
    <hyperlink r:id="rId1631" ref="C708"/>
    <hyperlink r:id="rId1632" ref="A709"/>
    <hyperlink r:id="rId1633" ref="C709"/>
    <hyperlink r:id="rId1634" ref="A710"/>
    <hyperlink r:id="rId1635" ref="C710"/>
    <hyperlink r:id="rId1636" ref="A711"/>
    <hyperlink r:id="rId1637" ref="C711"/>
    <hyperlink r:id="rId1638" ref="A712"/>
    <hyperlink r:id="rId1639" ref="C712"/>
    <hyperlink r:id="rId1640" ref="A713"/>
    <hyperlink r:id="rId1641" ref="C713"/>
    <hyperlink r:id="rId1642" ref="A714"/>
    <hyperlink r:id="rId1643" ref="C714"/>
    <hyperlink r:id="rId1644" ref="A715"/>
    <hyperlink r:id="rId1645" ref="C715"/>
    <hyperlink r:id="rId1646" ref="A716"/>
    <hyperlink r:id="rId1647" ref="C716"/>
    <hyperlink r:id="rId1648" ref="A717"/>
    <hyperlink r:id="rId1649" ref="C717"/>
    <hyperlink r:id="rId1650" ref="A718"/>
    <hyperlink r:id="rId1651" ref="C718"/>
    <hyperlink r:id="rId1652" ref="A719"/>
    <hyperlink r:id="rId1653" ref="C719"/>
    <hyperlink r:id="rId1654" ref="A720"/>
    <hyperlink r:id="rId1655" ref="C720"/>
    <hyperlink r:id="rId1656" ref="A721"/>
    <hyperlink r:id="rId1657" ref="C721"/>
    <hyperlink r:id="rId1658" ref="E721"/>
    <hyperlink r:id="rId1659" ref="A722"/>
    <hyperlink r:id="rId1660" ref="C722"/>
    <hyperlink r:id="rId1661" ref="E722"/>
    <hyperlink r:id="rId1662" ref="A723"/>
    <hyperlink r:id="rId1663" ref="C723"/>
    <hyperlink r:id="rId1664" ref="A724"/>
    <hyperlink r:id="rId1665" ref="C724"/>
    <hyperlink r:id="rId1666" ref="A725"/>
    <hyperlink r:id="rId1667" ref="C725"/>
    <hyperlink r:id="rId1668" ref="A726"/>
    <hyperlink r:id="rId1669" ref="C726"/>
    <hyperlink r:id="rId1670" ref="A727"/>
    <hyperlink r:id="rId1671" ref="C727"/>
    <hyperlink r:id="rId1672" ref="A728"/>
    <hyperlink r:id="rId1673" ref="C728"/>
    <hyperlink r:id="rId1674" ref="A729"/>
    <hyperlink r:id="rId1675" ref="C729"/>
    <hyperlink r:id="rId1676" ref="A730"/>
    <hyperlink r:id="rId1677" ref="C730"/>
    <hyperlink r:id="rId1678" ref="A731"/>
    <hyperlink r:id="rId1679" ref="C731"/>
    <hyperlink r:id="rId1680" ref="A732"/>
    <hyperlink r:id="rId1681" ref="C732"/>
    <hyperlink r:id="rId1682" ref="A733"/>
    <hyperlink r:id="rId1683" ref="C733"/>
    <hyperlink r:id="rId1684" ref="A734"/>
    <hyperlink r:id="rId1685" ref="C734"/>
    <hyperlink r:id="rId1686" ref="A735"/>
    <hyperlink r:id="rId1687" ref="C735"/>
    <hyperlink r:id="rId1688" ref="E735"/>
    <hyperlink r:id="rId1689" ref="A736"/>
    <hyperlink r:id="rId1690" ref="C736"/>
    <hyperlink r:id="rId1691" ref="A737"/>
    <hyperlink r:id="rId1692" ref="C737"/>
    <hyperlink r:id="rId1693" ref="A738"/>
    <hyperlink r:id="rId1694" ref="C738"/>
    <hyperlink r:id="rId1695" ref="A739"/>
    <hyperlink r:id="rId1696" ref="C739"/>
    <hyperlink r:id="rId1697" ref="E739"/>
    <hyperlink r:id="rId1698" ref="A740"/>
    <hyperlink r:id="rId1699" ref="C740"/>
    <hyperlink r:id="rId1700" ref="A741"/>
    <hyperlink r:id="rId1701" ref="C741"/>
    <hyperlink r:id="rId1702" ref="A742"/>
    <hyperlink r:id="rId1703" ref="C742"/>
    <hyperlink r:id="rId1704" ref="A743"/>
    <hyperlink r:id="rId1705" ref="C743"/>
    <hyperlink r:id="rId1706" ref="E743"/>
    <hyperlink r:id="rId1707" ref="A744"/>
    <hyperlink r:id="rId1708" ref="C744"/>
    <hyperlink r:id="rId1709" ref="A745"/>
    <hyperlink r:id="rId1710" ref="C745"/>
    <hyperlink r:id="rId1711" ref="A746"/>
    <hyperlink r:id="rId1712" ref="C746"/>
    <hyperlink r:id="rId1713" ref="A747"/>
    <hyperlink r:id="rId1714" ref="C747"/>
    <hyperlink r:id="rId1715" ref="A748"/>
    <hyperlink r:id="rId1716" ref="C748"/>
    <hyperlink r:id="rId1717" ref="A749"/>
    <hyperlink r:id="rId1718" ref="C749"/>
    <hyperlink r:id="rId1719" ref="A750"/>
    <hyperlink r:id="rId1720" ref="C750"/>
    <hyperlink r:id="rId1721" ref="A751"/>
    <hyperlink r:id="rId1722" ref="C751"/>
    <hyperlink r:id="rId1723" ref="A752"/>
    <hyperlink r:id="rId1724" ref="C752"/>
    <hyperlink r:id="rId1725" ref="A753"/>
    <hyperlink r:id="rId1726" ref="C753"/>
    <hyperlink r:id="rId1727" ref="A754"/>
    <hyperlink r:id="rId1728" ref="C754"/>
    <hyperlink r:id="rId1729" ref="A755"/>
    <hyperlink r:id="rId1730" ref="C755"/>
    <hyperlink r:id="rId1731" ref="A756"/>
    <hyperlink r:id="rId1732" ref="C756"/>
    <hyperlink r:id="rId1733" ref="A757"/>
    <hyperlink r:id="rId1734" ref="C757"/>
    <hyperlink r:id="rId1735" ref="A758"/>
    <hyperlink r:id="rId1736" ref="C758"/>
    <hyperlink r:id="rId1737" ref="A759"/>
    <hyperlink r:id="rId1738" ref="C759"/>
    <hyperlink r:id="rId1739" ref="E759"/>
    <hyperlink r:id="rId1740" ref="A760"/>
    <hyperlink r:id="rId1741" ref="C760"/>
    <hyperlink r:id="rId1742" ref="A761"/>
    <hyperlink r:id="rId1743" ref="C761"/>
    <hyperlink r:id="rId1744" ref="A762"/>
    <hyperlink r:id="rId1745" ref="C762"/>
    <hyperlink r:id="rId1746" ref="A763"/>
    <hyperlink r:id="rId1747" ref="C763"/>
    <hyperlink r:id="rId1748" ref="A764"/>
    <hyperlink r:id="rId1749" ref="C764"/>
    <hyperlink r:id="rId1750" ref="A765"/>
    <hyperlink r:id="rId1751" ref="C765"/>
    <hyperlink r:id="rId1752" ref="A766"/>
    <hyperlink r:id="rId1753" ref="C766"/>
    <hyperlink r:id="rId1754" ref="A767"/>
    <hyperlink r:id="rId1755" ref="C767"/>
    <hyperlink r:id="rId1756" ref="A768"/>
    <hyperlink r:id="rId1757" ref="C768"/>
    <hyperlink r:id="rId1758" ref="A769"/>
    <hyperlink r:id="rId1759" ref="C769"/>
    <hyperlink r:id="rId1760" ref="A770"/>
    <hyperlink r:id="rId1761" ref="C770"/>
    <hyperlink r:id="rId1762" ref="A771"/>
    <hyperlink r:id="rId1763" ref="C771"/>
    <hyperlink r:id="rId1764" ref="A772"/>
    <hyperlink r:id="rId1765" ref="A773"/>
    <hyperlink r:id="rId1766" ref="A774"/>
    <hyperlink r:id="rId1767" ref="C774"/>
    <hyperlink r:id="rId1768" ref="A775"/>
    <hyperlink r:id="rId1769" ref="C775"/>
    <hyperlink r:id="rId1770" ref="A776"/>
    <hyperlink r:id="rId1771" ref="A777"/>
    <hyperlink r:id="rId1772" ref="C777"/>
    <hyperlink r:id="rId1773" ref="A778"/>
    <hyperlink r:id="rId1774" ref="C778"/>
    <hyperlink r:id="rId1775" ref="E778"/>
    <hyperlink r:id="rId1776" ref="A779"/>
    <hyperlink r:id="rId1777" ref="A780"/>
    <hyperlink r:id="rId1778" ref="A781"/>
    <hyperlink r:id="rId1779" ref="C781"/>
    <hyperlink r:id="rId1780" ref="A782"/>
    <hyperlink r:id="rId1781" ref="C782"/>
    <hyperlink r:id="rId1782" ref="A783"/>
    <hyperlink r:id="rId1783" ref="C783"/>
    <hyperlink r:id="rId1784" ref="E783"/>
    <hyperlink r:id="rId1785" ref="A784"/>
    <hyperlink r:id="rId1786" ref="A785"/>
    <hyperlink r:id="rId1787" ref="A786"/>
    <hyperlink r:id="rId1788" ref="C786"/>
    <hyperlink r:id="rId1789" ref="A787"/>
    <hyperlink r:id="rId1790" ref="A788"/>
    <hyperlink r:id="rId1791" ref="C788"/>
    <hyperlink r:id="rId1792" ref="A789"/>
    <hyperlink r:id="rId1793" ref="C789"/>
    <hyperlink r:id="rId1794" ref="A790"/>
    <hyperlink r:id="rId1795" ref="C790"/>
    <hyperlink r:id="rId1796" ref="A791"/>
    <hyperlink r:id="rId1797" ref="C791"/>
    <hyperlink r:id="rId1798" ref="A792"/>
    <hyperlink r:id="rId1799" ref="C792"/>
    <hyperlink r:id="rId1800" ref="A793"/>
    <hyperlink r:id="rId1801" ref="C793"/>
    <hyperlink r:id="rId1802" ref="A794"/>
    <hyperlink r:id="rId1803" ref="C794"/>
    <hyperlink r:id="rId1804" ref="A795"/>
    <hyperlink r:id="rId1805" ref="C795"/>
    <hyperlink r:id="rId1806" ref="A796"/>
    <hyperlink r:id="rId1807" ref="C796"/>
    <hyperlink r:id="rId1808" ref="A797"/>
    <hyperlink r:id="rId1809" ref="C797"/>
    <hyperlink r:id="rId1810" ref="A798"/>
    <hyperlink r:id="rId1811" ref="C798"/>
    <hyperlink r:id="rId1812" ref="A799"/>
    <hyperlink r:id="rId1813" ref="C799"/>
    <hyperlink r:id="rId1814" ref="A800"/>
    <hyperlink r:id="rId1815" ref="C800"/>
    <hyperlink r:id="rId1816" ref="A801"/>
    <hyperlink r:id="rId1817" ref="C801"/>
    <hyperlink r:id="rId1818" ref="A802"/>
    <hyperlink r:id="rId1819" ref="C802"/>
    <hyperlink r:id="rId1820" ref="A803"/>
    <hyperlink r:id="rId1821" ref="C803"/>
    <hyperlink r:id="rId1822" ref="A804"/>
    <hyperlink r:id="rId1823" ref="C804"/>
    <hyperlink r:id="rId1824" ref="A805"/>
    <hyperlink r:id="rId1825" ref="C805"/>
    <hyperlink r:id="rId1826" ref="A806"/>
    <hyperlink r:id="rId1827" ref="C806"/>
    <hyperlink r:id="rId1828" ref="A807"/>
    <hyperlink r:id="rId1829" ref="C807"/>
    <hyperlink r:id="rId1830" ref="A808"/>
    <hyperlink r:id="rId1831" ref="C808"/>
    <hyperlink r:id="rId1832" ref="A809"/>
    <hyperlink r:id="rId1833" ref="C809"/>
    <hyperlink r:id="rId1834" ref="A810"/>
    <hyperlink r:id="rId1835" ref="C810"/>
    <hyperlink r:id="rId1836" ref="A811"/>
    <hyperlink r:id="rId1837" ref="C811"/>
    <hyperlink r:id="rId1838" ref="A812"/>
    <hyperlink r:id="rId1839" ref="C812"/>
    <hyperlink r:id="rId1840" ref="A813"/>
    <hyperlink r:id="rId1841" ref="C813"/>
    <hyperlink r:id="rId1842" ref="E813"/>
    <hyperlink r:id="rId1843" ref="A814"/>
    <hyperlink r:id="rId1844" ref="C814"/>
    <hyperlink r:id="rId1845" ref="A815"/>
    <hyperlink r:id="rId1846" ref="C815"/>
    <hyperlink r:id="rId1847" ref="A816"/>
    <hyperlink r:id="rId1848" ref="C816"/>
    <hyperlink r:id="rId1849" ref="A817"/>
    <hyperlink r:id="rId1850" ref="C817"/>
    <hyperlink r:id="rId1851" ref="A818"/>
    <hyperlink r:id="rId1852" ref="C818"/>
    <hyperlink r:id="rId1853" ref="A819"/>
    <hyperlink r:id="rId1854" ref="C819"/>
    <hyperlink r:id="rId1855" ref="A820"/>
    <hyperlink r:id="rId1856" ref="C820"/>
    <hyperlink r:id="rId1857" ref="A821"/>
    <hyperlink r:id="rId1858" ref="C821"/>
    <hyperlink r:id="rId1859" ref="E821"/>
    <hyperlink r:id="rId1860" ref="A822"/>
    <hyperlink r:id="rId1861" ref="C822"/>
    <hyperlink r:id="rId1862" ref="A823"/>
    <hyperlink r:id="rId1863" ref="C823"/>
    <hyperlink r:id="rId1864" ref="A824"/>
    <hyperlink r:id="rId1865" ref="E824"/>
    <hyperlink r:id="rId1866" ref="A825"/>
    <hyperlink r:id="rId1867" ref="C825"/>
    <hyperlink r:id="rId1868" ref="A826"/>
    <hyperlink r:id="rId1869" ref="C826"/>
    <hyperlink r:id="rId1870" ref="A827"/>
    <hyperlink r:id="rId1871" ref="C827"/>
    <hyperlink r:id="rId1872" ref="A828"/>
    <hyperlink r:id="rId1873" ref="C828"/>
    <hyperlink r:id="rId1874" ref="E828"/>
    <hyperlink r:id="rId1875" ref="A829"/>
    <hyperlink r:id="rId1876" ref="C829"/>
    <hyperlink r:id="rId1877" ref="A830"/>
    <hyperlink r:id="rId1878" ref="C830"/>
    <hyperlink r:id="rId1879" ref="A831"/>
    <hyperlink r:id="rId1880" ref="C831"/>
    <hyperlink r:id="rId1881" ref="A832"/>
    <hyperlink r:id="rId1882" ref="C832"/>
    <hyperlink r:id="rId1883" ref="A833"/>
    <hyperlink r:id="rId1884" ref="C833"/>
    <hyperlink r:id="rId1885" ref="A834"/>
    <hyperlink r:id="rId1886" ref="C834"/>
    <hyperlink r:id="rId1887" ref="A835"/>
    <hyperlink r:id="rId1888" ref="C835"/>
    <hyperlink r:id="rId1889" ref="A836"/>
    <hyperlink r:id="rId1890" ref="C836"/>
    <hyperlink r:id="rId1891" ref="A837"/>
    <hyperlink r:id="rId1892" ref="C837"/>
    <hyperlink r:id="rId1893" ref="A838"/>
    <hyperlink r:id="rId1894" ref="C838"/>
    <hyperlink r:id="rId1895" ref="A839"/>
    <hyperlink r:id="rId1896" ref="C839"/>
    <hyperlink r:id="rId1897" ref="A840"/>
    <hyperlink r:id="rId1898" ref="C840"/>
    <hyperlink r:id="rId1899" ref="A841"/>
    <hyperlink r:id="rId1900" ref="C841"/>
    <hyperlink r:id="rId1901" ref="A842"/>
    <hyperlink r:id="rId1902" ref="C842"/>
    <hyperlink r:id="rId1903" ref="A843"/>
    <hyperlink r:id="rId1904" ref="C843"/>
    <hyperlink r:id="rId1905" ref="A844"/>
    <hyperlink r:id="rId1906" ref="C844"/>
    <hyperlink r:id="rId1907" ref="A845"/>
    <hyperlink r:id="rId1908" ref="C845"/>
    <hyperlink r:id="rId1909" ref="A846"/>
    <hyperlink r:id="rId1910" ref="C846"/>
    <hyperlink r:id="rId1911" ref="A847"/>
    <hyperlink r:id="rId1912" ref="C847"/>
    <hyperlink r:id="rId1913" ref="A848"/>
    <hyperlink r:id="rId1914" ref="C848"/>
    <hyperlink r:id="rId1915" ref="A849"/>
    <hyperlink r:id="rId1916" ref="C849"/>
    <hyperlink r:id="rId1917" ref="A850"/>
    <hyperlink r:id="rId1918" ref="C850"/>
    <hyperlink r:id="rId1919" ref="A851"/>
    <hyperlink r:id="rId1920" ref="C851"/>
    <hyperlink r:id="rId1921" ref="A852"/>
    <hyperlink r:id="rId1922" ref="C852"/>
    <hyperlink r:id="rId1923" ref="A853"/>
    <hyperlink r:id="rId1924" ref="C853"/>
    <hyperlink r:id="rId1925" ref="A854"/>
    <hyperlink r:id="rId1926" ref="C854"/>
    <hyperlink r:id="rId1927" ref="A855"/>
    <hyperlink r:id="rId1928" ref="C855"/>
    <hyperlink r:id="rId1929" ref="A856"/>
    <hyperlink r:id="rId1930" ref="C856"/>
    <hyperlink r:id="rId1931" ref="A857"/>
    <hyperlink r:id="rId1932" ref="C857"/>
    <hyperlink r:id="rId1933" ref="A858"/>
    <hyperlink r:id="rId1934" ref="C858"/>
    <hyperlink r:id="rId1935" ref="A859"/>
    <hyperlink r:id="rId1936" ref="C859"/>
    <hyperlink r:id="rId1937" ref="A860"/>
    <hyperlink r:id="rId1938" ref="C860"/>
    <hyperlink r:id="rId1939" ref="A861"/>
    <hyperlink r:id="rId1940" ref="C861"/>
    <hyperlink r:id="rId1941" ref="A862"/>
    <hyperlink r:id="rId1942" ref="C862"/>
    <hyperlink r:id="rId1943" ref="A863"/>
    <hyperlink r:id="rId1944" ref="C863"/>
    <hyperlink r:id="rId1945" ref="A864"/>
    <hyperlink r:id="rId1946" ref="C864"/>
    <hyperlink r:id="rId1947" ref="A865"/>
    <hyperlink r:id="rId1948" ref="C865"/>
    <hyperlink r:id="rId1949" ref="A866"/>
    <hyperlink r:id="rId1950" ref="C866"/>
    <hyperlink r:id="rId1951" ref="A867"/>
    <hyperlink r:id="rId1952" ref="C867"/>
    <hyperlink r:id="rId1953" ref="A868"/>
    <hyperlink r:id="rId1954" ref="C868"/>
    <hyperlink r:id="rId1955" ref="A869"/>
    <hyperlink r:id="rId1956" ref="C869"/>
    <hyperlink r:id="rId1957" ref="A870"/>
    <hyperlink r:id="rId1958" ref="C870"/>
    <hyperlink r:id="rId1959" ref="A871"/>
    <hyperlink r:id="rId1960" ref="C871"/>
    <hyperlink r:id="rId1961" ref="A872"/>
    <hyperlink r:id="rId1962" ref="A873"/>
    <hyperlink r:id="rId1963" ref="A874"/>
    <hyperlink r:id="rId1964" ref="A875"/>
    <hyperlink r:id="rId1965" ref="C875"/>
    <hyperlink r:id="rId1966" ref="A876"/>
    <hyperlink r:id="rId1967" ref="C876"/>
    <hyperlink r:id="rId1968" ref="A877"/>
    <hyperlink r:id="rId1969" ref="C877"/>
    <hyperlink r:id="rId1970" ref="A878"/>
    <hyperlink r:id="rId1971" ref="A879"/>
    <hyperlink r:id="rId1972" ref="C879"/>
    <hyperlink r:id="rId1973" ref="A880"/>
    <hyperlink r:id="rId1974" ref="A881"/>
    <hyperlink r:id="rId1975" ref="C881"/>
    <hyperlink r:id="rId1976" ref="A882"/>
    <hyperlink r:id="rId1977" ref="A883"/>
    <hyperlink r:id="rId1978" ref="C883"/>
    <hyperlink r:id="rId1979" ref="A884"/>
    <hyperlink r:id="rId1980" ref="C884"/>
    <hyperlink r:id="rId1981" ref="E884"/>
    <hyperlink r:id="rId1982" ref="A885"/>
    <hyperlink r:id="rId1983" ref="C885"/>
    <hyperlink r:id="rId1984" ref="A886"/>
    <hyperlink r:id="rId1985" ref="C886"/>
    <hyperlink r:id="rId1986" ref="A887"/>
    <hyperlink r:id="rId1987" ref="C887"/>
    <hyperlink r:id="rId1988" ref="E887"/>
    <hyperlink r:id="rId1989" ref="A888"/>
    <hyperlink r:id="rId1990" ref="C888"/>
    <hyperlink r:id="rId1991" ref="E888"/>
    <hyperlink r:id="rId1992" ref="A889"/>
    <hyperlink r:id="rId1993" ref="C889"/>
    <hyperlink r:id="rId1994" ref="E889"/>
    <hyperlink r:id="rId1995" ref="A890"/>
    <hyperlink r:id="rId1996" ref="C890"/>
    <hyperlink r:id="rId1997" ref="E890"/>
    <hyperlink r:id="rId1998" ref="A891"/>
    <hyperlink r:id="rId1999" ref="C891"/>
    <hyperlink r:id="rId2000" ref="A892"/>
    <hyperlink r:id="rId2001" ref="C892"/>
    <hyperlink r:id="rId2002" ref="E892"/>
    <hyperlink r:id="rId2003" ref="A893"/>
    <hyperlink r:id="rId2004" ref="C893"/>
    <hyperlink r:id="rId2005" ref="A894"/>
    <hyperlink r:id="rId2006" ref="C894"/>
    <hyperlink r:id="rId2007" ref="A895"/>
    <hyperlink r:id="rId2008" ref="C895"/>
    <hyperlink r:id="rId2009" ref="A896"/>
    <hyperlink r:id="rId2010" ref="C896"/>
    <hyperlink r:id="rId2011" ref="A897"/>
    <hyperlink r:id="rId2012" ref="C897"/>
    <hyperlink r:id="rId2013" ref="A898"/>
    <hyperlink r:id="rId2014" ref="C898"/>
    <hyperlink r:id="rId2015" ref="E898"/>
    <hyperlink r:id="rId2016" ref="A899"/>
    <hyperlink r:id="rId2017" ref="C899"/>
    <hyperlink r:id="rId2018" ref="E899"/>
    <hyperlink r:id="rId2019" ref="A900"/>
    <hyperlink r:id="rId2020" ref="C900"/>
    <hyperlink r:id="rId2021" ref="A901"/>
    <hyperlink r:id="rId2022" ref="C901"/>
    <hyperlink r:id="rId2023" ref="A902"/>
    <hyperlink r:id="rId2024" ref="C902"/>
    <hyperlink r:id="rId2025" ref="A903"/>
    <hyperlink r:id="rId2026" ref="C903"/>
    <hyperlink r:id="rId2027" ref="E903"/>
    <hyperlink r:id="rId2028" ref="A904"/>
    <hyperlink r:id="rId2029" ref="C904"/>
    <hyperlink r:id="rId2030" ref="E904"/>
    <hyperlink r:id="rId2031" ref="A905"/>
    <hyperlink r:id="rId2032" ref="C905"/>
    <hyperlink r:id="rId2033" ref="E905"/>
    <hyperlink r:id="rId2034" ref="A906"/>
    <hyperlink r:id="rId2035" ref="C906"/>
    <hyperlink r:id="rId2036" ref="A907"/>
    <hyperlink r:id="rId2037" ref="C907"/>
    <hyperlink r:id="rId2038" ref="A908"/>
    <hyperlink r:id="rId2039" ref="C908"/>
    <hyperlink r:id="rId2040" ref="A909"/>
    <hyperlink r:id="rId2041" ref="C909"/>
    <hyperlink r:id="rId2042" ref="E909"/>
    <hyperlink r:id="rId2043" ref="A910"/>
    <hyperlink r:id="rId2044" ref="C910"/>
    <hyperlink r:id="rId2045" ref="A911"/>
    <hyperlink r:id="rId2046" ref="C911"/>
    <hyperlink r:id="rId2047" ref="E911"/>
    <hyperlink r:id="rId2048" ref="A912"/>
    <hyperlink r:id="rId2049" ref="C912"/>
    <hyperlink r:id="rId2050" ref="A913"/>
    <hyperlink r:id="rId2051" ref="C913"/>
    <hyperlink r:id="rId2052" ref="A914"/>
    <hyperlink r:id="rId2053" ref="C914"/>
    <hyperlink r:id="rId2054" ref="A915"/>
    <hyperlink r:id="rId2055" ref="C915"/>
    <hyperlink r:id="rId2056" ref="E915"/>
    <hyperlink r:id="rId2057" ref="A916"/>
    <hyperlink r:id="rId2058" ref="C916"/>
    <hyperlink r:id="rId2059" ref="A917"/>
    <hyperlink r:id="rId2060" ref="C917"/>
    <hyperlink r:id="rId2061" ref="A918"/>
    <hyperlink r:id="rId2062" ref="C918"/>
    <hyperlink r:id="rId2063" ref="E918"/>
    <hyperlink r:id="rId2064" ref="A919"/>
    <hyperlink r:id="rId2065" ref="C919"/>
    <hyperlink r:id="rId2066" ref="E919"/>
    <hyperlink r:id="rId2067" ref="A920"/>
    <hyperlink r:id="rId2068" ref="C920"/>
    <hyperlink r:id="rId2069" ref="A921"/>
    <hyperlink r:id="rId2070" ref="C921"/>
    <hyperlink r:id="rId2071" ref="A922"/>
    <hyperlink r:id="rId2072" ref="C922"/>
    <hyperlink r:id="rId2073" ref="A923"/>
    <hyperlink r:id="rId2074" ref="C923"/>
    <hyperlink r:id="rId2075" ref="E923"/>
    <hyperlink r:id="rId2076" ref="A924"/>
    <hyperlink r:id="rId2077" ref="C924"/>
    <hyperlink r:id="rId2078" ref="A925"/>
    <hyperlink r:id="rId2079" ref="C925"/>
    <hyperlink r:id="rId2080" ref="A926"/>
    <hyperlink r:id="rId2081" ref="C926"/>
    <hyperlink r:id="rId2082" ref="A927"/>
    <hyperlink r:id="rId2083" ref="C927"/>
    <hyperlink r:id="rId2084" ref="E927"/>
    <hyperlink r:id="rId2085" ref="A928"/>
    <hyperlink r:id="rId2086" ref="C928"/>
    <hyperlink r:id="rId2087" ref="E928"/>
    <hyperlink r:id="rId2088" ref="A929"/>
    <hyperlink r:id="rId2089" ref="C929"/>
    <hyperlink r:id="rId2090" ref="A930"/>
    <hyperlink r:id="rId2091" ref="C930"/>
    <hyperlink r:id="rId2092" ref="A931"/>
    <hyperlink r:id="rId2093" ref="C931"/>
    <hyperlink r:id="rId2094" ref="A932"/>
    <hyperlink r:id="rId2095" ref="C932"/>
    <hyperlink r:id="rId2096" ref="E932"/>
    <hyperlink r:id="rId2097" ref="A933"/>
    <hyperlink r:id="rId2098" ref="C933"/>
    <hyperlink r:id="rId2099" ref="E933"/>
    <hyperlink r:id="rId2100" ref="A934"/>
    <hyperlink r:id="rId2101" ref="C934"/>
    <hyperlink r:id="rId2102" ref="A935"/>
    <hyperlink r:id="rId2103" ref="C935"/>
    <hyperlink r:id="rId2104" ref="A936"/>
    <hyperlink r:id="rId2105" ref="C936"/>
    <hyperlink r:id="rId2106" ref="A937"/>
    <hyperlink r:id="rId2107" ref="C937"/>
    <hyperlink r:id="rId2108" ref="E937"/>
    <hyperlink r:id="rId2109" ref="A938"/>
    <hyperlink r:id="rId2110" ref="C938"/>
    <hyperlink r:id="rId2111" ref="A939"/>
    <hyperlink r:id="rId2112" ref="C939"/>
    <hyperlink r:id="rId2113" ref="A940"/>
    <hyperlink r:id="rId2114" ref="C940"/>
    <hyperlink r:id="rId2115" ref="A941"/>
    <hyperlink r:id="rId2116" ref="C941"/>
    <hyperlink r:id="rId2117" ref="A942"/>
    <hyperlink r:id="rId2118" ref="C942"/>
    <hyperlink r:id="rId2119" ref="E942"/>
    <hyperlink r:id="rId2120" ref="A943"/>
    <hyperlink r:id="rId2121" ref="C943"/>
    <hyperlink r:id="rId2122" ref="E943"/>
    <hyperlink r:id="rId2123" ref="A944"/>
    <hyperlink r:id="rId2124" ref="C944"/>
    <hyperlink r:id="rId2125" ref="E944"/>
    <hyperlink r:id="rId2126" ref="A945"/>
    <hyperlink r:id="rId2127" ref="C945"/>
    <hyperlink r:id="rId2128" ref="A946"/>
    <hyperlink r:id="rId2129" ref="C946"/>
    <hyperlink r:id="rId2130" ref="E946"/>
    <hyperlink r:id="rId2131" ref="A947"/>
    <hyperlink r:id="rId2132" ref="C947"/>
    <hyperlink r:id="rId2133" ref="E947"/>
    <hyperlink r:id="rId2134" ref="A948"/>
    <hyperlink r:id="rId2135" ref="C948"/>
    <hyperlink r:id="rId2136" ref="A949"/>
    <hyperlink r:id="rId2137" ref="C949"/>
    <hyperlink r:id="rId2138" ref="E949"/>
    <hyperlink r:id="rId2139" ref="A950"/>
    <hyperlink r:id="rId2140" ref="C950"/>
    <hyperlink r:id="rId2141" ref="A951"/>
    <hyperlink r:id="rId2142" ref="C951"/>
    <hyperlink r:id="rId2143" ref="E951"/>
    <hyperlink r:id="rId2144" ref="A952"/>
    <hyperlink r:id="rId2145" ref="C952"/>
    <hyperlink r:id="rId2146" ref="A953"/>
    <hyperlink r:id="rId2147" ref="C953"/>
    <hyperlink r:id="rId2148" ref="E953"/>
    <hyperlink r:id="rId2149" ref="A954"/>
    <hyperlink r:id="rId2150" ref="C954"/>
    <hyperlink r:id="rId2151" ref="A955"/>
    <hyperlink r:id="rId2152" ref="C955"/>
    <hyperlink r:id="rId2153" ref="A956"/>
    <hyperlink r:id="rId2154" ref="C956"/>
    <hyperlink r:id="rId2155" ref="A957"/>
    <hyperlink r:id="rId2156" ref="C957"/>
    <hyperlink r:id="rId2157" ref="E957"/>
    <hyperlink r:id="rId2158" ref="A958"/>
    <hyperlink r:id="rId2159" ref="C958"/>
    <hyperlink r:id="rId2160" ref="A959"/>
    <hyperlink r:id="rId2161" ref="C959"/>
    <hyperlink r:id="rId2162" ref="A960"/>
    <hyperlink r:id="rId2163" ref="C960"/>
    <hyperlink r:id="rId2164" ref="A961"/>
    <hyperlink r:id="rId2165" ref="C961"/>
    <hyperlink r:id="rId2166" ref="A962"/>
    <hyperlink r:id="rId2167" ref="C962"/>
    <hyperlink r:id="rId2168" ref="A963"/>
    <hyperlink r:id="rId2169" ref="C963"/>
    <hyperlink r:id="rId2170" ref="A964"/>
    <hyperlink r:id="rId2171" ref="C964"/>
    <hyperlink r:id="rId2172" ref="A965"/>
    <hyperlink r:id="rId2173" ref="C965"/>
    <hyperlink r:id="rId2174" ref="E965"/>
    <hyperlink r:id="rId2175" ref="A966"/>
    <hyperlink r:id="rId2176" ref="C966"/>
    <hyperlink r:id="rId2177" ref="E966"/>
    <hyperlink r:id="rId2178" ref="A967"/>
    <hyperlink r:id="rId2179" ref="C967"/>
    <hyperlink r:id="rId2180" ref="A968"/>
    <hyperlink r:id="rId2181" ref="C968"/>
    <hyperlink r:id="rId2182" ref="A969"/>
    <hyperlink r:id="rId2183" ref="C969"/>
    <hyperlink r:id="rId2184" ref="A970"/>
    <hyperlink r:id="rId2185" ref="C970"/>
    <hyperlink r:id="rId2186" ref="A971"/>
    <hyperlink r:id="rId2187" ref="C971"/>
    <hyperlink r:id="rId2188" ref="A972"/>
    <hyperlink r:id="rId2189" ref="C972"/>
    <hyperlink r:id="rId2190" ref="A973"/>
    <hyperlink r:id="rId2191" ref="C973"/>
    <hyperlink r:id="rId2192" ref="A974"/>
    <hyperlink r:id="rId2193" ref="C974"/>
    <hyperlink r:id="rId2194" ref="A975"/>
    <hyperlink r:id="rId2195" ref="C975"/>
    <hyperlink r:id="rId2196" ref="E975"/>
    <hyperlink r:id="rId2197" ref="A976"/>
    <hyperlink r:id="rId2198" ref="C976"/>
    <hyperlink r:id="rId2199" ref="A977"/>
    <hyperlink r:id="rId2200" ref="C977"/>
    <hyperlink r:id="rId2201" ref="A978"/>
    <hyperlink r:id="rId2202" ref="C978"/>
    <hyperlink r:id="rId2203" ref="E978"/>
    <hyperlink r:id="rId2204" ref="A979"/>
    <hyperlink r:id="rId2205" ref="C979"/>
    <hyperlink r:id="rId2206" ref="A980"/>
    <hyperlink r:id="rId2207" ref="C980"/>
    <hyperlink r:id="rId2208" ref="A981"/>
    <hyperlink r:id="rId2209" ref="C981"/>
    <hyperlink r:id="rId2210" ref="A982"/>
    <hyperlink r:id="rId2211" ref="C982"/>
    <hyperlink r:id="rId2212" ref="A983"/>
    <hyperlink r:id="rId2213" ref="C983"/>
    <hyperlink r:id="rId2214" ref="E983"/>
    <hyperlink r:id="rId2215" ref="A984"/>
    <hyperlink r:id="rId2216" ref="C984"/>
    <hyperlink r:id="rId2217" ref="E984"/>
    <hyperlink r:id="rId2218" ref="A985"/>
    <hyperlink r:id="rId2219" ref="C985"/>
    <hyperlink r:id="rId2220" ref="E985"/>
    <hyperlink r:id="rId2221" ref="A986"/>
    <hyperlink r:id="rId2222" ref="C986"/>
    <hyperlink r:id="rId2223" ref="A987"/>
    <hyperlink r:id="rId2224" ref="C987"/>
    <hyperlink r:id="rId2225" ref="A988"/>
    <hyperlink r:id="rId2226" ref="C988"/>
    <hyperlink r:id="rId2227" ref="E988"/>
    <hyperlink r:id="rId2228" ref="A989"/>
    <hyperlink r:id="rId2229" ref="C989"/>
    <hyperlink r:id="rId2230" ref="E989"/>
    <hyperlink r:id="rId2231" ref="A990"/>
    <hyperlink r:id="rId2232" ref="C990"/>
    <hyperlink r:id="rId2233" ref="A991"/>
    <hyperlink r:id="rId2234" ref="C991"/>
    <hyperlink r:id="rId2235" ref="A992"/>
    <hyperlink r:id="rId2236" ref="C992"/>
    <hyperlink r:id="rId2237" ref="E992"/>
    <hyperlink r:id="rId2238" ref="A993"/>
    <hyperlink r:id="rId2239" ref="C993"/>
    <hyperlink r:id="rId2240" ref="A994"/>
    <hyperlink r:id="rId2241" ref="C994"/>
    <hyperlink r:id="rId2242" ref="A995"/>
    <hyperlink r:id="rId2243" ref="C995"/>
    <hyperlink r:id="rId2244" ref="A996"/>
    <hyperlink r:id="rId2245" ref="C996"/>
    <hyperlink r:id="rId2246" ref="A997"/>
    <hyperlink r:id="rId2247" ref="C997"/>
    <hyperlink r:id="rId2248" ref="E997"/>
    <hyperlink r:id="rId2249" ref="A998"/>
    <hyperlink r:id="rId2250" ref="C998"/>
    <hyperlink r:id="rId2251" ref="E998"/>
    <hyperlink r:id="rId2252" ref="A999"/>
    <hyperlink r:id="rId2253" ref="C999"/>
    <hyperlink r:id="rId2254" ref="E999"/>
    <hyperlink r:id="rId2255" ref="A1000"/>
    <hyperlink r:id="rId2256" ref="C1000"/>
    <hyperlink r:id="rId2257" ref="A1001"/>
    <hyperlink r:id="rId2258" ref="C1001"/>
    <hyperlink r:id="rId2259" ref="E1001"/>
    <hyperlink r:id="rId2260" ref="A1002"/>
    <hyperlink r:id="rId2261" ref="C1002"/>
    <hyperlink r:id="rId2262" ref="E1002"/>
    <hyperlink r:id="rId2263" ref="A1003"/>
    <hyperlink r:id="rId2264" ref="C1003"/>
    <hyperlink r:id="rId2265" ref="E1003"/>
    <hyperlink r:id="rId2266" ref="A1004"/>
    <hyperlink r:id="rId2267" ref="C1004"/>
    <hyperlink r:id="rId2268" ref="E1004"/>
    <hyperlink r:id="rId2269" ref="A1005"/>
    <hyperlink r:id="rId2270" ref="C1005"/>
    <hyperlink r:id="rId2271" ref="A1006"/>
    <hyperlink r:id="rId2272" ref="C1006"/>
    <hyperlink r:id="rId2273" ref="E1006"/>
    <hyperlink r:id="rId2274" ref="A1007"/>
    <hyperlink r:id="rId2275" ref="C1007"/>
    <hyperlink r:id="rId2276" ref="A1008"/>
    <hyperlink r:id="rId2277" ref="C1008"/>
    <hyperlink r:id="rId2278" ref="E1008"/>
    <hyperlink r:id="rId2279" ref="A1009"/>
    <hyperlink r:id="rId2280" ref="C1009"/>
    <hyperlink r:id="rId2281" ref="A1010"/>
    <hyperlink r:id="rId2282" ref="C1010"/>
    <hyperlink r:id="rId2283" ref="A1011"/>
    <hyperlink r:id="rId2284" ref="C1011"/>
    <hyperlink r:id="rId2285" ref="A1012"/>
    <hyperlink r:id="rId2286" ref="C1012"/>
    <hyperlink r:id="rId2287" ref="E1012"/>
    <hyperlink r:id="rId2288" ref="A1013"/>
    <hyperlink r:id="rId2289" ref="C1013"/>
    <hyperlink r:id="rId2290" ref="A1014"/>
    <hyperlink r:id="rId2291" ref="C1014"/>
    <hyperlink r:id="rId2292" ref="A1015"/>
    <hyperlink r:id="rId2293" ref="C1015"/>
    <hyperlink r:id="rId2294" ref="E1015"/>
    <hyperlink r:id="rId2295" ref="A1016"/>
    <hyperlink r:id="rId2296" ref="C1016"/>
    <hyperlink r:id="rId2297" ref="A1017"/>
    <hyperlink r:id="rId2298" ref="C1017"/>
    <hyperlink r:id="rId2299" ref="E1017"/>
    <hyperlink r:id="rId2300" ref="A1018"/>
    <hyperlink r:id="rId2301" ref="C1018"/>
    <hyperlink r:id="rId2302" ref="E1018"/>
    <hyperlink r:id="rId2303" ref="A1019"/>
    <hyperlink r:id="rId2304" ref="C1019"/>
    <hyperlink r:id="rId2305" ref="E1019"/>
    <hyperlink r:id="rId2306" ref="A1020"/>
    <hyperlink r:id="rId2307" ref="C1020"/>
    <hyperlink r:id="rId2308" ref="A1021"/>
    <hyperlink r:id="rId2309" ref="C1021"/>
    <hyperlink r:id="rId2310" ref="E1021"/>
    <hyperlink r:id="rId2311" ref="A1022"/>
    <hyperlink r:id="rId2312" ref="C1022"/>
    <hyperlink r:id="rId2313" ref="E1022"/>
    <hyperlink r:id="rId2314" ref="A1023"/>
    <hyperlink r:id="rId2315" ref="C1023"/>
    <hyperlink r:id="rId2316" ref="E1023"/>
    <hyperlink r:id="rId2317" ref="A1024"/>
    <hyperlink r:id="rId2318" ref="C1024"/>
    <hyperlink r:id="rId2319" ref="A1025"/>
    <hyperlink r:id="rId2320" ref="C1025"/>
    <hyperlink r:id="rId2321" ref="A1026"/>
    <hyperlink r:id="rId2322" ref="C1026"/>
    <hyperlink r:id="rId2323" ref="A1027"/>
    <hyperlink r:id="rId2324" ref="C1027"/>
    <hyperlink r:id="rId2325" ref="A1028"/>
    <hyperlink r:id="rId2326" ref="C1028"/>
    <hyperlink r:id="rId2327" ref="A1029"/>
    <hyperlink r:id="rId2328" ref="C1029"/>
    <hyperlink r:id="rId2329" ref="E1029"/>
    <hyperlink r:id="rId2330" ref="A1030"/>
    <hyperlink r:id="rId2331" ref="C1030"/>
    <hyperlink r:id="rId2332" ref="A1031"/>
    <hyperlink r:id="rId2333" ref="C1031"/>
    <hyperlink r:id="rId2334" ref="A1032"/>
    <hyperlink r:id="rId2335" ref="C1032"/>
    <hyperlink r:id="rId2336" ref="A1033"/>
    <hyperlink r:id="rId2337" ref="C1033"/>
    <hyperlink r:id="rId2338" ref="A1034"/>
    <hyperlink r:id="rId2339" ref="C1034"/>
    <hyperlink r:id="rId2340" ref="E1034"/>
    <hyperlink r:id="rId2341" ref="A1035"/>
    <hyperlink r:id="rId2342" ref="C1035"/>
    <hyperlink r:id="rId2343" ref="E1035"/>
    <hyperlink r:id="rId2344" ref="A1036"/>
    <hyperlink r:id="rId2345" ref="C1036"/>
    <hyperlink r:id="rId2346" ref="A1037"/>
    <hyperlink r:id="rId2347" ref="C1037"/>
    <hyperlink r:id="rId2348" ref="A1038"/>
    <hyperlink r:id="rId2349" ref="C1038"/>
    <hyperlink r:id="rId2350" ref="A1039"/>
    <hyperlink r:id="rId2351" ref="C1039"/>
    <hyperlink r:id="rId2352" ref="E1039"/>
    <hyperlink r:id="rId2353" ref="A1040"/>
    <hyperlink r:id="rId2354" ref="C1040"/>
    <hyperlink r:id="rId2355" ref="A1041"/>
    <hyperlink r:id="rId2356" ref="C1041"/>
    <hyperlink r:id="rId2357" ref="E1041"/>
    <hyperlink r:id="rId2358" ref="A1042"/>
    <hyperlink r:id="rId2359" ref="C1042"/>
    <hyperlink r:id="rId2360" ref="A1043"/>
    <hyperlink r:id="rId2361" ref="C1043"/>
    <hyperlink r:id="rId2362" ref="A1044"/>
    <hyperlink r:id="rId2363" ref="C1044"/>
    <hyperlink r:id="rId2364" ref="E1044"/>
    <hyperlink r:id="rId2365" ref="A1045"/>
    <hyperlink r:id="rId2366" ref="C1045"/>
    <hyperlink r:id="rId2367" ref="E1045"/>
    <hyperlink r:id="rId2368" ref="A1046"/>
    <hyperlink r:id="rId2369" ref="C1046"/>
    <hyperlink r:id="rId2370" ref="A1047"/>
    <hyperlink r:id="rId2371" ref="C1047"/>
    <hyperlink r:id="rId2372" ref="A1048"/>
    <hyperlink r:id="rId2373" ref="C1048"/>
    <hyperlink r:id="rId2374" ref="E1048"/>
    <hyperlink r:id="rId2375" ref="A1049"/>
    <hyperlink r:id="rId2376" ref="C1049"/>
    <hyperlink r:id="rId2377" ref="A1050"/>
    <hyperlink r:id="rId2378" ref="C1050"/>
    <hyperlink r:id="rId2379" ref="A1051"/>
    <hyperlink r:id="rId2380" ref="C1051"/>
    <hyperlink r:id="rId2381" ref="E1051"/>
    <hyperlink r:id="rId2382" ref="A1052"/>
    <hyperlink r:id="rId2383" ref="C1052"/>
    <hyperlink r:id="rId2384" ref="E1052"/>
    <hyperlink r:id="rId2385" ref="A1053"/>
    <hyperlink r:id="rId2386" ref="C1053"/>
    <hyperlink r:id="rId2387" ref="A1054"/>
    <hyperlink r:id="rId2388" ref="C1054"/>
    <hyperlink r:id="rId2389" ref="A1055"/>
    <hyperlink r:id="rId2390" ref="C1055"/>
    <hyperlink r:id="rId2391" ref="E1055"/>
    <hyperlink r:id="rId2392" ref="A1056"/>
    <hyperlink r:id="rId2393" ref="C1056"/>
    <hyperlink r:id="rId2394" ref="E1056"/>
    <hyperlink r:id="rId2395" ref="A1057"/>
    <hyperlink r:id="rId2396" ref="C1057"/>
    <hyperlink r:id="rId2397" ref="E1057"/>
    <hyperlink r:id="rId2398" ref="A1058"/>
    <hyperlink r:id="rId2399" ref="C1058"/>
    <hyperlink r:id="rId2400" ref="E1058"/>
    <hyperlink r:id="rId2401" ref="A1059"/>
    <hyperlink r:id="rId2402" ref="C1059"/>
    <hyperlink r:id="rId2403" ref="A1060"/>
    <hyperlink r:id="rId2404" ref="C1060"/>
    <hyperlink r:id="rId2405" ref="A1061"/>
    <hyperlink r:id="rId2406" ref="C1061"/>
    <hyperlink r:id="rId2407" ref="A1062"/>
    <hyperlink r:id="rId2408" ref="C1062"/>
    <hyperlink r:id="rId2409" ref="A1063"/>
    <hyperlink r:id="rId2410" ref="C1063"/>
    <hyperlink r:id="rId2411" ref="A1064"/>
    <hyperlink r:id="rId2412" ref="C1064"/>
    <hyperlink r:id="rId2413" ref="E1064"/>
    <hyperlink r:id="rId2414" ref="A1065"/>
    <hyperlink r:id="rId2415" ref="C1065"/>
    <hyperlink r:id="rId2416" ref="A1066"/>
    <hyperlink r:id="rId2417" ref="C1066"/>
    <hyperlink r:id="rId2418" ref="E1066"/>
    <hyperlink r:id="rId2419" ref="A1067"/>
    <hyperlink r:id="rId2420" ref="C1067"/>
    <hyperlink r:id="rId2421" ref="E1067"/>
    <hyperlink r:id="rId2422" ref="A1068"/>
    <hyperlink r:id="rId2423" ref="C1068"/>
    <hyperlink r:id="rId2424" ref="E1068"/>
    <hyperlink r:id="rId2425" ref="A1069"/>
    <hyperlink r:id="rId2426" ref="C1069"/>
    <hyperlink r:id="rId2427" ref="E1069"/>
    <hyperlink r:id="rId2428" ref="A1070"/>
    <hyperlink r:id="rId2429" ref="C1070"/>
    <hyperlink r:id="rId2430" ref="E1070"/>
    <hyperlink r:id="rId2431" ref="A1071"/>
    <hyperlink r:id="rId2432" ref="C1071"/>
    <hyperlink r:id="rId2433" ref="E1071"/>
    <hyperlink r:id="rId2434" ref="A1072"/>
    <hyperlink r:id="rId2435" ref="C1072"/>
    <hyperlink r:id="rId2436" ref="E1072"/>
    <hyperlink r:id="rId2437" ref="A1073"/>
    <hyperlink r:id="rId2438" ref="C1073"/>
    <hyperlink r:id="rId2439" ref="E1073"/>
    <hyperlink r:id="rId2440" ref="A1074"/>
    <hyperlink r:id="rId2441" ref="C1074"/>
    <hyperlink r:id="rId2442" ref="E1074"/>
    <hyperlink r:id="rId2443" ref="A1075"/>
    <hyperlink r:id="rId2444" ref="C1075"/>
    <hyperlink r:id="rId2445" ref="E1075"/>
    <hyperlink r:id="rId2446" ref="A1076"/>
    <hyperlink r:id="rId2447" ref="C1076"/>
    <hyperlink r:id="rId2448" ref="A1077"/>
    <hyperlink r:id="rId2449" ref="C1077"/>
    <hyperlink r:id="rId2450" ref="E1077"/>
    <hyperlink r:id="rId2451" ref="A1078"/>
    <hyperlink r:id="rId2452" ref="C1078"/>
    <hyperlink r:id="rId2453" ref="E1078"/>
    <hyperlink r:id="rId2454" ref="A1079"/>
    <hyperlink r:id="rId2455" ref="C1079"/>
    <hyperlink r:id="rId2456" ref="E1079"/>
    <hyperlink r:id="rId2457" ref="A1080"/>
    <hyperlink r:id="rId2458" ref="C1080"/>
    <hyperlink r:id="rId2459" ref="E1080"/>
    <hyperlink r:id="rId2460" ref="A1081"/>
    <hyperlink r:id="rId2461" ref="C1081"/>
    <hyperlink r:id="rId2462" ref="A1082"/>
    <hyperlink r:id="rId2463" ref="C1082"/>
    <hyperlink r:id="rId2464" ref="E1082"/>
    <hyperlink r:id="rId2465" ref="A1083"/>
    <hyperlink r:id="rId2466" ref="C1083"/>
    <hyperlink r:id="rId2467" ref="E1083"/>
    <hyperlink r:id="rId2468" ref="A1084"/>
    <hyperlink r:id="rId2469" ref="C1084"/>
    <hyperlink r:id="rId2470" ref="A1085"/>
    <hyperlink r:id="rId2471" ref="C1085"/>
    <hyperlink r:id="rId2472" ref="A1086"/>
    <hyperlink r:id="rId2473" ref="C1086"/>
    <hyperlink r:id="rId2474" ref="A1087"/>
    <hyperlink r:id="rId2475" ref="C1087"/>
    <hyperlink r:id="rId2476" ref="A1088"/>
    <hyperlink r:id="rId2477" ref="C1088"/>
    <hyperlink r:id="rId2478" ref="A1089"/>
    <hyperlink r:id="rId2479" ref="C1089"/>
    <hyperlink r:id="rId2480" ref="A1090"/>
    <hyperlink r:id="rId2481" ref="C1090"/>
    <hyperlink r:id="rId2482" ref="A1091"/>
    <hyperlink r:id="rId2483" ref="C1091"/>
    <hyperlink r:id="rId2484" ref="A1092"/>
    <hyperlink r:id="rId2485" ref="C1092"/>
    <hyperlink r:id="rId2486" ref="A1093"/>
    <hyperlink r:id="rId2487" ref="C1093"/>
    <hyperlink r:id="rId2488" ref="A1094"/>
    <hyperlink r:id="rId2489" ref="C1094"/>
    <hyperlink r:id="rId2490" ref="A1095"/>
    <hyperlink r:id="rId2491" ref="C1095"/>
    <hyperlink r:id="rId2492" ref="A1096"/>
    <hyperlink r:id="rId2493" ref="C1096"/>
    <hyperlink r:id="rId2494" ref="A1097"/>
    <hyperlink r:id="rId2495" ref="C1097"/>
    <hyperlink r:id="rId2496" ref="A1098"/>
    <hyperlink r:id="rId2497" ref="C1098"/>
    <hyperlink r:id="rId2498" ref="A1099"/>
    <hyperlink r:id="rId2499" ref="C1099"/>
    <hyperlink r:id="rId2500" ref="A1100"/>
    <hyperlink r:id="rId2501" ref="C1100"/>
    <hyperlink r:id="rId2502" ref="A1101"/>
    <hyperlink r:id="rId2503" ref="C1101"/>
    <hyperlink r:id="rId2504" ref="A1102"/>
    <hyperlink r:id="rId2505" ref="C1102"/>
    <hyperlink r:id="rId2506" ref="A1103"/>
    <hyperlink r:id="rId2507" ref="C1103"/>
    <hyperlink r:id="rId2508" ref="A1104"/>
    <hyperlink r:id="rId2509" ref="C1104"/>
    <hyperlink r:id="rId2510" ref="A1105"/>
    <hyperlink r:id="rId2511" ref="C1105"/>
    <hyperlink r:id="rId2512" ref="E1105"/>
    <hyperlink r:id="rId2513" ref="A1106"/>
    <hyperlink r:id="rId2514" ref="C1106"/>
    <hyperlink r:id="rId2515" ref="A1107"/>
    <hyperlink r:id="rId2516" ref="C1107"/>
    <hyperlink r:id="rId2517" ref="A1108"/>
    <hyperlink r:id="rId2518" ref="C1108"/>
    <hyperlink r:id="rId2519" ref="A1109"/>
    <hyperlink r:id="rId2520" ref="C1109"/>
    <hyperlink r:id="rId2521" ref="A1110"/>
    <hyperlink r:id="rId2522" ref="C1110"/>
    <hyperlink r:id="rId2523" ref="A1111"/>
    <hyperlink r:id="rId2524" ref="C1111"/>
    <hyperlink r:id="rId2525" ref="A1112"/>
    <hyperlink r:id="rId2526" ref="C1112"/>
    <hyperlink r:id="rId2527" ref="A1113"/>
    <hyperlink r:id="rId2528" ref="C1113"/>
    <hyperlink r:id="rId2529" ref="A1114"/>
    <hyperlink r:id="rId2530" ref="C1114"/>
    <hyperlink r:id="rId2531" ref="A1115"/>
    <hyperlink r:id="rId2532" ref="C1115"/>
    <hyperlink r:id="rId2533" ref="A1116"/>
    <hyperlink r:id="rId2534" ref="C1116"/>
    <hyperlink r:id="rId2535" ref="A1117"/>
    <hyperlink r:id="rId2536" ref="C1117"/>
    <hyperlink r:id="rId2537" ref="A1118"/>
    <hyperlink r:id="rId2538" ref="C1118"/>
    <hyperlink r:id="rId2539" ref="A1119"/>
    <hyperlink r:id="rId2540" ref="C1119"/>
    <hyperlink r:id="rId2541" ref="A1120"/>
    <hyperlink r:id="rId2542" ref="C1120"/>
    <hyperlink r:id="rId2543" ref="A1121"/>
    <hyperlink r:id="rId2544" ref="C1121"/>
    <hyperlink r:id="rId2545" ref="A1122"/>
    <hyperlink r:id="rId2546" ref="E1122"/>
    <hyperlink r:id="rId2547" ref="A1123"/>
    <hyperlink r:id="rId2548" ref="C1123"/>
    <hyperlink r:id="rId2549" ref="A1124"/>
    <hyperlink r:id="rId2550" ref="C1124"/>
    <hyperlink r:id="rId2551" ref="A1125"/>
    <hyperlink r:id="rId2552" ref="C1125"/>
    <hyperlink r:id="rId2553" ref="A1126"/>
    <hyperlink r:id="rId2554" ref="C1126"/>
    <hyperlink r:id="rId2555" ref="A1127"/>
    <hyperlink r:id="rId2556" ref="C1127"/>
    <hyperlink r:id="rId2557" ref="A1128"/>
    <hyperlink r:id="rId2558" ref="C1128"/>
    <hyperlink r:id="rId2559" ref="A1129"/>
    <hyperlink r:id="rId2560" ref="C1129"/>
    <hyperlink r:id="rId2561" ref="A1130"/>
    <hyperlink r:id="rId2562" ref="C1130"/>
    <hyperlink r:id="rId2563" ref="A1131"/>
    <hyperlink r:id="rId2564" ref="C1131"/>
    <hyperlink r:id="rId2565" ref="A1132"/>
    <hyperlink r:id="rId2566" ref="C1132"/>
    <hyperlink r:id="rId2567" ref="A1133"/>
    <hyperlink r:id="rId2568" ref="C1133"/>
    <hyperlink r:id="rId2569" ref="A1134"/>
    <hyperlink r:id="rId2570" ref="C1134"/>
    <hyperlink r:id="rId2571" ref="A1135"/>
    <hyperlink r:id="rId2572" ref="C1135"/>
    <hyperlink r:id="rId2573" ref="A1136"/>
    <hyperlink r:id="rId2574" ref="C1136"/>
    <hyperlink r:id="rId2575" ref="A1137"/>
    <hyperlink r:id="rId2576" ref="C1137"/>
    <hyperlink r:id="rId2577" ref="A1138"/>
    <hyperlink r:id="rId2578" ref="C1138"/>
    <hyperlink r:id="rId2579" ref="A1139"/>
    <hyperlink r:id="rId2580" ref="C1139"/>
    <hyperlink r:id="rId2581" ref="A1140"/>
    <hyperlink r:id="rId2582" ref="C1140"/>
    <hyperlink r:id="rId2583" ref="A1141"/>
    <hyperlink r:id="rId2584" ref="C1141"/>
    <hyperlink r:id="rId2585" ref="A1142"/>
    <hyperlink r:id="rId2586" ref="C1142"/>
    <hyperlink r:id="rId2587" ref="A1143"/>
    <hyperlink r:id="rId2588" ref="C1143"/>
    <hyperlink r:id="rId2589" ref="A1144"/>
    <hyperlink r:id="rId2590" ref="C1144"/>
    <hyperlink r:id="rId2591" ref="A1145"/>
    <hyperlink r:id="rId2592" ref="C1145"/>
    <hyperlink r:id="rId2593" ref="A1146"/>
    <hyperlink r:id="rId2594" ref="C1146"/>
    <hyperlink r:id="rId2595" ref="A1147"/>
    <hyperlink r:id="rId2596" ref="C1147"/>
    <hyperlink r:id="rId2597" ref="E1147"/>
    <hyperlink r:id="rId2598" ref="A1148"/>
    <hyperlink r:id="rId2599" ref="C1148"/>
    <hyperlink r:id="rId2600" ref="E1148"/>
    <hyperlink r:id="rId2601" ref="A1149"/>
    <hyperlink r:id="rId2602" ref="C1149"/>
    <hyperlink r:id="rId2603" ref="A1150"/>
    <hyperlink r:id="rId2604" ref="C1150"/>
    <hyperlink r:id="rId2605" ref="A1151"/>
    <hyperlink r:id="rId2606" ref="C1151"/>
    <hyperlink r:id="rId2607" ref="A1152"/>
    <hyperlink r:id="rId2608" ref="C1152"/>
    <hyperlink r:id="rId2609" ref="A1153"/>
    <hyperlink r:id="rId2610" ref="C1153"/>
    <hyperlink r:id="rId2611" ref="A1154"/>
    <hyperlink r:id="rId2612" ref="C1154"/>
    <hyperlink r:id="rId2613" ref="A1155"/>
    <hyperlink r:id="rId2614" ref="C1155"/>
    <hyperlink r:id="rId2615" ref="A1156"/>
    <hyperlink r:id="rId2616" ref="C1156"/>
    <hyperlink r:id="rId2617" ref="A1157"/>
    <hyperlink r:id="rId2618" ref="C1157"/>
    <hyperlink r:id="rId2619" ref="A1158"/>
    <hyperlink r:id="rId2620" ref="C1158"/>
    <hyperlink r:id="rId2621" ref="A1159"/>
    <hyperlink r:id="rId2622" ref="C1159"/>
    <hyperlink r:id="rId2623" ref="A1160"/>
    <hyperlink r:id="rId2624" ref="C1160"/>
    <hyperlink r:id="rId2625" ref="A1161"/>
    <hyperlink r:id="rId2626" ref="C1161"/>
    <hyperlink r:id="rId2627" ref="A1162"/>
    <hyperlink r:id="rId2628" ref="C1162"/>
    <hyperlink r:id="rId2629" ref="A1163"/>
    <hyperlink r:id="rId2630" ref="C1163"/>
    <hyperlink r:id="rId2631" ref="A1164"/>
    <hyperlink r:id="rId2632" ref="C1164"/>
    <hyperlink r:id="rId2633" ref="A1165"/>
    <hyperlink r:id="rId2634" ref="C1165"/>
    <hyperlink r:id="rId2635" ref="A1166"/>
    <hyperlink r:id="rId2636" ref="C1166"/>
    <hyperlink r:id="rId2637" ref="A1167"/>
    <hyperlink r:id="rId2638" ref="C1167"/>
    <hyperlink r:id="rId2639" ref="A1168"/>
    <hyperlink r:id="rId2640" ref="C1168"/>
    <hyperlink r:id="rId2641" ref="A1169"/>
    <hyperlink r:id="rId2642" ref="C1169"/>
    <hyperlink r:id="rId2643" ref="A1170"/>
    <hyperlink r:id="rId2644" ref="C1170"/>
    <hyperlink r:id="rId2645" ref="A1171"/>
    <hyperlink r:id="rId2646" ref="C1171"/>
    <hyperlink r:id="rId2647" ref="A1172"/>
    <hyperlink r:id="rId2648" ref="C1172"/>
    <hyperlink r:id="rId2649" ref="A1173"/>
    <hyperlink r:id="rId2650" ref="C1173"/>
    <hyperlink r:id="rId2651" ref="E1173"/>
    <hyperlink r:id="rId2652" ref="A1174"/>
    <hyperlink r:id="rId2653" ref="C1174"/>
    <hyperlink r:id="rId2654" ref="A1175"/>
    <hyperlink r:id="rId2655" ref="C1175"/>
    <hyperlink r:id="rId2656" ref="A1176"/>
    <hyperlink r:id="rId2657" ref="C1176"/>
    <hyperlink r:id="rId2658" ref="A1177"/>
    <hyperlink r:id="rId2659" ref="C1177"/>
    <hyperlink r:id="rId2660" ref="A1178"/>
    <hyperlink r:id="rId2661" ref="A1179"/>
    <hyperlink r:id="rId2662" ref="C1179"/>
    <hyperlink r:id="rId2663" ref="A1180"/>
    <hyperlink r:id="rId2664" ref="C1180"/>
    <hyperlink r:id="rId2665" ref="A1181"/>
    <hyperlink r:id="rId2666" ref="C1181"/>
    <hyperlink r:id="rId2667" ref="A1182"/>
    <hyperlink r:id="rId2668" ref="C1182"/>
    <hyperlink r:id="rId2669" ref="E1182"/>
    <hyperlink r:id="rId2670" ref="A1183"/>
    <hyperlink r:id="rId2671" ref="C1183"/>
    <hyperlink r:id="rId2672" ref="E1183"/>
    <hyperlink r:id="rId2673" ref="A1184"/>
    <hyperlink r:id="rId2674" ref="C1184"/>
    <hyperlink r:id="rId2675" ref="A1185"/>
    <hyperlink r:id="rId2676" ref="C1185"/>
    <hyperlink r:id="rId2677" ref="A1186"/>
    <hyperlink r:id="rId2678" ref="C1186"/>
    <hyperlink r:id="rId2679" ref="A1187"/>
    <hyperlink r:id="rId2680" ref="C1187"/>
    <hyperlink r:id="rId2681" ref="A1188"/>
    <hyperlink r:id="rId2682" ref="C1188"/>
    <hyperlink r:id="rId2683" ref="A1189"/>
    <hyperlink r:id="rId2684" ref="C1189"/>
    <hyperlink r:id="rId2685" ref="A1190"/>
    <hyperlink r:id="rId2686" ref="C1190"/>
    <hyperlink r:id="rId2687" ref="A1191"/>
    <hyperlink r:id="rId2688" ref="C1191"/>
    <hyperlink r:id="rId2689" ref="A1192"/>
    <hyperlink r:id="rId2690" ref="C1192"/>
    <hyperlink r:id="rId2691" ref="A1193"/>
    <hyperlink r:id="rId2692" ref="C1193"/>
    <hyperlink r:id="rId2693" ref="A1194"/>
    <hyperlink r:id="rId2694" ref="C1194"/>
    <hyperlink r:id="rId2695" ref="A1195"/>
    <hyperlink r:id="rId2696" ref="C1195"/>
    <hyperlink r:id="rId2697" ref="A1196"/>
    <hyperlink r:id="rId2698" ref="C1196"/>
    <hyperlink r:id="rId2699" ref="A1197"/>
    <hyperlink r:id="rId2700" ref="C1197"/>
    <hyperlink r:id="rId2701" ref="A1198"/>
    <hyperlink r:id="rId2702" ref="C1198"/>
    <hyperlink r:id="rId2703" ref="A1199"/>
    <hyperlink r:id="rId2704" ref="C1199"/>
    <hyperlink r:id="rId2705" ref="A1200"/>
    <hyperlink r:id="rId2706" ref="C1200"/>
    <hyperlink r:id="rId2707" ref="A1201"/>
    <hyperlink r:id="rId2708" ref="C1201"/>
    <hyperlink r:id="rId2709" ref="A1202"/>
    <hyperlink r:id="rId2710" ref="C1202"/>
    <hyperlink r:id="rId2711" ref="A1203"/>
    <hyperlink r:id="rId2712" ref="C1203"/>
    <hyperlink r:id="rId2713" ref="A1204"/>
    <hyperlink r:id="rId2714" ref="C1204"/>
    <hyperlink r:id="rId2715" ref="A1205"/>
    <hyperlink r:id="rId2716" ref="C1205"/>
    <hyperlink r:id="rId2717" ref="A1206"/>
    <hyperlink r:id="rId2718" ref="C1206"/>
    <hyperlink r:id="rId2719" ref="A1207"/>
    <hyperlink r:id="rId2720" ref="C1207"/>
    <hyperlink r:id="rId2721" ref="A1208"/>
    <hyperlink r:id="rId2722" ref="C1208"/>
    <hyperlink r:id="rId2723" ref="A1209"/>
    <hyperlink r:id="rId2724" ref="C1209"/>
    <hyperlink r:id="rId2725" ref="A1210"/>
    <hyperlink r:id="rId2726" ref="C1210"/>
    <hyperlink r:id="rId2727" ref="A1211"/>
    <hyperlink r:id="rId2728" ref="C1211"/>
    <hyperlink r:id="rId2729" ref="A1212"/>
    <hyperlink r:id="rId2730" ref="C1212"/>
    <hyperlink r:id="rId2731" ref="A1213"/>
    <hyperlink r:id="rId2732" ref="C1213"/>
    <hyperlink r:id="rId2733" ref="A1214"/>
    <hyperlink r:id="rId2734" ref="C1214"/>
    <hyperlink r:id="rId2735" ref="A1215"/>
    <hyperlink r:id="rId2736" ref="C1215"/>
    <hyperlink r:id="rId2737" ref="A1216"/>
    <hyperlink r:id="rId2738" ref="C1216"/>
    <hyperlink r:id="rId2739" ref="A1217"/>
    <hyperlink r:id="rId2740" ref="C1217"/>
    <hyperlink r:id="rId2741" ref="A1218"/>
    <hyperlink r:id="rId2742" ref="C1218"/>
    <hyperlink r:id="rId2743" ref="A1219"/>
    <hyperlink r:id="rId2744" ref="C1219"/>
    <hyperlink r:id="rId2745" ref="A1220"/>
    <hyperlink r:id="rId2746" ref="C1220"/>
    <hyperlink r:id="rId2747" ref="A1221"/>
    <hyperlink r:id="rId2748" ref="C1221"/>
    <hyperlink r:id="rId2749" ref="A1222"/>
    <hyperlink r:id="rId2750" ref="C1222"/>
    <hyperlink r:id="rId2751" ref="A1223"/>
    <hyperlink r:id="rId2752" ref="C1223"/>
    <hyperlink r:id="rId2753" ref="A1224"/>
    <hyperlink r:id="rId2754" ref="C1224"/>
    <hyperlink r:id="rId2755" ref="A1225"/>
    <hyperlink r:id="rId2756" ref="C1225"/>
    <hyperlink r:id="rId2757" ref="A1226"/>
    <hyperlink r:id="rId2758" ref="C1226"/>
    <hyperlink r:id="rId2759" ref="A1227"/>
    <hyperlink r:id="rId2760" ref="C1227"/>
    <hyperlink r:id="rId2761" ref="A1228"/>
    <hyperlink r:id="rId2762" ref="C1228"/>
    <hyperlink r:id="rId2763" ref="A1229"/>
    <hyperlink r:id="rId2764" ref="C1229"/>
    <hyperlink r:id="rId2765" ref="A1230"/>
    <hyperlink r:id="rId2766" ref="C1230"/>
    <hyperlink r:id="rId2767" ref="A1231"/>
    <hyperlink r:id="rId2768" ref="C1231"/>
    <hyperlink r:id="rId2769" ref="A1232"/>
    <hyperlink r:id="rId2770" ref="C1232"/>
    <hyperlink r:id="rId2771" ref="A1233"/>
    <hyperlink r:id="rId2772" ref="C1233"/>
    <hyperlink r:id="rId2773" ref="A1234"/>
    <hyperlink r:id="rId2774" ref="C1234"/>
    <hyperlink r:id="rId2775" ref="A1235"/>
    <hyperlink r:id="rId2776" ref="C1235"/>
    <hyperlink r:id="rId2777" ref="A1236"/>
    <hyperlink r:id="rId2778" ref="C1236"/>
    <hyperlink r:id="rId2779" ref="A1237"/>
    <hyperlink r:id="rId2780" ref="C1237"/>
    <hyperlink r:id="rId2781" ref="A1238"/>
    <hyperlink r:id="rId2782" ref="C1238"/>
    <hyperlink r:id="rId2783" ref="A1239"/>
    <hyperlink r:id="rId2784" ref="C1239"/>
    <hyperlink r:id="rId2785" ref="A1240"/>
    <hyperlink r:id="rId2786" ref="C1240"/>
    <hyperlink r:id="rId2787" ref="A1241"/>
    <hyperlink r:id="rId2788" ref="C1241"/>
    <hyperlink r:id="rId2789" ref="A1242"/>
    <hyperlink r:id="rId2790" ref="C1242"/>
    <hyperlink r:id="rId2791" ref="A1243"/>
    <hyperlink r:id="rId2792" ref="C1243"/>
    <hyperlink r:id="rId2793" ref="A1244"/>
    <hyperlink r:id="rId2794" ref="C1244"/>
    <hyperlink r:id="rId2795" ref="A1245"/>
    <hyperlink r:id="rId2796" ref="C1245"/>
    <hyperlink r:id="rId2797" ref="A1246"/>
    <hyperlink r:id="rId2798" ref="C1246"/>
    <hyperlink r:id="rId2799" ref="A1247"/>
    <hyperlink r:id="rId2800" ref="C1247"/>
    <hyperlink r:id="rId2801" ref="A1248"/>
    <hyperlink r:id="rId2802" ref="C1248"/>
    <hyperlink r:id="rId2803" ref="A1249"/>
    <hyperlink r:id="rId2804" ref="C1249"/>
    <hyperlink r:id="rId2805" ref="A1250"/>
    <hyperlink r:id="rId2806" ref="C1250"/>
    <hyperlink r:id="rId2807" ref="A1251"/>
    <hyperlink r:id="rId2808" ref="C1251"/>
    <hyperlink r:id="rId2809" ref="A1252"/>
    <hyperlink r:id="rId2810" ref="C1252"/>
    <hyperlink r:id="rId2811" ref="A1253"/>
    <hyperlink r:id="rId2812" ref="C1253"/>
    <hyperlink r:id="rId2813" ref="A1254"/>
    <hyperlink r:id="rId2814" ref="C1254"/>
    <hyperlink r:id="rId2815" ref="A1255"/>
    <hyperlink r:id="rId2816" ref="C1255"/>
    <hyperlink r:id="rId2817" ref="A1256"/>
    <hyperlink r:id="rId2818" ref="C1256"/>
    <hyperlink r:id="rId2819" ref="A1257"/>
    <hyperlink r:id="rId2820" ref="C1257"/>
    <hyperlink r:id="rId2821" ref="A1258"/>
    <hyperlink r:id="rId2822" ref="C1258"/>
    <hyperlink r:id="rId2823" ref="A1259"/>
    <hyperlink r:id="rId2824" ref="C1259"/>
    <hyperlink r:id="rId2825" ref="A1260"/>
    <hyperlink r:id="rId2826" ref="C1260"/>
    <hyperlink r:id="rId2827" ref="A1261"/>
    <hyperlink r:id="rId2828" ref="C1261"/>
    <hyperlink r:id="rId2829" ref="A1262"/>
    <hyperlink r:id="rId2830" ref="C1262"/>
    <hyperlink r:id="rId2831" ref="A1263"/>
    <hyperlink r:id="rId2832" ref="C1263"/>
    <hyperlink r:id="rId2833" ref="A1264"/>
    <hyperlink r:id="rId2834" ref="C1264"/>
    <hyperlink r:id="rId2835" ref="A1265"/>
    <hyperlink r:id="rId2836" ref="C1265"/>
    <hyperlink r:id="rId2837" ref="A1266"/>
    <hyperlink r:id="rId2838" ref="C1266"/>
    <hyperlink r:id="rId2839" ref="A1267"/>
    <hyperlink r:id="rId2840" ref="C1267"/>
    <hyperlink r:id="rId2841" ref="A1268"/>
    <hyperlink r:id="rId2842" ref="C1268"/>
    <hyperlink r:id="rId2843" ref="A1269"/>
    <hyperlink r:id="rId2844" ref="C1269"/>
    <hyperlink r:id="rId2845" ref="A1270"/>
    <hyperlink r:id="rId2846" ref="C1270"/>
    <hyperlink r:id="rId2847" ref="A1271"/>
    <hyperlink r:id="rId2848" ref="C1271"/>
    <hyperlink r:id="rId2849" ref="A1272"/>
    <hyperlink r:id="rId2850" ref="C1272"/>
    <hyperlink r:id="rId2851" ref="A1273"/>
    <hyperlink r:id="rId2852" ref="C1273"/>
    <hyperlink r:id="rId2853" ref="A1274"/>
    <hyperlink r:id="rId2854" ref="C1274"/>
    <hyperlink r:id="rId2855" ref="A1275"/>
    <hyperlink r:id="rId2856" ref="C1275"/>
    <hyperlink r:id="rId2857" ref="A1276"/>
    <hyperlink r:id="rId2858" ref="C1276"/>
    <hyperlink r:id="rId2859" ref="A1277"/>
    <hyperlink r:id="rId2860" ref="C1277"/>
    <hyperlink r:id="rId2861" ref="A1278"/>
    <hyperlink r:id="rId2862" ref="C1278"/>
    <hyperlink r:id="rId2863" ref="A1279"/>
    <hyperlink r:id="rId2864" ref="C1279"/>
    <hyperlink r:id="rId2865" ref="A1280"/>
    <hyperlink r:id="rId2866" ref="A1281"/>
    <hyperlink r:id="rId2867" ref="A1282"/>
    <hyperlink r:id="rId2868" ref="A1283"/>
    <hyperlink r:id="rId2869" ref="A1284"/>
    <hyperlink r:id="rId2870" ref="A1285"/>
    <hyperlink r:id="rId2871" ref="A1286"/>
    <hyperlink r:id="rId2872" ref="C1286"/>
    <hyperlink r:id="rId2873" ref="A1287"/>
    <hyperlink r:id="rId2874" ref="C1287"/>
    <hyperlink r:id="rId2875" ref="A1288"/>
    <hyperlink r:id="rId2876" ref="C1288"/>
    <hyperlink r:id="rId2877" ref="A1289"/>
    <hyperlink r:id="rId2878" ref="C1289"/>
    <hyperlink r:id="rId2879" ref="A1290"/>
    <hyperlink r:id="rId2880" ref="C1290"/>
    <hyperlink r:id="rId2881" ref="A1291"/>
    <hyperlink r:id="rId2882" ref="C1291"/>
    <hyperlink r:id="rId2883" ref="A1292"/>
    <hyperlink r:id="rId2884" ref="C1292"/>
    <hyperlink r:id="rId2885" ref="A1293"/>
    <hyperlink r:id="rId2886" ref="C1293"/>
    <hyperlink r:id="rId2887" ref="A1294"/>
    <hyperlink r:id="rId2888" ref="C1294"/>
    <hyperlink r:id="rId2889" ref="A1295"/>
    <hyperlink r:id="rId2890" ref="C1295"/>
    <hyperlink r:id="rId2891" ref="A1296"/>
    <hyperlink r:id="rId2892" ref="C1296"/>
    <hyperlink r:id="rId2893" ref="A1297"/>
    <hyperlink r:id="rId2894" ref="C1297"/>
    <hyperlink r:id="rId2895" ref="A1298"/>
    <hyperlink r:id="rId2896" ref="C1298"/>
    <hyperlink r:id="rId2897" ref="A1299"/>
    <hyperlink r:id="rId2898" ref="C1299"/>
    <hyperlink r:id="rId2899" ref="A1300"/>
    <hyperlink r:id="rId2900" ref="C1300"/>
    <hyperlink r:id="rId2901" ref="A1301"/>
    <hyperlink r:id="rId2902" ref="C1301"/>
    <hyperlink r:id="rId2903" ref="A1302"/>
    <hyperlink r:id="rId2904" ref="C1302"/>
    <hyperlink r:id="rId2905" ref="A1303"/>
    <hyperlink r:id="rId2906" ref="E1303"/>
    <hyperlink r:id="rId2907" ref="A1304"/>
    <hyperlink r:id="rId2908" ref="C1304"/>
    <hyperlink r:id="rId2909" ref="A1305"/>
    <hyperlink r:id="rId2910" ref="C1305"/>
    <hyperlink r:id="rId2911" ref="A1306"/>
    <hyperlink r:id="rId2912" ref="C1306"/>
    <hyperlink r:id="rId2913" ref="A1307"/>
    <hyperlink r:id="rId2914" ref="C1307"/>
    <hyperlink r:id="rId2915" ref="A1308"/>
    <hyperlink r:id="rId2916" ref="C1308"/>
    <hyperlink r:id="rId2917" ref="A1309"/>
    <hyperlink r:id="rId2918" ref="C1309"/>
    <hyperlink r:id="rId2919" ref="A1310"/>
    <hyperlink r:id="rId2920" ref="C1310"/>
    <hyperlink r:id="rId2921" ref="A1311"/>
    <hyperlink r:id="rId2922" ref="C1311"/>
    <hyperlink r:id="rId2923" ref="A1312"/>
    <hyperlink r:id="rId2924" ref="C1312"/>
    <hyperlink r:id="rId2925" ref="A1313"/>
    <hyperlink r:id="rId2926" ref="C1313"/>
    <hyperlink r:id="rId2927" ref="A1314"/>
    <hyperlink r:id="rId2928" ref="C1314"/>
    <hyperlink r:id="rId2929" ref="A1315"/>
    <hyperlink r:id="rId2930" ref="C1315"/>
    <hyperlink r:id="rId2931" ref="A1316"/>
    <hyperlink r:id="rId2932" ref="C1316"/>
    <hyperlink r:id="rId2933" ref="A1317"/>
    <hyperlink r:id="rId2934" ref="C1317"/>
    <hyperlink r:id="rId2935" ref="A1318"/>
    <hyperlink r:id="rId2936" ref="C1318"/>
    <hyperlink r:id="rId2937" ref="A1319"/>
    <hyperlink r:id="rId2938" ref="C1319"/>
    <hyperlink r:id="rId2939" ref="A1320"/>
    <hyperlink r:id="rId2940" ref="C1320"/>
    <hyperlink r:id="rId2941" ref="A1321"/>
    <hyperlink r:id="rId2942" ref="C1321"/>
    <hyperlink r:id="rId2943" ref="A1322"/>
    <hyperlink r:id="rId2944" ref="C1322"/>
    <hyperlink r:id="rId2945" ref="A1323"/>
    <hyperlink r:id="rId2946" ref="C1323"/>
    <hyperlink r:id="rId2947" ref="A1324"/>
    <hyperlink r:id="rId2948" ref="C1324"/>
    <hyperlink r:id="rId2949" ref="A1325"/>
    <hyperlink r:id="rId2950" ref="C1325"/>
    <hyperlink r:id="rId2951" ref="A1326"/>
    <hyperlink r:id="rId2952" ref="C1326"/>
    <hyperlink r:id="rId2953" ref="A1327"/>
    <hyperlink r:id="rId2954" ref="C1327"/>
    <hyperlink r:id="rId2955" ref="A1328"/>
    <hyperlink r:id="rId2956" ref="C1328"/>
    <hyperlink r:id="rId2957" ref="A1329"/>
    <hyperlink r:id="rId2958" ref="C1329"/>
    <hyperlink r:id="rId2959" ref="A1330"/>
    <hyperlink r:id="rId2960" ref="C1330"/>
    <hyperlink r:id="rId2961" ref="A1331"/>
    <hyperlink r:id="rId2962" ref="C1331"/>
    <hyperlink r:id="rId2963" ref="A1332"/>
    <hyperlink r:id="rId2964" ref="C1332"/>
    <hyperlink r:id="rId2965" ref="A1333"/>
    <hyperlink r:id="rId2966" ref="C1333"/>
    <hyperlink r:id="rId2967" ref="A1334"/>
    <hyperlink r:id="rId2968" ref="C1334"/>
    <hyperlink r:id="rId2969" ref="A1335"/>
    <hyperlink r:id="rId2970" ref="C1335"/>
    <hyperlink r:id="rId2971" ref="A1336"/>
    <hyperlink r:id="rId2972" ref="C1336"/>
    <hyperlink r:id="rId2973" ref="A1337"/>
    <hyperlink r:id="rId2974" ref="C1337"/>
    <hyperlink r:id="rId2975" ref="A1338"/>
    <hyperlink r:id="rId2976" ref="C1338"/>
    <hyperlink r:id="rId2977" ref="A1339"/>
    <hyperlink r:id="rId2978" ref="C1339"/>
    <hyperlink r:id="rId2979" ref="A1340"/>
    <hyperlink r:id="rId2980" ref="C1340"/>
    <hyperlink r:id="rId2981" ref="A1341"/>
    <hyperlink r:id="rId2982" ref="C1341"/>
    <hyperlink r:id="rId2983" ref="A1342"/>
    <hyperlink r:id="rId2984" ref="C1342"/>
    <hyperlink r:id="rId2985" ref="A1343"/>
    <hyperlink r:id="rId2986" ref="C1343"/>
    <hyperlink r:id="rId2987" ref="A1344"/>
    <hyperlink r:id="rId2988" ref="C1344"/>
    <hyperlink r:id="rId2989" ref="A1345"/>
    <hyperlink r:id="rId2990" ref="C1345"/>
    <hyperlink r:id="rId2991" ref="A1346"/>
    <hyperlink r:id="rId2992" ref="C1346"/>
    <hyperlink r:id="rId2993" ref="A1347"/>
    <hyperlink r:id="rId2994" ref="C1347"/>
    <hyperlink r:id="rId2995" ref="A1348"/>
    <hyperlink r:id="rId2996" ref="C1348"/>
    <hyperlink r:id="rId2997" ref="A1349"/>
    <hyperlink r:id="rId2998" ref="C1349"/>
    <hyperlink r:id="rId2999" ref="A1350"/>
    <hyperlink r:id="rId3000" ref="C1350"/>
    <hyperlink r:id="rId3001" ref="A1351"/>
    <hyperlink r:id="rId3002" ref="A1352"/>
    <hyperlink r:id="rId3003" ref="A1353"/>
    <hyperlink r:id="rId3004" ref="A1354"/>
    <hyperlink r:id="rId3005" ref="C1354"/>
    <hyperlink r:id="rId3006" ref="A1355"/>
    <hyperlink r:id="rId3007" ref="A1356"/>
    <hyperlink r:id="rId3008" ref="A1357"/>
    <hyperlink r:id="rId3009" ref="C1357"/>
    <hyperlink r:id="rId3010" ref="A1358"/>
    <hyperlink r:id="rId3011" ref="C1358"/>
    <hyperlink r:id="rId3012" ref="A1359"/>
    <hyperlink r:id="rId3013" ref="C1359"/>
    <hyperlink r:id="rId3014" ref="A1360"/>
    <hyperlink r:id="rId3015" ref="A1361"/>
    <hyperlink r:id="rId3016" ref="C1361"/>
    <hyperlink r:id="rId3017" ref="A1362"/>
    <hyperlink r:id="rId3018" ref="C1362"/>
    <hyperlink r:id="rId3019" ref="A1363"/>
    <hyperlink r:id="rId3020" ref="C1363"/>
    <hyperlink r:id="rId3021" ref="A1364"/>
    <hyperlink r:id="rId3022" ref="C1364"/>
    <hyperlink r:id="rId3023" ref="A1365"/>
    <hyperlink r:id="rId3024" ref="A1366"/>
    <hyperlink r:id="rId3025" ref="C1366"/>
    <hyperlink r:id="rId3026" ref="A1367"/>
    <hyperlink r:id="rId3027" ref="C1367"/>
    <hyperlink r:id="rId3028" ref="A1368"/>
    <hyperlink r:id="rId3029" ref="C1368"/>
    <hyperlink r:id="rId3030" ref="A1369"/>
    <hyperlink r:id="rId3031" ref="C1369"/>
    <hyperlink r:id="rId3032" ref="A1370"/>
    <hyperlink r:id="rId3033" ref="C1370"/>
    <hyperlink r:id="rId3034" ref="A1371"/>
    <hyperlink r:id="rId3035" ref="C1371"/>
    <hyperlink r:id="rId3036" ref="A1372"/>
    <hyperlink r:id="rId3037" ref="C1372"/>
    <hyperlink r:id="rId3038" ref="A1373"/>
    <hyperlink r:id="rId3039" ref="C1373"/>
    <hyperlink r:id="rId3040" ref="A1374"/>
    <hyperlink r:id="rId3041" ref="C1374"/>
    <hyperlink r:id="rId3042" ref="A1375"/>
    <hyperlink r:id="rId3043" ref="C1375"/>
    <hyperlink r:id="rId3044" ref="A1376"/>
    <hyperlink r:id="rId3045" ref="C1376"/>
    <hyperlink r:id="rId3046" ref="A1377"/>
    <hyperlink r:id="rId3047" ref="C1377"/>
    <hyperlink r:id="rId3048" ref="E1377"/>
    <hyperlink r:id="rId3049" ref="A1378"/>
    <hyperlink r:id="rId3050" ref="C1378"/>
    <hyperlink r:id="rId3051" ref="A1379"/>
    <hyperlink r:id="rId3052" ref="C1379"/>
    <hyperlink r:id="rId3053" ref="A1380"/>
    <hyperlink r:id="rId3054" ref="C1380"/>
    <hyperlink r:id="rId3055" ref="A1381"/>
    <hyperlink r:id="rId3056" ref="C1381"/>
    <hyperlink r:id="rId3057" ref="A1382"/>
    <hyperlink r:id="rId3058" ref="C1382"/>
    <hyperlink r:id="rId3059" ref="A1383"/>
    <hyperlink r:id="rId3060" ref="C1383"/>
    <hyperlink r:id="rId3061" ref="A1384"/>
    <hyperlink r:id="rId3062" ref="C1384"/>
    <hyperlink r:id="rId3063" ref="A1385"/>
    <hyperlink r:id="rId3064" ref="C1385"/>
    <hyperlink r:id="rId3065" ref="A1386"/>
    <hyperlink r:id="rId3066" ref="C1386"/>
    <hyperlink r:id="rId3067" ref="A1387"/>
    <hyperlink r:id="rId3068" ref="C1387"/>
    <hyperlink r:id="rId3069" ref="A1388"/>
    <hyperlink r:id="rId3070" ref="C1388"/>
    <hyperlink r:id="rId3071" ref="E1388"/>
    <hyperlink r:id="rId3072" ref="A1389"/>
    <hyperlink r:id="rId3073" ref="C1389"/>
    <hyperlink r:id="rId3074" ref="A1390"/>
    <hyperlink r:id="rId3075" ref="C1390"/>
    <hyperlink r:id="rId3076" ref="A1391"/>
    <hyperlink r:id="rId3077" ref="C1391"/>
    <hyperlink r:id="rId3078" ref="A1392"/>
    <hyperlink r:id="rId3079" ref="C1392"/>
    <hyperlink r:id="rId3080" ref="A1393"/>
    <hyperlink r:id="rId3081" ref="C1393"/>
    <hyperlink r:id="rId3082" ref="A1394"/>
    <hyperlink r:id="rId3083" ref="C1394"/>
    <hyperlink r:id="rId3084" ref="A1395"/>
    <hyperlink r:id="rId3085" ref="C1395"/>
    <hyperlink r:id="rId3086" ref="A1396"/>
    <hyperlink r:id="rId3087" ref="C1396"/>
    <hyperlink r:id="rId3088" ref="A1397"/>
    <hyperlink r:id="rId3089" ref="C1397"/>
    <hyperlink r:id="rId3090" ref="A1398"/>
    <hyperlink r:id="rId3091" ref="C1398"/>
    <hyperlink r:id="rId3092" ref="A1399"/>
    <hyperlink r:id="rId3093" ref="C1399"/>
    <hyperlink r:id="rId3094" ref="A1400"/>
    <hyperlink r:id="rId3095" ref="C1400"/>
    <hyperlink r:id="rId3096" ref="A1401"/>
    <hyperlink r:id="rId3097" ref="C1401"/>
    <hyperlink r:id="rId3098" ref="A1402"/>
    <hyperlink r:id="rId3099" ref="C1402"/>
    <hyperlink r:id="rId3100" ref="A1403"/>
    <hyperlink r:id="rId3101" ref="C1403"/>
    <hyperlink r:id="rId3102" ref="A1404"/>
    <hyperlink r:id="rId3103" ref="C1404"/>
    <hyperlink r:id="rId3104" ref="A1405"/>
    <hyperlink r:id="rId3105" ref="C1405"/>
    <hyperlink r:id="rId3106" ref="A1406"/>
    <hyperlink r:id="rId3107" ref="C1406"/>
    <hyperlink r:id="rId3108" ref="A1407"/>
    <hyperlink r:id="rId3109" ref="C1407"/>
    <hyperlink r:id="rId3110" ref="A1408"/>
    <hyperlink r:id="rId3111" ref="C1408"/>
    <hyperlink r:id="rId3112" ref="A1409"/>
    <hyperlink r:id="rId3113" ref="C1409"/>
    <hyperlink r:id="rId3114" ref="A1410"/>
    <hyperlink r:id="rId3115" ref="C1410"/>
    <hyperlink r:id="rId3116" ref="A1411"/>
    <hyperlink r:id="rId3117" ref="C1411"/>
    <hyperlink r:id="rId3118" ref="A1412"/>
    <hyperlink r:id="rId3119" ref="C1412"/>
    <hyperlink r:id="rId3120" ref="A1413"/>
    <hyperlink r:id="rId3121" ref="C1413"/>
    <hyperlink r:id="rId3122" ref="A1414"/>
    <hyperlink r:id="rId3123" ref="C1414"/>
    <hyperlink r:id="rId3124" ref="A1415"/>
    <hyperlink r:id="rId3125" ref="C1415"/>
    <hyperlink r:id="rId3126" ref="A1416"/>
    <hyperlink r:id="rId3127" ref="C1416"/>
    <hyperlink r:id="rId3128" ref="A1417"/>
    <hyperlink r:id="rId3129" ref="C1417"/>
    <hyperlink r:id="rId3130" ref="A1418"/>
    <hyperlink r:id="rId3131" ref="C1418"/>
    <hyperlink r:id="rId3132" ref="E1418"/>
    <hyperlink r:id="rId3133" ref="A1419"/>
    <hyperlink r:id="rId3134" ref="C1419"/>
    <hyperlink r:id="rId3135" ref="A1420"/>
    <hyperlink r:id="rId3136" ref="C1420"/>
    <hyperlink r:id="rId3137" ref="A1421"/>
    <hyperlink r:id="rId3138" ref="C1421"/>
    <hyperlink r:id="rId3139" ref="A1422"/>
    <hyperlink r:id="rId3140" ref="C1422"/>
    <hyperlink r:id="rId3141" ref="A1423"/>
    <hyperlink r:id="rId3142" ref="C1423"/>
    <hyperlink r:id="rId3143" ref="A1424"/>
    <hyperlink r:id="rId3144" ref="C1424"/>
    <hyperlink r:id="rId3145" ref="A1425"/>
    <hyperlink r:id="rId3146" ref="C1425"/>
    <hyperlink r:id="rId3147" ref="A1426"/>
    <hyperlink r:id="rId3148" ref="C1426"/>
    <hyperlink r:id="rId3149" ref="A1427"/>
    <hyperlink r:id="rId3150" ref="C1427"/>
    <hyperlink r:id="rId3151" ref="A1428"/>
    <hyperlink r:id="rId3152" ref="C1428"/>
    <hyperlink r:id="rId3153" ref="A1429"/>
    <hyperlink r:id="rId3154" ref="C1429"/>
    <hyperlink r:id="rId3155" ref="A1430"/>
    <hyperlink r:id="rId3156" ref="C1430"/>
    <hyperlink r:id="rId3157" ref="A1431"/>
    <hyperlink r:id="rId3158" ref="C1431"/>
    <hyperlink r:id="rId3159" ref="A1432"/>
    <hyperlink r:id="rId3160" ref="C1432"/>
    <hyperlink r:id="rId3161" ref="A1433"/>
    <hyperlink r:id="rId3162" ref="C1433"/>
    <hyperlink r:id="rId3163" ref="A1434"/>
    <hyperlink r:id="rId3164" ref="C1434"/>
    <hyperlink r:id="rId3165" ref="A1435"/>
    <hyperlink r:id="rId3166" ref="C1435"/>
    <hyperlink r:id="rId3167" ref="A1436"/>
    <hyperlink r:id="rId3168" ref="C1436"/>
    <hyperlink r:id="rId3169" ref="A1437"/>
    <hyperlink r:id="rId3170" ref="C1437"/>
    <hyperlink r:id="rId3171" ref="A1438"/>
    <hyperlink r:id="rId3172" ref="C1438"/>
    <hyperlink r:id="rId3173" ref="A1439"/>
    <hyperlink r:id="rId3174" ref="C1439"/>
    <hyperlink r:id="rId3175" ref="A1440"/>
    <hyperlink r:id="rId3176" ref="C1440"/>
    <hyperlink r:id="rId3177" ref="A1441"/>
    <hyperlink r:id="rId3178" ref="C1441"/>
    <hyperlink r:id="rId3179" ref="A1442"/>
    <hyperlink r:id="rId3180" ref="C1442"/>
    <hyperlink r:id="rId3181" ref="A1443"/>
    <hyperlink r:id="rId3182" ref="C1443"/>
    <hyperlink r:id="rId3183" ref="A1444"/>
    <hyperlink r:id="rId3184" ref="C1444"/>
    <hyperlink r:id="rId3185" ref="A1445"/>
    <hyperlink r:id="rId3186" ref="C1445"/>
    <hyperlink r:id="rId3187" ref="A1446"/>
    <hyperlink r:id="rId3188" ref="C1446"/>
    <hyperlink r:id="rId3189" ref="A1447"/>
    <hyperlink r:id="rId3190" ref="A1448"/>
    <hyperlink r:id="rId3191" ref="A1449"/>
    <hyperlink r:id="rId3192" ref="A1450"/>
    <hyperlink r:id="rId3193" ref="A1451"/>
    <hyperlink r:id="rId3194" ref="A1452"/>
    <hyperlink r:id="rId3195" ref="A1453"/>
    <hyperlink r:id="rId3196" ref="C1453"/>
    <hyperlink r:id="rId3197" ref="A1454"/>
    <hyperlink r:id="rId3198" ref="C1454"/>
    <hyperlink r:id="rId3199" ref="A1455"/>
    <hyperlink r:id="rId3200" ref="C1455"/>
    <hyperlink r:id="rId3201" ref="A1456"/>
    <hyperlink r:id="rId3202" ref="C1456"/>
    <hyperlink r:id="rId3203" ref="A1457"/>
    <hyperlink r:id="rId3204" ref="C1457"/>
    <hyperlink r:id="rId3205" ref="A1458"/>
    <hyperlink r:id="rId3206" ref="C1458"/>
    <hyperlink r:id="rId3207" ref="A1459"/>
    <hyperlink r:id="rId3208" ref="C1459"/>
    <hyperlink r:id="rId3209" ref="A1460"/>
    <hyperlink r:id="rId3210" ref="C1460"/>
    <hyperlink r:id="rId3211" ref="E1460"/>
    <hyperlink r:id="rId3212" ref="A1461"/>
    <hyperlink r:id="rId3213" ref="C1461"/>
    <hyperlink r:id="rId3214" ref="E1461"/>
    <hyperlink r:id="rId3215" ref="A1462"/>
    <hyperlink r:id="rId3216" ref="C1462"/>
    <hyperlink r:id="rId3217" ref="E1462"/>
    <hyperlink r:id="rId3218" ref="A1463"/>
    <hyperlink r:id="rId3219" ref="C1463"/>
    <hyperlink r:id="rId3220" ref="E1463"/>
    <hyperlink r:id="rId3221" ref="A1464"/>
    <hyperlink r:id="rId3222" ref="C1464"/>
    <hyperlink r:id="rId3223" ref="E1464"/>
    <hyperlink r:id="rId3224" ref="A1465"/>
    <hyperlink r:id="rId3225" ref="C1465"/>
    <hyperlink r:id="rId3226" ref="E1465"/>
    <hyperlink r:id="rId3227" ref="A1466"/>
    <hyperlink r:id="rId3228" ref="C1466"/>
    <hyperlink r:id="rId3229" ref="E1466"/>
    <hyperlink r:id="rId3230" ref="A1467"/>
    <hyperlink r:id="rId3231" ref="C1467"/>
    <hyperlink r:id="rId3232" ref="E1467"/>
    <hyperlink r:id="rId3233" ref="A1468"/>
    <hyperlink r:id="rId3234" ref="C1468"/>
    <hyperlink r:id="rId3235" ref="E1468"/>
    <hyperlink r:id="rId3236" ref="A1469"/>
    <hyperlink r:id="rId3237" ref="C1469"/>
    <hyperlink r:id="rId3238" ref="E1469"/>
    <hyperlink r:id="rId3239" ref="A1470"/>
    <hyperlink r:id="rId3240" ref="C1470"/>
    <hyperlink r:id="rId3241" ref="E1470"/>
    <hyperlink r:id="rId3242" ref="A1471"/>
    <hyperlink r:id="rId3243" ref="C1471"/>
    <hyperlink r:id="rId3244" ref="E1471"/>
    <hyperlink r:id="rId3245" ref="A1472"/>
    <hyperlink r:id="rId3246" ref="C1472"/>
    <hyperlink r:id="rId3247" ref="A1473"/>
    <hyperlink r:id="rId3248" ref="C1473"/>
    <hyperlink r:id="rId3249" ref="A1474"/>
    <hyperlink r:id="rId3250" ref="C1474"/>
    <hyperlink r:id="rId3251" ref="A1475"/>
    <hyperlink r:id="rId3252" ref="C1475"/>
    <hyperlink r:id="rId3253" ref="A1476"/>
    <hyperlink r:id="rId3254" ref="C1476"/>
    <hyperlink r:id="rId3255" ref="A1477"/>
    <hyperlink r:id="rId3256" ref="C1477"/>
    <hyperlink r:id="rId3257" ref="E1477"/>
    <hyperlink r:id="rId3258" ref="A1478"/>
    <hyperlink r:id="rId3259" ref="C1478"/>
    <hyperlink r:id="rId3260" ref="A1479"/>
    <hyperlink r:id="rId3261" ref="C1479"/>
    <hyperlink r:id="rId3262" ref="A1480"/>
    <hyperlink r:id="rId3263" ref="C1480"/>
    <hyperlink r:id="rId3264" ref="E1480"/>
    <hyperlink r:id="rId3265" ref="A1481"/>
    <hyperlink r:id="rId3266" ref="C1481"/>
    <hyperlink r:id="rId3267" ref="E1481"/>
    <hyperlink r:id="rId3268" ref="A1482"/>
    <hyperlink r:id="rId3269" ref="C1482"/>
    <hyperlink r:id="rId3270" ref="E1482"/>
    <hyperlink r:id="rId3271" ref="A1483"/>
    <hyperlink r:id="rId3272" ref="C1483"/>
    <hyperlink r:id="rId3273" ref="A1484"/>
    <hyperlink r:id="rId3274" ref="C1484"/>
    <hyperlink r:id="rId3275" ref="A1485"/>
    <hyperlink r:id="rId3276" ref="C1485"/>
    <hyperlink r:id="rId3277" ref="A1486"/>
    <hyperlink r:id="rId3278" ref="C1486"/>
    <hyperlink r:id="rId3279" ref="E1486"/>
    <hyperlink r:id="rId3280" ref="A1487"/>
    <hyperlink r:id="rId3281" ref="C1487"/>
    <hyperlink r:id="rId3282" ref="A1488"/>
    <hyperlink r:id="rId3283" ref="C1488"/>
    <hyperlink r:id="rId3284" ref="A1489"/>
    <hyperlink r:id="rId3285" ref="C1489"/>
    <hyperlink r:id="rId3286" ref="E1489"/>
    <hyperlink r:id="rId3287" ref="A1490"/>
    <hyperlink r:id="rId3288" ref="C1490"/>
    <hyperlink r:id="rId3289" ref="E1490"/>
    <hyperlink r:id="rId3290" ref="A1491"/>
    <hyperlink r:id="rId3291" ref="C1491"/>
    <hyperlink r:id="rId3292" ref="A1492"/>
    <hyperlink r:id="rId3293" ref="C1492"/>
    <hyperlink r:id="rId3294" ref="E1492"/>
    <hyperlink r:id="rId3295" ref="A1493"/>
    <hyperlink r:id="rId3296" ref="C1493"/>
    <hyperlink r:id="rId3297" ref="E1493"/>
    <hyperlink r:id="rId3298" ref="A1494"/>
    <hyperlink r:id="rId3299" ref="C1494"/>
    <hyperlink r:id="rId3300" ref="E1494"/>
    <hyperlink r:id="rId3301" ref="A1495"/>
    <hyperlink r:id="rId3302" ref="C1495"/>
    <hyperlink r:id="rId3303" ref="E1495"/>
    <hyperlink r:id="rId3304" ref="A1496"/>
    <hyperlink r:id="rId3305" ref="C1496"/>
    <hyperlink r:id="rId3306" ref="A1497"/>
    <hyperlink r:id="rId3307" ref="C1497"/>
    <hyperlink r:id="rId3308" ref="A1498"/>
    <hyperlink r:id="rId3309" ref="C1498"/>
    <hyperlink r:id="rId3310" ref="E1498"/>
    <hyperlink r:id="rId3311" ref="A1499"/>
    <hyperlink r:id="rId3312" ref="C1499"/>
    <hyperlink r:id="rId3313" ref="E1499"/>
    <hyperlink r:id="rId3314" ref="A1500"/>
    <hyperlink r:id="rId3315" ref="C1500"/>
    <hyperlink r:id="rId3316" ref="A1501"/>
    <hyperlink r:id="rId3317" ref="C1501"/>
    <hyperlink r:id="rId3318" ref="E1501"/>
    <hyperlink r:id="rId3319" ref="A1502"/>
    <hyperlink r:id="rId3320" ref="C1502"/>
    <hyperlink r:id="rId3321" ref="E1502"/>
    <hyperlink r:id="rId3322" ref="A1503"/>
    <hyperlink r:id="rId3323" ref="C1503"/>
    <hyperlink r:id="rId3324" ref="A1504"/>
    <hyperlink r:id="rId3325" ref="C1504"/>
    <hyperlink r:id="rId3326" ref="E1504"/>
    <hyperlink r:id="rId3327" ref="A1505"/>
    <hyperlink r:id="rId3328" ref="C1505"/>
    <hyperlink r:id="rId3329" ref="E1505"/>
    <hyperlink r:id="rId3330" ref="A1506"/>
    <hyperlink r:id="rId3331" ref="C1506"/>
    <hyperlink r:id="rId3332" ref="E1506"/>
    <hyperlink r:id="rId3333" ref="A1507"/>
    <hyperlink r:id="rId3334" ref="C1507"/>
    <hyperlink r:id="rId3335" ref="E1507"/>
    <hyperlink r:id="rId3336" ref="A1508"/>
    <hyperlink r:id="rId3337" ref="C1508"/>
    <hyperlink r:id="rId3338" ref="E1508"/>
    <hyperlink r:id="rId3339" ref="A1509"/>
    <hyperlink r:id="rId3340" ref="C1509"/>
    <hyperlink r:id="rId3341" ref="A1510"/>
    <hyperlink r:id="rId3342" ref="C1510"/>
    <hyperlink r:id="rId3343" ref="A1511"/>
    <hyperlink r:id="rId3344" ref="C1511"/>
    <hyperlink r:id="rId3345" ref="A1512"/>
    <hyperlink r:id="rId3346" ref="C1512"/>
    <hyperlink r:id="rId3347" ref="A1513"/>
    <hyperlink r:id="rId3348" ref="C1513"/>
    <hyperlink r:id="rId3349" ref="E1513"/>
    <hyperlink r:id="rId3350" ref="A1514"/>
    <hyperlink r:id="rId3351" ref="C1514"/>
    <hyperlink r:id="rId3352" ref="E1514"/>
    <hyperlink r:id="rId3353" ref="A1515"/>
    <hyperlink r:id="rId3354" ref="C1515"/>
    <hyperlink r:id="rId3355" ref="A1516"/>
    <hyperlink r:id="rId3356" ref="C1516"/>
    <hyperlink r:id="rId3357" ref="E1516"/>
    <hyperlink r:id="rId3358" ref="A1517"/>
    <hyperlink r:id="rId3359" ref="C1517"/>
    <hyperlink r:id="rId3360" ref="E1517"/>
    <hyperlink r:id="rId3361" ref="A1518"/>
    <hyperlink r:id="rId3362" ref="C1518"/>
    <hyperlink r:id="rId3363" ref="E1518"/>
    <hyperlink r:id="rId3364" ref="A1519"/>
    <hyperlink r:id="rId3365" ref="C1519"/>
    <hyperlink r:id="rId3366" ref="E1519"/>
    <hyperlink r:id="rId3367" ref="A1520"/>
    <hyperlink r:id="rId3368" ref="C1520"/>
    <hyperlink r:id="rId3369" ref="E1520"/>
    <hyperlink r:id="rId3370" ref="A1521"/>
    <hyperlink r:id="rId3371" ref="C1521"/>
    <hyperlink r:id="rId3372" ref="A1522"/>
    <hyperlink r:id="rId3373" ref="C1522"/>
    <hyperlink r:id="rId3374" ref="E1522"/>
    <hyperlink r:id="rId3375" ref="A1523"/>
    <hyperlink r:id="rId3376" ref="C1523"/>
    <hyperlink r:id="rId3377" ref="E1523"/>
    <hyperlink r:id="rId3378" ref="A1524"/>
    <hyperlink r:id="rId3379" ref="C1524"/>
    <hyperlink r:id="rId3380" ref="E1524"/>
    <hyperlink r:id="rId3381" ref="A1525"/>
    <hyperlink r:id="rId3382" ref="C1525"/>
    <hyperlink r:id="rId3383" ref="A1526"/>
    <hyperlink r:id="rId3384" ref="C1526"/>
    <hyperlink r:id="rId3385" ref="E1526"/>
    <hyperlink r:id="rId3386" ref="A1527"/>
    <hyperlink r:id="rId3387" ref="C1527"/>
    <hyperlink r:id="rId3388" ref="E1527"/>
    <hyperlink r:id="rId3389" ref="A1528"/>
    <hyperlink r:id="rId3390" ref="C1528"/>
    <hyperlink r:id="rId3391" ref="E1528"/>
    <hyperlink r:id="rId3392" ref="A1529"/>
    <hyperlink r:id="rId3393" ref="C1529"/>
    <hyperlink r:id="rId3394" ref="A1530"/>
    <hyperlink r:id="rId3395" ref="C1530"/>
    <hyperlink r:id="rId3396" ref="A1531"/>
    <hyperlink r:id="rId3397" ref="C1531"/>
    <hyperlink r:id="rId3398" ref="A1532"/>
    <hyperlink r:id="rId3399" ref="C1532"/>
    <hyperlink r:id="rId3400" ref="A1533"/>
    <hyperlink r:id="rId3401" ref="C1533"/>
    <hyperlink r:id="rId3402" ref="E1533"/>
    <hyperlink r:id="rId3403" ref="A1534"/>
    <hyperlink r:id="rId3404" ref="C1534"/>
    <hyperlink r:id="rId3405" ref="E1534"/>
    <hyperlink r:id="rId3406" ref="A1535"/>
    <hyperlink r:id="rId3407" ref="C1535"/>
    <hyperlink r:id="rId3408" ref="A1536"/>
    <hyperlink r:id="rId3409" ref="C1536"/>
    <hyperlink r:id="rId3410" ref="E1536"/>
    <hyperlink r:id="rId3411" ref="A1537"/>
    <hyperlink r:id="rId3412" ref="C1537"/>
    <hyperlink r:id="rId3413" ref="E1537"/>
    <hyperlink r:id="rId3414" ref="A1538"/>
    <hyperlink r:id="rId3415" ref="C1538"/>
    <hyperlink r:id="rId3416" ref="E1538"/>
    <hyperlink r:id="rId3417" ref="A1539"/>
    <hyperlink r:id="rId3418" ref="C1539"/>
    <hyperlink r:id="rId3419" ref="A1540"/>
    <hyperlink r:id="rId3420" ref="C1540"/>
    <hyperlink r:id="rId3421" ref="A1541"/>
    <hyperlink r:id="rId3422" ref="C1541"/>
    <hyperlink r:id="rId3423" ref="E1541"/>
    <hyperlink r:id="rId3424" ref="A1542"/>
    <hyperlink r:id="rId3425" ref="C1542"/>
    <hyperlink r:id="rId3426" ref="A1543"/>
    <hyperlink r:id="rId3427" ref="C1543"/>
    <hyperlink r:id="rId3428" ref="E1543"/>
    <hyperlink r:id="rId3429" ref="A1544"/>
    <hyperlink r:id="rId3430" ref="C1544"/>
    <hyperlink r:id="rId3431" ref="E1544"/>
    <hyperlink r:id="rId3432" ref="A1545"/>
    <hyperlink r:id="rId3433" ref="C1545"/>
    <hyperlink r:id="rId3434" ref="E1545"/>
    <hyperlink r:id="rId3435" ref="A1546"/>
    <hyperlink r:id="rId3436" ref="C1546"/>
    <hyperlink r:id="rId3437" ref="E1546"/>
    <hyperlink r:id="rId3438" ref="A1547"/>
    <hyperlink r:id="rId3439" ref="C1547"/>
    <hyperlink r:id="rId3440" ref="A1548"/>
    <hyperlink r:id="rId3441" ref="C1548"/>
    <hyperlink r:id="rId3442" ref="A1549"/>
    <hyperlink r:id="rId3443" ref="C1549"/>
    <hyperlink r:id="rId3444" ref="A1550"/>
    <hyperlink r:id="rId3445" ref="C1550"/>
    <hyperlink r:id="rId3446" ref="A1551"/>
    <hyperlink r:id="rId3447" ref="C1551"/>
    <hyperlink r:id="rId3448" ref="E1551"/>
    <hyperlink r:id="rId3449" ref="A1552"/>
    <hyperlink r:id="rId3450" ref="C1552"/>
    <hyperlink r:id="rId3451" ref="E1552"/>
    <hyperlink r:id="rId3452" ref="A1553"/>
    <hyperlink r:id="rId3453" ref="C1553"/>
    <hyperlink r:id="rId3454" ref="E1553"/>
    <hyperlink r:id="rId3455" ref="A1554"/>
    <hyperlink r:id="rId3456" ref="C1554"/>
    <hyperlink r:id="rId3457" ref="E1554"/>
    <hyperlink r:id="rId3458" ref="A1555"/>
    <hyperlink r:id="rId3459" ref="C1555"/>
    <hyperlink r:id="rId3460" ref="E1555"/>
    <hyperlink r:id="rId3461" ref="A1556"/>
    <hyperlink r:id="rId3462" ref="C1556"/>
    <hyperlink r:id="rId3463" ref="A1557"/>
    <hyperlink r:id="rId3464" ref="C1557"/>
    <hyperlink r:id="rId3465" ref="E1557"/>
    <hyperlink r:id="rId3466" ref="A1558"/>
    <hyperlink r:id="rId3467" ref="C1558"/>
    <hyperlink r:id="rId3468" ref="E1558"/>
    <hyperlink r:id="rId3469" ref="A1559"/>
    <hyperlink r:id="rId3470" ref="C1559"/>
    <hyperlink r:id="rId3471" ref="E1559"/>
    <hyperlink r:id="rId3472" ref="A1560"/>
    <hyperlink r:id="rId3473" ref="C1560"/>
    <hyperlink r:id="rId3474" ref="A1561"/>
    <hyperlink r:id="rId3475" ref="C1561"/>
    <hyperlink r:id="rId3476" ref="A1562"/>
    <hyperlink r:id="rId3477" ref="C1562"/>
    <hyperlink r:id="rId3478" ref="A1563"/>
    <hyperlink r:id="rId3479" ref="C1563"/>
    <hyperlink r:id="rId3480" ref="A1564"/>
    <hyperlink r:id="rId3481" ref="C1564"/>
    <hyperlink r:id="rId3482" ref="A1565"/>
    <hyperlink r:id="rId3483" ref="C1565"/>
    <hyperlink r:id="rId3484" ref="A1566"/>
    <hyperlink r:id="rId3485" ref="C1566"/>
    <hyperlink r:id="rId3486" ref="A1567"/>
    <hyperlink r:id="rId3487" ref="C1567"/>
    <hyperlink r:id="rId3488" ref="A1568"/>
    <hyperlink r:id="rId3489" ref="C1568"/>
    <hyperlink r:id="rId3490" ref="A1569"/>
    <hyperlink r:id="rId3491" ref="C1569"/>
    <hyperlink r:id="rId3492" ref="A1570"/>
    <hyperlink r:id="rId3493" ref="C1570"/>
    <hyperlink r:id="rId3494" ref="A1571"/>
    <hyperlink r:id="rId3495" ref="C1571"/>
    <hyperlink r:id="rId3496" ref="A1572"/>
    <hyperlink r:id="rId3497" ref="C1572"/>
    <hyperlink r:id="rId3498" ref="A1573"/>
    <hyperlink r:id="rId3499" ref="C1573"/>
    <hyperlink r:id="rId3500" ref="A1574"/>
    <hyperlink r:id="rId3501" ref="C1574"/>
    <hyperlink r:id="rId3502" ref="A1575"/>
    <hyperlink r:id="rId3503" ref="C1575"/>
    <hyperlink r:id="rId3504" ref="E1575"/>
    <hyperlink r:id="rId3505" ref="A1576"/>
    <hyperlink r:id="rId3506" ref="C1576"/>
    <hyperlink r:id="rId3507" ref="E1576"/>
    <hyperlink r:id="rId3508" ref="A1577"/>
    <hyperlink r:id="rId3509" ref="C1577"/>
    <hyperlink r:id="rId3510" ref="E1577"/>
    <hyperlink r:id="rId3511" ref="A1578"/>
    <hyperlink r:id="rId3512" ref="C1578"/>
    <hyperlink r:id="rId3513" ref="E1578"/>
    <hyperlink r:id="rId3514" ref="A1579"/>
    <hyperlink r:id="rId3515" ref="C1579"/>
    <hyperlink r:id="rId3516" ref="E1579"/>
    <hyperlink r:id="rId3517" ref="A1580"/>
    <hyperlink r:id="rId3518" ref="C1580"/>
    <hyperlink r:id="rId3519" ref="A1581"/>
    <hyperlink r:id="rId3520" ref="C1581"/>
    <hyperlink r:id="rId3521" ref="A1582"/>
    <hyperlink r:id="rId3522" ref="C1582"/>
    <hyperlink r:id="rId3523" ref="A1583"/>
    <hyperlink r:id="rId3524" ref="C1583"/>
    <hyperlink r:id="rId3525" ref="A1584"/>
    <hyperlink r:id="rId3526" ref="C1584"/>
    <hyperlink r:id="rId3527" ref="A1585"/>
    <hyperlink r:id="rId3528" ref="C1585"/>
    <hyperlink r:id="rId3529" ref="A1586"/>
    <hyperlink r:id="rId3530" ref="C1586"/>
    <hyperlink r:id="rId3531" ref="A1587"/>
    <hyperlink r:id="rId3532" ref="C1587"/>
    <hyperlink r:id="rId3533" ref="A1588"/>
    <hyperlink r:id="rId3534" ref="C1588"/>
    <hyperlink r:id="rId3535" ref="A1589"/>
    <hyperlink r:id="rId3536" ref="C1589"/>
    <hyperlink r:id="rId3537" ref="A1590"/>
    <hyperlink r:id="rId3538" ref="C1590"/>
    <hyperlink r:id="rId3539" ref="A1591"/>
    <hyperlink r:id="rId3540" ref="C1591"/>
    <hyperlink r:id="rId3541" ref="A1592"/>
    <hyperlink r:id="rId3542" ref="C1592"/>
    <hyperlink r:id="rId3543" ref="E1592"/>
    <hyperlink r:id="rId3544" ref="A1593"/>
    <hyperlink r:id="rId3545" ref="C1593"/>
    <hyperlink r:id="rId3546" ref="A1594"/>
    <hyperlink r:id="rId3547" ref="C1594"/>
    <hyperlink r:id="rId3548" ref="A1595"/>
    <hyperlink r:id="rId3549" ref="C1595"/>
    <hyperlink r:id="rId3550" ref="A1596"/>
    <hyperlink r:id="rId3551" ref="C1596"/>
    <hyperlink r:id="rId3552" ref="A1597"/>
    <hyperlink r:id="rId3553" ref="C1597"/>
    <hyperlink r:id="rId3554" ref="A1598"/>
    <hyperlink r:id="rId3555" ref="C1598"/>
    <hyperlink r:id="rId3556" ref="A1599"/>
    <hyperlink r:id="rId3557" ref="C1599"/>
    <hyperlink r:id="rId3558" ref="A1600"/>
    <hyperlink r:id="rId3559" ref="C1600"/>
    <hyperlink r:id="rId3560" ref="A1601"/>
    <hyperlink r:id="rId3561" ref="C1601"/>
    <hyperlink r:id="rId3562" ref="A1602"/>
    <hyperlink r:id="rId3563" ref="C1602"/>
    <hyperlink r:id="rId3564" ref="A1603"/>
    <hyperlink r:id="rId3565" ref="C1603"/>
    <hyperlink r:id="rId3566" ref="A1604"/>
    <hyperlink r:id="rId3567" ref="C1604"/>
    <hyperlink r:id="rId3568" ref="A1605"/>
    <hyperlink r:id="rId3569" ref="C1605"/>
    <hyperlink r:id="rId3570" ref="A1606"/>
    <hyperlink r:id="rId3571" ref="C1606"/>
    <hyperlink r:id="rId3572" ref="A1607"/>
    <hyperlink r:id="rId3573" ref="C1607"/>
    <hyperlink r:id="rId3574" ref="A1608"/>
    <hyperlink r:id="rId3575" ref="C1608"/>
    <hyperlink r:id="rId3576" ref="A1609"/>
    <hyperlink r:id="rId3577" ref="C1609"/>
    <hyperlink r:id="rId3578" ref="A1610"/>
    <hyperlink r:id="rId3579" ref="C1610"/>
    <hyperlink r:id="rId3580" ref="A1611"/>
    <hyperlink r:id="rId3581" ref="C1611"/>
    <hyperlink r:id="rId3582" ref="A1612"/>
    <hyperlink r:id="rId3583" ref="C1612"/>
    <hyperlink r:id="rId3584" ref="A1613"/>
    <hyperlink r:id="rId3585" ref="C1613"/>
    <hyperlink r:id="rId3586" ref="A1614"/>
    <hyperlink r:id="rId3587" ref="C1614"/>
    <hyperlink r:id="rId3588" ref="A1615"/>
    <hyperlink r:id="rId3589" ref="C1615"/>
    <hyperlink r:id="rId3590" ref="A1616"/>
    <hyperlink r:id="rId3591" ref="C1616"/>
    <hyperlink r:id="rId3592" ref="A1617"/>
    <hyperlink r:id="rId3593" ref="C1617"/>
    <hyperlink r:id="rId3594" ref="A1618"/>
    <hyperlink r:id="rId3595" ref="C1618"/>
    <hyperlink r:id="rId3596" ref="A1619"/>
    <hyperlink r:id="rId3597" ref="C1619"/>
    <hyperlink r:id="rId3598" ref="A1620"/>
    <hyperlink r:id="rId3599" ref="C1620"/>
    <hyperlink r:id="rId3600" ref="A1621"/>
    <hyperlink r:id="rId3601" ref="C1621"/>
    <hyperlink r:id="rId3602" ref="A1622"/>
    <hyperlink r:id="rId3603" ref="C1622"/>
    <hyperlink r:id="rId3604" ref="A1623"/>
    <hyperlink r:id="rId3605" ref="C1623"/>
    <hyperlink r:id="rId3606" ref="A1624"/>
    <hyperlink r:id="rId3607" ref="C1624"/>
    <hyperlink r:id="rId3608" ref="A1625"/>
    <hyperlink r:id="rId3609" ref="C1625"/>
    <hyperlink r:id="rId3610" ref="A1626"/>
    <hyperlink r:id="rId3611" ref="C1626"/>
    <hyperlink r:id="rId3612" ref="A1627"/>
    <hyperlink r:id="rId3613" ref="C1627"/>
    <hyperlink r:id="rId3614" ref="A1628"/>
    <hyperlink r:id="rId3615" ref="C1628"/>
    <hyperlink r:id="rId3616" ref="A1629"/>
    <hyperlink r:id="rId3617" ref="C1629"/>
    <hyperlink r:id="rId3618" ref="A1630"/>
    <hyperlink r:id="rId3619" ref="C1630"/>
    <hyperlink r:id="rId3620" ref="A1631"/>
    <hyperlink r:id="rId3621" ref="C1631"/>
    <hyperlink r:id="rId3622" ref="A1632"/>
    <hyperlink r:id="rId3623" ref="C1632"/>
    <hyperlink r:id="rId3624" ref="A1633"/>
    <hyperlink r:id="rId3625" ref="C1633"/>
    <hyperlink r:id="rId3626" ref="A1634"/>
    <hyperlink r:id="rId3627" ref="C1634"/>
    <hyperlink r:id="rId3628" ref="A1635"/>
    <hyperlink r:id="rId3629" ref="C1635"/>
    <hyperlink r:id="rId3630" ref="A1636"/>
    <hyperlink r:id="rId3631" ref="C1636"/>
    <hyperlink r:id="rId3632" ref="A1637"/>
    <hyperlink r:id="rId3633" ref="C1637"/>
    <hyperlink r:id="rId3634" ref="A1638"/>
    <hyperlink r:id="rId3635" ref="C1638"/>
    <hyperlink r:id="rId3636" ref="A1639"/>
    <hyperlink r:id="rId3637" ref="C1639"/>
    <hyperlink r:id="rId3638" ref="A1640"/>
    <hyperlink r:id="rId3639" ref="C1640"/>
    <hyperlink r:id="rId3640" ref="A1641"/>
    <hyperlink r:id="rId3641" ref="C1641"/>
    <hyperlink r:id="rId3642" ref="A1642"/>
    <hyperlink r:id="rId3643" ref="C1642"/>
    <hyperlink r:id="rId3644" ref="A1643"/>
    <hyperlink r:id="rId3645" ref="C1643"/>
    <hyperlink r:id="rId3646" ref="A1644"/>
    <hyperlink r:id="rId3647" ref="C1644"/>
    <hyperlink r:id="rId3648" ref="A1645"/>
    <hyperlink r:id="rId3649" ref="C1645"/>
    <hyperlink r:id="rId3650" ref="A1646"/>
    <hyperlink r:id="rId3651" ref="C1646"/>
    <hyperlink r:id="rId3652" ref="A1647"/>
    <hyperlink r:id="rId3653" ref="C1647"/>
    <hyperlink r:id="rId3654" ref="E1647"/>
    <hyperlink r:id="rId3655" ref="A1648"/>
    <hyperlink r:id="rId3656" ref="C1648"/>
    <hyperlink r:id="rId3657" ref="A1649"/>
    <hyperlink r:id="rId3658" ref="C1649"/>
    <hyperlink r:id="rId3659" ref="A1650"/>
    <hyperlink r:id="rId3660" ref="C1650"/>
    <hyperlink r:id="rId3661" ref="E1650"/>
    <hyperlink r:id="rId3662" ref="A1651"/>
    <hyperlink r:id="rId3663" ref="C1651"/>
    <hyperlink r:id="rId3664" ref="A1652"/>
    <hyperlink r:id="rId3665" ref="C1652"/>
    <hyperlink r:id="rId3666" ref="A1653"/>
    <hyperlink r:id="rId3667" ref="C1653"/>
    <hyperlink r:id="rId3668" ref="A1654"/>
    <hyperlink r:id="rId3669" ref="C1654"/>
    <hyperlink r:id="rId3670" ref="E1654"/>
    <hyperlink r:id="rId3671" ref="A1655"/>
    <hyperlink r:id="rId3672" ref="C1655"/>
    <hyperlink r:id="rId3673" ref="A1656"/>
    <hyperlink r:id="rId3674" ref="C1656"/>
    <hyperlink r:id="rId3675" ref="A1657"/>
    <hyperlink r:id="rId3676" ref="C1657"/>
    <hyperlink r:id="rId3677" ref="A1658"/>
    <hyperlink r:id="rId3678" ref="C1658"/>
    <hyperlink r:id="rId3679" ref="A1659"/>
    <hyperlink r:id="rId3680" ref="C1659"/>
    <hyperlink r:id="rId3681" ref="A1660"/>
    <hyperlink r:id="rId3682" ref="C1660"/>
    <hyperlink r:id="rId3683" ref="A1661"/>
    <hyperlink r:id="rId3684" ref="C1661"/>
    <hyperlink r:id="rId3685" ref="A1662"/>
    <hyperlink r:id="rId3686" ref="C1662"/>
    <hyperlink r:id="rId3687" ref="A1663"/>
    <hyperlink r:id="rId3688" ref="C1663"/>
    <hyperlink r:id="rId3689" ref="A1664"/>
    <hyperlink r:id="rId3690" ref="C1664"/>
    <hyperlink r:id="rId3691" ref="A1665"/>
    <hyperlink r:id="rId3692" ref="C1665"/>
    <hyperlink r:id="rId3693" ref="A1666"/>
    <hyperlink r:id="rId3694" ref="C1666"/>
    <hyperlink r:id="rId3695" ref="A1667"/>
    <hyperlink r:id="rId3696" ref="C1667"/>
    <hyperlink r:id="rId3697" ref="A1668"/>
    <hyperlink r:id="rId3698" ref="C1668"/>
    <hyperlink r:id="rId3699" ref="A1669"/>
    <hyperlink r:id="rId3700" ref="C1669"/>
    <hyperlink r:id="rId3701" ref="A1670"/>
    <hyperlink r:id="rId3702" ref="C1670"/>
    <hyperlink r:id="rId3703" ref="A1671"/>
    <hyperlink r:id="rId3704" ref="C1671"/>
    <hyperlink r:id="rId3705" ref="A1672"/>
    <hyperlink r:id="rId3706" ref="C1672"/>
    <hyperlink r:id="rId3707" ref="A1673"/>
    <hyperlink r:id="rId3708" ref="C1673"/>
    <hyperlink r:id="rId3709" ref="A1674"/>
    <hyperlink r:id="rId3710" ref="C1674"/>
    <hyperlink r:id="rId3711" ref="A1675"/>
    <hyperlink r:id="rId3712" ref="C1675"/>
    <hyperlink r:id="rId3713" ref="A1676"/>
    <hyperlink r:id="rId3714" ref="C1676"/>
    <hyperlink r:id="rId3715" ref="A1677"/>
    <hyperlink r:id="rId3716" ref="C1677"/>
    <hyperlink r:id="rId3717" ref="A1678"/>
    <hyperlink r:id="rId3718" ref="C1678"/>
    <hyperlink r:id="rId3719" ref="A1679"/>
    <hyperlink r:id="rId3720" ref="C1679"/>
    <hyperlink r:id="rId3721" ref="A1680"/>
    <hyperlink r:id="rId3722" ref="C1680"/>
    <hyperlink r:id="rId3723" ref="A1681"/>
    <hyperlink r:id="rId3724" ref="C1681"/>
    <hyperlink r:id="rId3725" ref="A1682"/>
    <hyperlink r:id="rId3726" ref="C1682"/>
    <hyperlink r:id="rId3727" ref="A1683"/>
    <hyperlink r:id="rId3728" ref="C1683"/>
    <hyperlink r:id="rId3729" ref="A1684"/>
    <hyperlink r:id="rId3730" ref="C1684"/>
    <hyperlink r:id="rId3731" ref="A1685"/>
    <hyperlink r:id="rId3732" ref="C1685"/>
    <hyperlink r:id="rId3733" ref="A1686"/>
    <hyperlink r:id="rId3734" ref="C1686"/>
    <hyperlink r:id="rId3735" ref="A1687"/>
    <hyperlink r:id="rId3736" ref="C1687"/>
    <hyperlink r:id="rId3737" ref="A1688"/>
    <hyperlink r:id="rId3738" ref="A1689"/>
    <hyperlink r:id="rId3739" ref="C1689"/>
    <hyperlink r:id="rId3740" ref="A1690"/>
    <hyperlink r:id="rId3741" ref="C1690"/>
    <hyperlink r:id="rId3742" ref="A1691"/>
    <hyperlink r:id="rId3743" ref="C1691"/>
    <hyperlink r:id="rId3744" ref="A1692"/>
    <hyperlink r:id="rId3745" ref="C1692"/>
    <hyperlink r:id="rId3746" ref="A1693"/>
    <hyperlink r:id="rId3747" ref="C1693"/>
    <hyperlink r:id="rId3748" ref="A1694"/>
    <hyperlink r:id="rId3749" ref="C1694"/>
    <hyperlink r:id="rId3750" ref="A1695"/>
    <hyperlink r:id="rId3751" ref="C1695"/>
    <hyperlink r:id="rId3752" ref="A1696"/>
    <hyperlink r:id="rId3753" ref="C1696"/>
    <hyperlink r:id="rId3754" ref="A1697"/>
    <hyperlink r:id="rId3755" ref="C1697"/>
    <hyperlink r:id="rId3756" ref="A1698"/>
    <hyperlink r:id="rId3757" ref="C1698"/>
    <hyperlink r:id="rId3758" ref="A1699"/>
    <hyperlink r:id="rId3759" ref="C1699"/>
    <hyperlink r:id="rId3760" ref="A1700"/>
    <hyperlink r:id="rId3761" ref="C1700"/>
    <hyperlink r:id="rId3762" ref="A1701"/>
    <hyperlink r:id="rId3763" ref="C1701"/>
    <hyperlink r:id="rId3764" ref="A1702"/>
    <hyperlink r:id="rId3765" ref="C1702"/>
    <hyperlink r:id="rId3766" ref="E1702"/>
    <hyperlink r:id="rId3767" ref="A1703"/>
    <hyperlink r:id="rId3768" ref="C1703"/>
    <hyperlink r:id="rId3769" ref="A1704"/>
    <hyperlink r:id="rId3770" ref="C1704"/>
    <hyperlink r:id="rId3771" ref="A1705"/>
    <hyperlink r:id="rId3772" ref="C1705"/>
    <hyperlink r:id="rId3773" ref="A1706"/>
    <hyperlink r:id="rId3774" ref="C1706"/>
    <hyperlink r:id="rId3775" ref="A1707"/>
    <hyperlink r:id="rId3776" ref="C1707"/>
    <hyperlink r:id="rId3777" ref="A1708"/>
    <hyperlink r:id="rId3778" ref="C1708"/>
    <hyperlink r:id="rId3779" ref="A1709"/>
    <hyperlink r:id="rId3780" ref="C1709"/>
    <hyperlink r:id="rId3781" ref="A1710"/>
    <hyperlink r:id="rId3782" ref="C1710"/>
    <hyperlink r:id="rId3783" ref="A1711"/>
    <hyperlink r:id="rId3784" ref="C1711"/>
    <hyperlink r:id="rId3785" ref="A1712"/>
    <hyperlink r:id="rId3786" ref="C1712"/>
    <hyperlink r:id="rId3787" ref="A1713"/>
    <hyperlink r:id="rId3788" ref="C1713"/>
    <hyperlink r:id="rId3789" ref="A1714"/>
    <hyperlink r:id="rId3790" ref="C1714"/>
    <hyperlink r:id="rId3791" ref="A1715"/>
    <hyperlink r:id="rId3792" ref="C1715"/>
    <hyperlink r:id="rId3793" ref="A1716"/>
    <hyperlink r:id="rId3794" ref="C1716"/>
    <hyperlink r:id="rId3795" ref="A1717"/>
    <hyperlink r:id="rId3796" ref="C1717"/>
    <hyperlink r:id="rId3797" ref="A1718"/>
    <hyperlink r:id="rId3798" ref="C1718"/>
    <hyperlink r:id="rId3799" ref="A1719"/>
    <hyperlink r:id="rId3800" ref="E1719"/>
    <hyperlink r:id="rId3801" ref="A1720"/>
    <hyperlink r:id="rId3802" ref="C1720"/>
    <hyperlink r:id="rId3803" ref="A1721"/>
    <hyperlink r:id="rId3804" ref="C1721"/>
    <hyperlink r:id="rId3805" ref="A1722"/>
    <hyperlink r:id="rId3806" ref="C1722"/>
    <hyperlink r:id="rId3807" ref="A1723"/>
    <hyperlink r:id="rId3808" ref="C1723"/>
    <hyperlink r:id="rId3809" ref="A1724"/>
    <hyperlink r:id="rId3810" ref="C1724"/>
    <hyperlink r:id="rId3811" ref="A1725"/>
    <hyperlink r:id="rId3812" ref="C1725"/>
    <hyperlink r:id="rId3813" ref="A1726"/>
    <hyperlink r:id="rId3814" ref="C1726"/>
    <hyperlink r:id="rId3815" ref="A1727"/>
    <hyperlink r:id="rId3816" ref="C1727"/>
    <hyperlink r:id="rId3817" ref="A1728"/>
    <hyperlink r:id="rId3818" ref="C1728"/>
    <hyperlink r:id="rId3819" ref="A1729"/>
    <hyperlink r:id="rId3820" ref="C1729"/>
    <hyperlink r:id="rId3821" ref="A1730"/>
    <hyperlink r:id="rId3822" ref="C1730"/>
    <hyperlink r:id="rId3823" ref="A1731"/>
    <hyperlink r:id="rId3824" ref="C1731"/>
    <hyperlink r:id="rId3825" ref="A1732"/>
    <hyperlink r:id="rId3826" ref="C1732"/>
    <hyperlink r:id="rId3827" ref="A1733"/>
    <hyperlink r:id="rId3828" ref="C1733"/>
    <hyperlink r:id="rId3829" ref="A1734"/>
    <hyperlink r:id="rId3830" ref="C1734"/>
    <hyperlink r:id="rId3831" ref="A1735"/>
    <hyperlink r:id="rId3832" ref="C1735"/>
    <hyperlink r:id="rId3833" ref="A1736"/>
    <hyperlink r:id="rId3834" ref="C1736"/>
    <hyperlink r:id="rId3835" ref="A1737"/>
    <hyperlink r:id="rId3836" ref="C1737"/>
    <hyperlink r:id="rId3837" ref="A1738"/>
    <hyperlink r:id="rId3838" ref="C1738"/>
    <hyperlink r:id="rId3839" ref="A1739"/>
    <hyperlink r:id="rId3840" ref="C1739"/>
    <hyperlink r:id="rId3841" ref="A1740"/>
    <hyperlink r:id="rId3842" ref="C1740"/>
    <hyperlink r:id="rId3843" ref="A1741"/>
    <hyperlink r:id="rId3844" ref="C1741"/>
    <hyperlink r:id="rId3845" ref="A1742"/>
    <hyperlink r:id="rId3846" ref="C1742"/>
    <hyperlink r:id="rId3847" ref="A1743"/>
    <hyperlink r:id="rId3848" ref="C1743"/>
    <hyperlink r:id="rId3849" ref="A1744"/>
    <hyperlink r:id="rId3850" ref="C1744"/>
    <hyperlink r:id="rId3851" ref="A1745"/>
    <hyperlink r:id="rId3852" ref="C1745"/>
    <hyperlink r:id="rId3853" ref="A1746"/>
    <hyperlink r:id="rId3854" ref="C1746"/>
    <hyperlink r:id="rId3855" ref="A1747"/>
    <hyperlink r:id="rId3856" ref="C1747"/>
    <hyperlink r:id="rId3857" ref="A1748"/>
    <hyperlink r:id="rId3858" ref="C1748"/>
    <hyperlink r:id="rId3859" ref="A1749"/>
    <hyperlink r:id="rId3860" ref="C1749"/>
    <hyperlink r:id="rId3861" ref="A1750"/>
    <hyperlink r:id="rId3862" ref="C1750"/>
    <hyperlink r:id="rId3863" ref="A1751"/>
    <hyperlink r:id="rId3864" ref="C1751"/>
    <hyperlink r:id="rId3865" ref="A1752"/>
    <hyperlink r:id="rId3866" ref="C1752"/>
    <hyperlink r:id="rId3867" ref="A1753"/>
    <hyperlink r:id="rId3868" ref="C1753"/>
    <hyperlink r:id="rId3869" ref="A1754"/>
    <hyperlink r:id="rId3870" ref="C1754"/>
    <hyperlink r:id="rId3871" ref="A1755"/>
    <hyperlink r:id="rId3872" ref="C1755"/>
    <hyperlink r:id="rId3873" ref="A1756"/>
    <hyperlink r:id="rId3874" ref="C1756"/>
    <hyperlink r:id="rId3875" ref="A1757"/>
    <hyperlink r:id="rId3876" ref="C1757"/>
    <hyperlink r:id="rId3877" ref="E1757"/>
    <hyperlink r:id="rId3878" ref="A1758"/>
    <hyperlink r:id="rId3879" ref="C1758"/>
    <hyperlink r:id="rId3880" ref="A1759"/>
    <hyperlink r:id="rId3881" ref="C1759"/>
    <hyperlink r:id="rId3882" ref="A1760"/>
    <hyperlink r:id="rId3883" ref="C1760"/>
    <hyperlink r:id="rId3884" ref="A1761"/>
    <hyperlink r:id="rId3885" ref="C1761"/>
    <hyperlink r:id="rId3886" ref="A1762"/>
    <hyperlink r:id="rId3887" ref="C1762"/>
    <hyperlink r:id="rId3888" ref="A1763"/>
    <hyperlink r:id="rId3889" ref="C1763"/>
    <hyperlink r:id="rId3890" ref="A1764"/>
    <hyperlink r:id="rId3891" ref="C1764"/>
    <hyperlink r:id="rId3892" ref="A1765"/>
    <hyperlink r:id="rId3893" ref="C1765"/>
    <hyperlink r:id="rId3894" ref="A1766"/>
    <hyperlink r:id="rId3895" ref="A1767"/>
    <hyperlink r:id="rId3896" ref="C1767"/>
    <hyperlink r:id="rId3897" ref="A1768"/>
    <hyperlink r:id="rId3898" ref="C1768"/>
    <hyperlink r:id="rId3899" ref="A1769"/>
    <hyperlink r:id="rId3900" ref="A1770"/>
    <hyperlink r:id="rId3901" ref="A1771"/>
    <hyperlink r:id="rId3902" ref="A1772"/>
    <hyperlink r:id="rId3903" ref="C1772"/>
    <hyperlink r:id="rId3904" ref="A1773"/>
    <hyperlink r:id="rId3905" ref="A1774"/>
    <hyperlink r:id="rId3906" ref="C1774"/>
    <hyperlink r:id="rId3907" ref="A1775"/>
    <hyperlink r:id="rId3908" ref="C1775"/>
    <hyperlink r:id="rId3909" ref="A1776"/>
    <hyperlink r:id="rId3910" ref="C1776"/>
    <hyperlink r:id="rId3911" ref="A1777"/>
    <hyperlink r:id="rId3912" ref="C1777"/>
    <hyperlink r:id="rId3913" ref="E1777"/>
    <hyperlink r:id="rId3914" ref="A1778"/>
    <hyperlink r:id="rId3915" ref="C1778"/>
    <hyperlink r:id="rId3916" ref="A1779"/>
    <hyperlink r:id="rId3917" ref="C1779"/>
    <hyperlink r:id="rId3918" ref="A1780"/>
    <hyperlink r:id="rId3919" ref="C1780"/>
    <hyperlink r:id="rId3920" ref="A1781"/>
    <hyperlink r:id="rId3921" ref="C1781"/>
    <hyperlink r:id="rId3922" ref="A1782"/>
    <hyperlink r:id="rId3923" ref="C1782"/>
    <hyperlink r:id="rId3924" ref="A1783"/>
    <hyperlink r:id="rId3925" ref="C1783"/>
    <hyperlink r:id="rId3926" ref="A1784"/>
    <hyperlink r:id="rId3927" ref="C1784"/>
    <hyperlink r:id="rId3928" ref="A1785"/>
    <hyperlink r:id="rId3929" ref="C1785"/>
    <hyperlink r:id="rId3930" ref="E1785"/>
    <hyperlink r:id="rId3931" ref="A1786"/>
    <hyperlink r:id="rId3932" ref="C1786"/>
    <hyperlink r:id="rId3933" ref="E1786"/>
    <hyperlink r:id="rId3934" ref="A1787"/>
    <hyperlink r:id="rId3935" ref="C1787"/>
    <hyperlink r:id="rId3936" ref="A1788"/>
    <hyperlink r:id="rId3937" ref="C1788"/>
    <hyperlink r:id="rId3938" ref="A1789"/>
    <hyperlink r:id="rId3939" ref="C1789"/>
    <hyperlink r:id="rId3940" ref="A1790"/>
    <hyperlink r:id="rId3941" ref="C1790"/>
    <hyperlink r:id="rId3942" ref="A1791"/>
    <hyperlink r:id="rId3943" ref="C1791"/>
    <hyperlink r:id="rId3944" ref="A1792"/>
    <hyperlink r:id="rId3945" ref="C1792"/>
    <hyperlink r:id="rId3946" ref="A1793"/>
    <hyperlink r:id="rId3947" ref="C1793"/>
    <hyperlink r:id="rId3948" ref="A1794"/>
    <hyperlink r:id="rId3949" ref="C1794"/>
    <hyperlink r:id="rId3950" ref="A1795"/>
    <hyperlink r:id="rId3951" ref="C1795"/>
    <hyperlink r:id="rId3952" ref="A1796"/>
    <hyperlink r:id="rId3953" ref="C1796"/>
    <hyperlink r:id="rId3954" ref="A1797"/>
    <hyperlink r:id="rId3955" ref="C1797"/>
    <hyperlink r:id="rId3956" ref="A1798"/>
    <hyperlink r:id="rId3957" ref="C1798"/>
    <hyperlink r:id="rId3958" ref="A1799"/>
    <hyperlink r:id="rId3959" ref="C1799"/>
    <hyperlink r:id="rId3960" ref="A1800"/>
    <hyperlink r:id="rId3961" ref="C1800"/>
    <hyperlink r:id="rId3962" ref="A1801"/>
    <hyperlink r:id="rId3963" ref="C1801"/>
    <hyperlink r:id="rId3964" ref="A1802"/>
    <hyperlink r:id="rId3965" ref="C1802"/>
    <hyperlink r:id="rId3966" ref="A1803"/>
    <hyperlink r:id="rId3967" ref="C1803"/>
    <hyperlink r:id="rId3968" ref="A1804"/>
    <hyperlink r:id="rId3969" ref="C1804"/>
    <hyperlink r:id="rId3970" ref="A1805"/>
    <hyperlink r:id="rId3971" ref="C1805"/>
    <hyperlink r:id="rId3972" ref="A1806"/>
    <hyperlink r:id="rId3973" ref="C1806"/>
    <hyperlink r:id="rId3974" ref="A1807"/>
    <hyperlink r:id="rId3975" ref="C1807"/>
    <hyperlink r:id="rId3976" ref="E1807"/>
    <hyperlink r:id="rId3977" ref="A1808"/>
    <hyperlink r:id="rId3978" ref="C1808"/>
    <hyperlink r:id="rId3979" ref="A1809"/>
    <hyperlink r:id="rId3980" ref="C1809"/>
    <hyperlink r:id="rId3981" ref="A1810"/>
    <hyperlink r:id="rId3982" ref="C1810"/>
    <hyperlink r:id="rId3983" ref="A1811"/>
    <hyperlink r:id="rId3984" ref="C1811"/>
    <hyperlink r:id="rId3985" ref="A1812"/>
    <hyperlink r:id="rId3986" ref="C1812"/>
    <hyperlink r:id="rId3987" ref="E1812"/>
    <hyperlink r:id="rId3988" ref="A1813"/>
    <hyperlink r:id="rId3989" ref="A1814"/>
    <hyperlink r:id="rId3990" ref="C1814"/>
    <hyperlink r:id="rId3991" ref="A1815"/>
    <hyperlink r:id="rId3992" ref="A1816"/>
    <hyperlink r:id="rId3993" ref="A1817"/>
    <hyperlink r:id="rId3994" ref="A1818"/>
    <hyperlink r:id="rId3995" ref="C1818"/>
    <hyperlink r:id="rId3996" ref="A1819"/>
    <hyperlink r:id="rId3997" ref="A1820"/>
    <hyperlink r:id="rId3998" ref="A1821"/>
    <hyperlink r:id="rId3999" ref="A1822"/>
    <hyperlink r:id="rId4000" ref="A1823"/>
    <hyperlink r:id="rId4001" ref="C1823"/>
    <hyperlink r:id="rId4002" ref="A1824"/>
    <hyperlink r:id="rId4003" ref="A1825"/>
    <hyperlink r:id="rId4004" ref="A1826"/>
    <hyperlink r:id="rId4005" ref="A1827"/>
    <hyperlink r:id="rId4006" ref="A1828"/>
    <hyperlink r:id="rId4007" ref="A1829"/>
    <hyperlink r:id="rId4008" ref="A1830"/>
    <hyperlink r:id="rId4009" ref="A1831"/>
    <hyperlink r:id="rId4010" ref="A1832"/>
    <hyperlink r:id="rId4011" ref="A1833"/>
    <hyperlink r:id="rId4012" ref="C1833"/>
    <hyperlink r:id="rId4013" ref="A1834"/>
    <hyperlink r:id="rId4014" ref="C1834"/>
    <hyperlink r:id="rId4015" ref="A1835"/>
    <hyperlink r:id="rId4016" ref="C1835"/>
    <hyperlink r:id="rId4017" ref="A1836"/>
    <hyperlink r:id="rId4018" ref="C1836"/>
    <hyperlink r:id="rId4019" ref="A1837"/>
    <hyperlink r:id="rId4020" ref="C1837"/>
    <hyperlink r:id="rId4021" ref="A1838"/>
    <hyperlink r:id="rId4022" ref="C1838"/>
    <hyperlink r:id="rId4023" ref="A1839"/>
    <hyperlink r:id="rId4024" ref="C1839"/>
    <hyperlink r:id="rId4025" ref="A1840"/>
    <hyperlink r:id="rId4026" ref="C1840"/>
    <hyperlink r:id="rId4027" ref="E1840"/>
    <hyperlink r:id="rId4028" ref="A1841"/>
    <hyperlink r:id="rId4029" ref="C1841"/>
    <hyperlink r:id="rId4030" ref="A1842"/>
    <hyperlink r:id="rId4031" ref="C1842"/>
    <hyperlink r:id="rId4032" ref="A1843"/>
    <hyperlink r:id="rId4033" ref="C1843"/>
    <hyperlink r:id="rId4034" ref="A1844"/>
    <hyperlink r:id="rId4035" ref="C1844"/>
    <hyperlink r:id="rId4036" ref="A1845"/>
    <hyperlink r:id="rId4037" ref="C1845"/>
    <hyperlink r:id="rId4038" ref="A1846"/>
    <hyperlink r:id="rId4039" ref="C1846"/>
    <hyperlink r:id="rId4040" ref="A1847"/>
    <hyperlink r:id="rId4041" ref="C1847"/>
    <hyperlink r:id="rId4042" ref="A1848"/>
    <hyperlink r:id="rId4043" ref="C1848"/>
    <hyperlink r:id="rId4044" ref="A1849"/>
    <hyperlink r:id="rId4045" ref="C1849"/>
    <hyperlink r:id="rId4046" ref="A1850"/>
    <hyperlink r:id="rId4047" ref="C1850"/>
    <hyperlink r:id="rId4048" ref="A1851"/>
    <hyperlink r:id="rId4049" ref="C1851"/>
    <hyperlink r:id="rId4050" ref="A1852"/>
    <hyperlink r:id="rId4051" ref="C1852"/>
    <hyperlink r:id="rId4052" ref="E1852"/>
    <hyperlink r:id="rId4053" ref="A1853"/>
    <hyperlink r:id="rId4054" ref="C1853"/>
    <hyperlink r:id="rId4055" ref="A1854"/>
    <hyperlink r:id="rId4056" ref="C1854"/>
    <hyperlink r:id="rId4057" ref="A1855"/>
    <hyperlink r:id="rId4058" ref="C1855"/>
    <hyperlink r:id="rId4059" ref="A1856"/>
    <hyperlink r:id="rId4060" ref="C1856"/>
    <hyperlink r:id="rId4061" ref="A1857"/>
    <hyperlink r:id="rId4062" ref="C1857"/>
    <hyperlink r:id="rId4063" ref="A1858"/>
    <hyperlink r:id="rId4064" ref="C1858"/>
    <hyperlink r:id="rId4065" ref="A1859"/>
    <hyperlink r:id="rId4066" ref="C1859"/>
    <hyperlink r:id="rId4067" ref="E1859"/>
    <hyperlink r:id="rId4068" ref="A1860"/>
    <hyperlink r:id="rId4069" ref="C1860"/>
    <hyperlink r:id="rId4070" ref="A1861"/>
    <hyperlink r:id="rId4071" ref="C1861"/>
    <hyperlink r:id="rId4072" ref="A1862"/>
    <hyperlink r:id="rId4073" ref="C1862"/>
    <hyperlink r:id="rId4074" ref="A1863"/>
    <hyperlink r:id="rId4075" ref="C1863"/>
    <hyperlink r:id="rId4076" ref="A1864"/>
    <hyperlink r:id="rId4077" ref="C1864"/>
    <hyperlink r:id="rId4078" ref="A1865"/>
    <hyperlink r:id="rId4079" ref="C1865"/>
    <hyperlink r:id="rId4080" ref="A1866"/>
    <hyperlink r:id="rId4081" ref="C1866"/>
    <hyperlink r:id="rId4082" ref="A1867"/>
    <hyperlink r:id="rId4083" ref="C1867"/>
    <hyperlink r:id="rId4084" ref="A1868"/>
    <hyperlink r:id="rId4085" ref="C1868"/>
    <hyperlink r:id="rId4086" ref="A1869"/>
    <hyperlink r:id="rId4087" ref="C1869"/>
    <hyperlink r:id="rId4088" ref="A1870"/>
    <hyperlink r:id="rId4089" ref="C1870"/>
    <hyperlink r:id="rId4090" ref="A1871"/>
    <hyperlink r:id="rId4091" ref="C1871"/>
    <hyperlink r:id="rId4092" ref="E1871"/>
    <hyperlink r:id="rId4093" ref="A1872"/>
    <hyperlink r:id="rId4094" ref="C1872"/>
    <hyperlink r:id="rId4095" ref="A1873"/>
    <hyperlink r:id="rId4096" ref="C1873"/>
    <hyperlink r:id="rId4097" ref="A1874"/>
    <hyperlink r:id="rId4098" ref="C1874"/>
    <hyperlink r:id="rId4099" ref="E1874"/>
    <hyperlink r:id="rId4100" ref="A1875"/>
    <hyperlink r:id="rId4101" ref="C1875"/>
    <hyperlink r:id="rId4102" ref="A1876"/>
    <hyperlink r:id="rId4103" ref="C1876"/>
    <hyperlink r:id="rId4104" ref="E1876"/>
    <hyperlink r:id="rId4105" ref="A1877"/>
    <hyperlink r:id="rId4106" ref="C1877"/>
    <hyperlink r:id="rId4107" ref="A1878"/>
    <hyperlink r:id="rId4108" ref="C1878"/>
    <hyperlink r:id="rId4109" ref="A1879"/>
    <hyperlink r:id="rId4110" ref="C1879"/>
    <hyperlink r:id="rId4111" ref="A1880"/>
    <hyperlink r:id="rId4112" ref="C1880"/>
    <hyperlink r:id="rId4113" ref="A1881"/>
    <hyperlink r:id="rId4114" ref="C1881"/>
    <hyperlink r:id="rId4115" ref="A1882"/>
    <hyperlink r:id="rId4116" ref="C1882"/>
    <hyperlink r:id="rId4117" ref="A1883"/>
    <hyperlink r:id="rId4118" ref="C1883"/>
    <hyperlink r:id="rId4119" ref="A1884"/>
    <hyperlink r:id="rId4120" ref="C1884"/>
    <hyperlink r:id="rId4121" ref="A1885"/>
    <hyperlink r:id="rId4122" ref="C1885"/>
    <hyperlink r:id="rId4123" ref="A1886"/>
    <hyperlink r:id="rId4124" ref="C1886"/>
    <hyperlink r:id="rId4125" ref="A1887"/>
    <hyperlink r:id="rId4126" ref="C1887"/>
    <hyperlink r:id="rId4127" ref="A1888"/>
    <hyperlink r:id="rId4128" ref="C1888"/>
    <hyperlink r:id="rId4129" ref="A1889"/>
    <hyperlink r:id="rId4130" ref="C1889"/>
    <hyperlink r:id="rId4131" ref="A1890"/>
    <hyperlink r:id="rId4132" ref="C1890"/>
    <hyperlink r:id="rId4133" ref="A1891"/>
    <hyperlink r:id="rId4134" ref="C1891"/>
    <hyperlink r:id="rId4135" ref="E1891"/>
    <hyperlink r:id="rId4136" ref="A1892"/>
    <hyperlink r:id="rId4137" ref="C1892"/>
    <hyperlink r:id="rId4138" ref="A1893"/>
    <hyperlink r:id="rId4139" ref="C1893"/>
    <hyperlink r:id="rId4140" ref="A1894"/>
    <hyperlink r:id="rId4141" ref="C1894"/>
    <hyperlink r:id="rId4142" ref="A1895"/>
    <hyperlink r:id="rId4143" ref="C1895"/>
    <hyperlink r:id="rId4144" ref="A1896"/>
    <hyperlink r:id="rId4145" ref="C1896"/>
    <hyperlink r:id="rId4146" ref="A1897"/>
    <hyperlink r:id="rId4147" ref="C1897"/>
    <hyperlink r:id="rId4148" ref="A1898"/>
    <hyperlink r:id="rId4149" ref="C1898"/>
    <hyperlink r:id="rId4150" ref="E1898"/>
    <hyperlink r:id="rId4151" ref="A1899"/>
    <hyperlink r:id="rId4152" ref="C1899"/>
    <hyperlink r:id="rId4153" ref="A1900"/>
    <hyperlink r:id="rId4154" ref="C1900"/>
    <hyperlink r:id="rId4155" ref="E1900"/>
    <hyperlink r:id="rId4156" ref="A1901"/>
    <hyperlink r:id="rId4157" ref="C1901"/>
    <hyperlink r:id="rId4158" ref="A1902"/>
    <hyperlink r:id="rId4159" ref="C1902"/>
    <hyperlink r:id="rId4160" ref="E1902"/>
    <hyperlink r:id="rId4161" ref="A1903"/>
    <hyperlink r:id="rId4162" ref="C1903"/>
    <hyperlink r:id="rId4163" ref="A1904"/>
    <hyperlink r:id="rId4164" ref="C1904"/>
    <hyperlink r:id="rId4165" ref="A1905"/>
    <hyperlink r:id="rId4166" ref="C1905"/>
    <hyperlink r:id="rId4167" ref="A1906"/>
    <hyperlink r:id="rId4168" ref="C1906"/>
    <hyperlink r:id="rId4169" ref="A1907"/>
    <hyperlink r:id="rId4170" ref="C1907"/>
    <hyperlink r:id="rId4171" ref="A1908"/>
    <hyperlink r:id="rId4172" ref="C1908"/>
    <hyperlink r:id="rId4173" ref="A1909"/>
    <hyperlink r:id="rId4174" ref="C1909"/>
    <hyperlink r:id="rId4175" ref="A1910"/>
    <hyperlink r:id="rId4176" ref="C1910"/>
    <hyperlink r:id="rId4177" ref="A1911"/>
    <hyperlink r:id="rId4178" ref="C1911"/>
    <hyperlink r:id="rId4179" ref="A1912"/>
    <hyperlink r:id="rId4180" ref="C1912"/>
    <hyperlink r:id="rId4181" ref="A1913"/>
    <hyperlink r:id="rId4182" ref="C1913"/>
    <hyperlink r:id="rId4183" ref="A1914"/>
    <hyperlink r:id="rId4184" ref="C1914"/>
    <hyperlink r:id="rId4185" ref="A1915"/>
    <hyperlink r:id="rId4186" ref="C1915"/>
    <hyperlink r:id="rId4187" ref="E1915"/>
    <hyperlink r:id="rId4188" ref="A1916"/>
    <hyperlink r:id="rId4189" ref="C1916"/>
    <hyperlink r:id="rId4190" ref="A1917"/>
    <hyperlink r:id="rId4191" ref="C1917"/>
    <hyperlink r:id="rId4192" ref="E1917"/>
    <hyperlink r:id="rId4193" ref="A1918"/>
    <hyperlink r:id="rId4194" ref="C1918"/>
    <hyperlink r:id="rId4195" ref="E1918"/>
    <hyperlink r:id="rId4196" ref="A1919"/>
    <hyperlink r:id="rId4197" ref="C1919"/>
    <hyperlink r:id="rId4198" ref="A1920"/>
    <hyperlink r:id="rId4199" ref="C1920"/>
    <hyperlink r:id="rId4200" ref="A1921"/>
    <hyperlink r:id="rId4201" ref="C1921"/>
    <hyperlink r:id="rId4202" ref="A1922"/>
    <hyperlink r:id="rId4203" ref="C1922"/>
    <hyperlink r:id="rId4204" ref="A1923"/>
    <hyperlink r:id="rId4205" ref="A1924"/>
    <hyperlink r:id="rId4206" ref="C1924"/>
    <hyperlink r:id="rId4207" ref="A1925"/>
    <hyperlink r:id="rId4208" ref="C1925"/>
    <hyperlink r:id="rId4209" ref="E1925"/>
    <hyperlink r:id="rId4210" ref="A1926"/>
    <hyperlink r:id="rId4211" ref="C1926"/>
    <hyperlink r:id="rId4212" ref="E1926"/>
    <hyperlink r:id="rId4213" ref="A1927"/>
    <hyperlink r:id="rId4214" ref="C1927"/>
    <hyperlink r:id="rId4215" ref="E1927"/>
    <hyperlink r:id="rId4216" ref="A1928"/>
    <hyperlink r:id="rId4217" ref="C1928"/>
    <hyperlink r:id="rId4218" ref="A1929"/>
    <hyperlink r:id="rId4219" ref="C1929"/>
    <hyperlink r:id="rId4220" ref="A1930"/>
    <hyperlink r:id="rId4221" ref="C1930"/>
    <hyperlink r:id="rId4222" ref="E1930"/>
    <hyperlink r:id="rId4223" ref="A1931"/>
    <hyperlink r:id="rId4224" ref="C1931"/>
    <hyperlink r:id="rId4225" ref="A1932"/>
    <hyperlink r:id="rId4226" ref="C1932"/>
    <hyperlink r:id="rId4227" ref="A1933"/>
    <hyperlink r:id="rId4228" ref="C1933"/>
    <hyperlink r:id="rId4229" ref="E1933"/>
    <hyperlink r:id="rId4230" ref="A1934"/>
    <hyperlink r:id="rId4231" ref="C1934"/>
    <hyperlink r:id="rId4232" ref="E1934"/>
    <hyperlink r:id="rId4233" ref="A1935"/>
    <hyperlink r:id="rId4234" ref="C1935"/>
    <hyperlink r:id="rId4235" ref="E1935"/>
    <hyperlink r:id="rId4236" ref="A1936"/>
    <hyperlink r:id="rId4237" ref="C1936"/>
    <hyperlink r:id="rId4238" ref="E1936"/>
    <hyperlink r:id="rId4239" ref="A1937"/>
    <hyperlink r:id="rId4240" ref="C1937"/>
    <hyperlink r:id="rId4241" ref="E1937"/>
    <hyperlink r:id="rId4242" ref="A1938"/>
    <hyperlink r:id="rId4243" ref="C1938"/>
    <hyperlink r:id="rId4244" ref="E1938"/>
    <hyperlink r:id="rId4245" ref="A1939"/>
    <hyperlink r:id="rId4246" ref="C1939"/>
    <hyperlink r:id="rId4247" ref="E1939"/>
    <hyperlink r:id="rId4248" ref="A1940"/>
    <hyperlink r:id="rId4249" ref="C1940"/>
    <hyperlink r:id="rId4250" ref="E1940"/>
    <hyperlink r:id="rId4251" ref="A1941"/>
    <hyperlink r:id="rId4252" ref="C1941"/>
    <hyperlink r:id="rId4253" ref="E1941"/>
    <hyperlink r:id="rId4254" ref="A1942"/>
    <hyperlink r:id="rId4255" ref="C1942"/>
    <hyperlink r:id="rId4256" ref="E1942"/>
    <hyperlink r:id="rId4257" ref="A1943"/>
    <hyperlink r:id="rId4258" ref="C1943"/>
    <hyperlink r:id="rId4259" ref="E1943"/>
    <hyperlink r:id="rId4260" ref="A1944"/>
    <hyperlink r:id="rId4261" ref="C1944"/>
    <hyperlink r:id="rId4262" ref="E1944"/>
    <hyperlink r:id="rId4263" ref="A1945"/>
    <hyperlink r:id="rId4264" ref="C1945"/>
    <hyperlink r:id="rId4265" ref="E1945"/>
    <hyperlink r:id="rId4266" ref="A1946"/>
    <hyperlink r:id="rId4267" ref="C1946"/>
    <hyperlink r:id="rId4268" ref="E1946"/>
    <hyperlink r:id="rId4269" ref="A1947"/>
    <hyperlink r:id="rId4270" ref="C1947"/>
    <hyperlink r:id="rId4271" ref="E1947"/>
    <hyperlink r:id="rId4272" ref="A1948"/>
    <hyperlink r:id="rId4273" ref="C1948"/>
    <hyperlink r:id="rId4274" ref="E1948"/>
    <hyperlink r:id="rId4275" ref="A1949"/>
    <hyperlink r:id="rId4276" ref="C1949"/>
    <hyperlink r:id="rId4277" ref="E1949"/>
    <hyperlink r:id="rId4278" ref="A1950"/>
    <hyperlink r:id="rId4279" ref="C1950"/>
    <hyperlink r:id="rId4280" ref="E1950"/>
    <hyperlink r:id="rId4281" ref="A1951"/>
    <hyperlink r:id="rId4282" ref="C1951"/>
    <hyperlink r:id="rId4283" ref="E1951"/>
    <hyperlink r:id="rId4284" ref="A1952"/>
    <hyperlink r:id="rId4285" ref="C1952"/>
    <hyperlink r:id="rId4286" ref="E1952"/>
    <hyperlink r:id="rId4287" ref="A1953"/>
    <hyperlink r:id="rId4288" ref="C1953"/>
    <hyperlink r:id="rId4289" ref="E1953"/>
    <hyperlink r:id="rId4290" ref="A1954"/>
    <hyperlink r:id="rId4291" ref="C1954"/>
    <hyperlink r:id="rId4292" ref="E1954"/>
    <hyperlink r:id="rId4293" ref="A1955"/>
    <hyperlink r:id="rId4294" ref="C1955"/>
    <hyperlink r:id="rId4295" ref="E1955"/>
    <hyperlink r:id="rId4296" ref="A1956"/>
    <hyperlink r:id="rId4297" ref="C1956"/>
    <hyperlink r:id="rId4298" ref="E1956"/>
    <hyperlink r:id="rId4299" ref="A1957"/>
    <hyperlink r:id="rId4300" ref="C1957"/>
    <hyperlink r:id="rId4301" ref="E1957"/>
    <hyperlink r:id="rId4302" ref="A1958"/>
    <hyperlink r:id="rId4303" ref="C1958"/>
    <hyperlink r:id="rId4304" ref="A1959"/>
    <hyperlink r:id="rId4305" ref="C1959"/>
    <hyperlink r:id="rId4306" ref="A1960"/>
    <hyperlink r:id="rId4307" ref="C1960"/>
    <hyperlink r:id="rId4308" ref="A1961"/>
    <hyperlink r:id="rId4309" ref="C1961"/>
    <hyperlink r:id="rId4310" ref="A1962"/>
    <hyperlink r:id="rId4311" ref="C1962"/>
    <hyperlink r:id="rId4312" ref="A1963"/>
    <hyperlink r:id="rId4313" ref="C1963"/>
    <hyperlink r:id="rId4314" ref="A1964"/>
    <hyperlink r:id="rId4315" ref="C1964"/>
    <hyperlink r:id="rId4316" ref="A1965"/>
    <hyperlink r:id="rId4317" ref="C1965"/>
    <hyperlink r:id="rId4318" ref="A1966"/>
    <hyperlink r:id="rId4319" ref="C1966"/>
    <hyperlink r:id="rId4320" ref="A1967"/>
    <hyperlink r:id="rId4321" ref="C1967"/>
    <hyperlink r:id="rId4322" ref="A1968"/>
    <hyperlink r:id="rId4323" ref="A1969"/>
    <hyperlink r:id="rId4324" ref="A1970"/>
    <hyperlink r:id="rId4325" ref="C1970"/>
    <hyperlink r:id="rId4326" ref="A1971"/>
    <hyperlink r:id="rId4327" ref="C1971"/>
    <hyperlink r:id="rId4328" ref="E1971"/>
    <hyperlink r:id="rId4329" ref="A1972"/>
    <hyperlink r:id="rId4330" ref="C1972"/>
    <hyperlink r:id="rId4331" ref="A1973"/>
    <hyperlink r:id="rId4332" ref="C1973"/>
    <hyperlink r:id="rId4333" ref="A1974"/>
    <hyperlink r:id="rId4334" ref="C1974"/>
    <hyperlink r:id="rId4335" ref="A1975"/>
    <hyperlink r:id="rId4336" ref="C1975"/>
    <hyperlink r:id="rId4337" ref="A1976"/>
    <hyperlink r:id="rId4338" ref="C1976"/>
    <hyperlink r:id="rId4339" ref="A1977"/>
    <hyperlink r:id="rId4340" ref="C1977"/>
    <hyperlink r:id="rId4341" ref="E1977"/>
    <hyperlink r:id="rId4342" ref="A1978"/>
    <hyperlink r:id="rId4343" ref="C1978"/>
    <hyperlink r:id="rId4344" ref="A1979"/>
    <hyperlink r:id="rId4345" ref="C1979"/>
    <hyperlink r:id="rId4346" ref="E1979"/>
    <hyperlink r:id="rId4347" ref="A1980"/>
    <hyperlink r:id="rId4348" ref="C1980"/>
    <hyperlink r:id="rId4349" ref="E1980"/>
    <hyperlink r:id="rId4350" ref="A1981"/>
    <hyperlink r:id="rId4351" ref="C1981"/>
  </hyperlinks>
  <drawing r:id="rId43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1839</v>
      </c>
      <c r="B1" s="1" t="s">
        <v>1840</v>
      </c>
      <c r="C1" s="1" t="s">
        <v>1841</v>
      </c>
      <c r="D1" s="1" t="s">
        <v>1842</v>
      </c>
      <c r="E1" s="4" t="s">
        <v>1843</v>
      </c>
    </row>
    <row r="2">
      <c r="A2" s="2" t="s">
        <v>1140</v>
      </c>
      <c r="B2" s="1" t="s">
        <v>1141</v>
      </c>
      <c r="C2" s="2" t="s">
        <v>1844</v>
      </c>
      <c r="D2" s="1" t="s">
        <v>1845</v>
      </c>
      <c r="E2" s="5" t="s">
        <v>1846</v>
      </c>
    </row>
    <row r="3">
      <c r="A3" s="2" t="s">
        <v>1140</v>
      </c>
      <c r="B3" s="1" t="s">
        <v>1141</v>
      </c>
      <c r="C3" s="2" t="s">
        <v>1847</v>
      </c>
      <c r="D3" s="1" t="s">
        <v>1848</v>
      </c>
      <c r="E3" s="6" t="s">
        <v>1846</v>
      </c>
    </row>
    <row r="4">
      <c r="A4" s="2" t="s">
        <v>474</v>
      </c>
      <c r="B4" s="1" t="s">
        <v>475</v>
      </c>
      <c r="C4" s="2" t="s">
        <v>1849</v>
      </c>
      <c r="D4" s="1" t="s">
        <v>1850</v>
      </c>
      <c r="E4" s="6" t="s">
        <v>1846</v>
      </c>
    </row>
    <row r="5">
      <c r="A5" s="2" t="s">
        <v>1061</v>
      </c>
      <c r="B5" s="1" t="s">
        <v>1062</v>
      </c>
      <c r="C5" s="2" t="s">
        <v>1851</v>
      </c>
      <c r="D5" s="1" t="s">
        <v>1852</v>
      </c>
      <c r="E5" s="6" t="s">
        <v>1846</v>
      </c>
    </row>
    <row r="6">
      <c r="A6" s="2" t="s">
        <v>1571</v>
      </c>
      <c r="B6" s="1" t="s">
        <v>1572</v>
      </c>
      <c r="C6" s="2" t="s">
        <v>1849</v>
      </c>
      <c r="D6" s="1" t="s">
        <v>1850</v>
      </c>
      <c r="E6" s="6" t="s">
        <v>1853</v>
      </c>
    </row>
    <row r="7">
      <c r="A7" s="2" t="s">
        <v>1061</v>
      </c>
      <c r="B7" s="1" t="s">
        <v>1062</v>
      </c>
      <c r="C7" s="2" t="s">
        <v>1854</v>
      </c>
      <c r="D7" s="1" t="s">
        <v>1855</v>
      </c>
      <c r="E7" s="6" t="s">
        <v>1846</v>
      </c>
    </row>
    <row r="8">
      <c r="A8" s="2" t="s">
        <v>876</v>
      </c>
      <c r="B8" s="1" t="s">
        <v>877</v>
      </c>
      <c r="C8" s="2" t="s">
        <v>1856</v>
      </c>
      <c r="D8" s="1" t="s">
        <v>1857</v>
      </c>
      <c r="E8" s="6" t="s">
        <v>1853</v>
      </c>
    </row>
    <row r="9">
      <c r="A9" s="2" t="s">
        <v>1500</v>
      </c>
      <c r="B9" s="1" t="s">
        <v>1501</v>
      </c>
      <c r="C9" s="2" t="s">
        <v>1858</v>
      </c>
      <c r="D9" s="1" t="s">
        <v>1859</v>
      </c>
      <c r="E9" s="6" t="s">
        <v>1846</v>
      </c>
    </row>
    <row r="10">
      <c r="A10" s="2" t="s">
        <v>1571</v>
      </c>
      <c r="B10" s="1" t="s">
        <v>1572</v>
      </c>
      <c r="C10" s="2" t="s">
        <v>1860</v>
      </c>
      <c r="D10" s="1" t="s">
        <v>1861</v>
      </c>
      <c r="E10" s="6" t="s">
        <v>1862</v>
      </c>
    </row>
    <row r="11">
      <c r="A11" s="2" t="s">
        <v>657</v>
      </c>
      <c r="B11" s="1" t="s">
        <v>658</v>
      </c>
      <c r="C11" s="2" t="s">
        <v>1863</v>
      </c>
      <c r="D11" s="1" t="s">
        <v>1864</v>
      </c>
      <c r="E11" s="6" t="s">
        <v>1846</v>
      </c>
    </row>
    <row r="12">
      <c r="A12" s="2" t="s">
        <v>1061</v>
      </c>
      <c r="B12" s="1" t="s">
        <v>1062</v>
      </c>
      <c r="C12" s="2" t="s">
        <v>1865</v>
      </c>
      <c r="D12" s="1" t="s">
        <v>1866</v>
      </c>
      <c r="E12" s="6" t="s">
        <v>1846</v>
      </c>
    </row>
    <row r="13">
      <c r="A13" s="2" t="s">
        <v>543</v>
      </c>
      <c r="B13" s="1" t="s">
        <v>544</v>
      </c>
      <c r="C13" s="2" t="s">
        <v>1867</v>
      </c>
      <c r="D13" s="1" t="s">
        <v>1868</v>
      </c>
      <c r="E13" s="6" t="s">
        <v>1853</v>
      </c>
    </row>
    <row r="14">
      <c r="A14" s="2" t="s">
        <v>667</v>
      </c>
      <c r="B14" s="1" t="s">
        <v>668</v>
      </c>
      <c r="C14" s="2" t="s">
        <v>1844</v>
      </c>
      <c r="D14" s="1" t="s">
        <v>1845</v>
      </c>
      <c r="E14" s="6" t="s">
        <v>1846</v>
      </c>
    </row>
    <row r="15">
      <c r="A15" s="2" t="s">
        <v>623</v>
      </c>
      <c r="B15" s="1" t="s">
        <v>624</v>
      </c>
      <c r="C15" s="2" t="s">
        <v>1869</v>
      </c>
      <c r="D15" s="1" t="s">
        <v>1870</v>
      </c>
      <c r="E15" s="6" t="s">
        <v>1846</v>
      </c>
    </row>
    <row r="16">
      <c r="A16" s="2" t="s">
        <v>667</v>
      </c>
      <c r="B16" s="1" t="s">
        <v>668</v>
      </c>
      <c r="C16" s="2" t="s">
        <v>1871</v>
      </c>
      <c r="D16" s="1" t="s">
        <v>1872</v>
      </c>
      <c r="E16" s="6" t="s">
        <v>1846</v>
      </c>
    </row>
    <row r="17">
      <c r="A17" s="2" t="s">
        <v>1491</v>
      </c>
      <c r="B17" s="1" t="s">
        <v>1492</v>
      </c>
      <c r="C17" s="2" t="s">
        <v>1847</v>
      </c>
      <c r="D17" s="1" t="s">
        <v>1848</v>
      </c>
      <c r="E17" s="6" t="s">
        <v>1846</v>
      </c>
    </row>
    <row r="18">
      <c r="A18" s="2" t="s">
        <v>1142</v>
      </c>
      <c r="B18" s="1" t="s">
        <v>1143</v>
      </c>
      <c r="C18" s="2" t="s">
        <v>1873</v>
      </c>
      <c r="D18" s="1" t="s">
        <v>1874</v>
      </c>
      <c r="E18" s="6" t="s">
        <v>1853</v>
      </c>
    </row>
    <row r="19">
      <c r="A19" s="2" t="s">
        <v>689</v>
      </c>
      <c r="B19" s="1" t="s">
        <v>690</v>
      </c>
      <c r="C19" s="2" t="s">
        <v>1875</v>
      </c>
      <c r="D19" s="1" t="s">
        <v>1876</v>
      </c>
      <c r="E19" s="6" t="s">
        <v>1846</v>
      </c>
    </row>
    <row r="20">
      <c r="A20" s="2" t="s">
        <v>691</v>
      </c>
      <c r="B20" s="1" t="s">
        <v>692</v>
      </c>
      <c r="C20" s="2" t="s">
        <v>1875</v>
      </c>
      <c r="D20" s="1" t="s">
        <v>1876</v>
      </c>
      <c r="E20" s="6" t="s">
        <v>1846</v>
      </c>
    </row>
    <row r="21">
      <c r="A21" s="2" t="s">
        <v>623</v>
      </c>
      <c r="B21" s="1" t="s">
        <v>624</v>
      </c>
      <c r="C21" s="2" t="s">
        <v>1875</v>
      </c>
      <c r="D21" s="1" t="s">
        <v>1876</v>
      </c>
      <c r="E21" s="6" t="s">
        <v>1846</v>
      </c>
    </row>
    <row r="22">
      <c r="A22" s="2" t="s">
        <v>619</v>
      </c>
      <c r="B22" s="1" t="s">
        <v>620</v>
      </c>
      <c r="C22" s="2" t="s">
        <v>1875</v>
      </c>
      <c r="D22" s="1" t="s">
        <v>1876</v>
      </c>
      <c r="E22" s="6" t="s">
        <v>1846</v>
      </c>
    </row>
    <row r="23">
      <c r="A23" s="2" t="s">
        <v>535</v>
      </c>
      <c r="B23" s="1" t="s">
        <v>536</v>
      </c>
      <c r="C23" s="2" t="s">
        <v>1867</v>
      </c>
      <c r="D23" s="1" t="s">
        <v>1868</v>
      </c>
      <c r="E23" s="6" t="s">
        <v>1846</v>
      </c>
    </row>
    <row r="24">
      <c r="A24" s="2" t="s">
        <v>555</v>
      </c>
      <c r="B24" s="1" t="s">
        <v>556</v>
      </c>
      <c r="C24" s="2" t="s">
        <v>1877</v>
      </c>
      <c r="D24" s="1" t="s">
        <v>1878</v>
      </c>
      <c r="E24" s="6" t="s">
        <v>1862</v>
      </c>
    </row>
    <row r="25">
      <c r="A25" s="2" t="s">
        <v>1061</v>
      </c>
      <c r="B25" s="1" t="s">
        <v>1062</v>
      </c>
      <c r="C25" s="2" t="s">
        <v>1879</v>
      </c>
      <c r="D25" s="1" t="s">
        <v>1880</v>
      </c>
      <c r="E25" s="6" t="s">
        <v>1846</v>
      </c>
    </row>
    <row r="26">
      <c r="A26" s="2" t="s">
        <v>1142</v>
      </c>
      <c r="B26" s="1" t="s">
        <v>1143</v>
      </c>
      <c r="C26" s="2" t="s">
        <v>1881</v>
      </c>
      <c r="D26" s="1" t="s">
        <v>1882</v>
      </c>
      <c r="E26" s="6" t="s">
        <v>1853</v>
      </c>
    </row>
    <row r="27">
      <c r="A27" s="2" t="s">
        <v>736</v>
      </c>
      <c r="B27" s="1" t="s">
        <v>737</v>
      </c>
      <c r="C27" s="2" t="s">
        <v>1883</v>
      </c>
      <c r="D27" s="1" t="s">
        <v>1884</v>
      </c>
      <c r="E27" s="6" t="s">
        <v>1846</v>
      </c>
    </row>
    <row r="28">
      <c r="A28" s="2" t="s">
        <v>872</v>
      </c>
      <c r="B28" s="1" t="s">
        <v>873</v>
      </c>
      <c r="C28" s="2" t="s">
        <v>1849</v>
      </c>
      <c r="D28" s="1" t="s">
        <v>1850</v>
      </c>
      <c r="E28" s="6" t="s">
        <v>1853</v>
      </c>
    </row>
    <row r="29">
      <c r="A29" s="2" t="s">
        <v>1534</v>
      </c>
      <c r="B29" s="1" t="s">
        <v>1535</v>
      </c>
      <c r="C29" s="2" t="s">
        <v>1885</v>
      </c>
      <c r="D29" s="1" t="s">
        <v>1886</v>
      </c>
      <c r="E29" s="6" t="s">
        <v>1853</v>
      </c>
    </row>
    <row r="30">
      <c r="A30" s="2" t="s">
        <v>527</v>
      </c>
      <c r="B30" s="1" t="s">
        <v>528</v>
      </c>
      <c r="C30" s="2" t="s">
        <v>1887</v>
      </c>
      <c r="D30" s="1" t="s">
        <v>1888</v>
      </c>
      <c r="E30" s="6" t="s">
        <v>1853</v>
      </c>
    </row>
    <row r="31">
      <c r="A31" s="2" t="s">
        <v>872</v>
      </c>
      <c r="B31" s="1" t="s">
        <v>873</v>
      </c>
      <c r="C31" s="2" t="s">
        <v>1869</v>
      </c>
      <c r="D31" s="1" t="s">
        <v>1870</v>
      </c>
      <c r="E31" s="6" t="s">
        <v>1846</v>
      </c>
    </row>
    <row r="32">
      <c r="A32" s="2" t="s">
        <v>667</v>
      </c>
      <c r="B32" s="1" t="s">
        <v>668</v>
      </c>
      <c r="C32" s="2" t="s">
        <v>1849</v>
      </c>
      <c r="D32" s="1" t="s">
        <v>1850</v>
      </c>
      <c r="E32" s="6" t="s">
        <v>1853</v>
      </c>
    </row>
    <row r="33">
      <c r="A33" s="2" t="s">
        <v>1530</v>
      </c>
      <c r="B33" s="1" t="s">
        <v>1531</v>
      </c>
      <c r="C33" s="2" t="s">
        <v>1889</v>
      </c>
      <c r="D33" s="1" t="s">
        <v>1890</v>
      </c>
      <c r="E33" s="6" t="s">
        <v>1846</v>
      </c>
    </row>
    <row r="34">
      <c r="A34" s="2" t="s">
        <v>527</v>
      </c>
      <c r="B34" s="1" t="s">
        <v>528</v>
      </c>
      <c r="C34" s="2" t="s">
        <v>1883</v>
      </c>
      <c r="D34" s="1" t="s">
        <v>1884</v>
      </c>
      <c r="E34" s="6" t="s">
        <v>1846</v>
      </c>
    </row>
    <row r="35">
      <c r="A35" s="2" t="s">
        <v>1532</v>
      </c>
      <c r="B35" s="1" t="s">
        <v>1533</v>
      </c>
      <c r="C35" s="2" t="s">
        <v>1844</v>
      </c>
      <c r="D35" s="1" t="s">
        <v>1845</v>
      </c>
      <c r="E35" s="6" t="s">
        <v>1846</v>
      </c>
    </row>
    <row r="36">
      <c r="A36" s="2" t="s">
        <v>1532</v>
      </c>
      <c r="B36" s="1" t="s">
        <v>1533</v>
      </c>
      <c r="C36" s="2" t="s">
        <v>1891</v>
      </c>
      <c r="D36" s="1" t="s">
        <v>1892</v>
      </c>
      <c r="E36" s="6" t="s">
        <v>1846</v>
      </c>
    </row>
    <row r="37">
      <c r="A37" s="2" t="s">
        <v>872</v>
      </c>
      <c r="B37" s="1" t="s">
        <v>873</v>
      </c>
      <c r="C37" s="2" t="s">
        <v>1875</v>
      </c>
      <c r="D37" s="1" t="s">
        <v>1876</v>
      </c>
      <c r="E37" s="6" t="s">
        <v>1846</v>
      </c>
    </row>
    <row r="38">
      <c r="A38" s="2" t="s">
        <v>657</v>
      </c>
      <c r="B38" s="1" t="s">
        <v>658</v>
      </c>
      <c r="C38" s="2" t="s">
        <v>1875</v>
      </c>
      <c r="D38" s="1" t="s">
        <v>1876</v>
      </c>
      <c r="E38" s="6" t="s">
        <v>1846</v>
      </c>
    </row>
    <row r="39">
      <c r="A39" s="2" t="s">
        <v>667</v>
      </c>
      <c r="B39" s="1" t="s">
        <v>668</v>
      </c>
      <c r="C39" s="2" t="s">
        <v>1875</v>
      </c>
      <c r="D39" s="1" t="s">
        <v>1876</v>
      </c>
      <c r="E39" s="6" t="s">
        <v>1846</v>
      </c>
    </row>
    <row r="40">
      <c r="A40" s="2" t="s">
        <v>667</v>
      </c>
      <c r="B40" s="1" t="s">
        <v>668</v>
      </c>
      <c r="C40" s="2" t="s">
        <v>1860</v>
      </c>
      <c r="D40" s="1" t="s">
        <v>1861</v>
      </c>
      <c r="E40" s="6" t="s">
        <v>1862</v>
      </c>
    </row>
    <row r="41">
      <c r="A41" s="2" t="s">
        <v>736</v>
      </c>
      <c r="B41" s="1" t="s">
        <v>737</v>
      </c>
      <c r="C41" s="2" t="s">
        <v>1849</v>
      </c>
      <c r="D41" s="1" t="s">
        <v>1850</v>
      </c>
      <c r="E41" s="6" t="s">
        <v>1853</v>
      </c>
    </row>
    <row r="42">
      <c r="A42" s="2" t="s">
        <v>736</v>
      </c>
      <c r="B42" s="1" t="s">
        <v>737</v>
      </c>
      <c r="C42" s="2" t="s">
        <v>1849</v>
      </c>
      <c r="D42" s="1" t="s">
        <v>1850</v>
      </c>
      <c r="E42" s="6" t="s">
        <v>1846</v>
      </c>
    </row>
    <row r="43">
      <c r="A43" s="2" t="s">
        <v>1491</v>
      </c>
      <c r="B43" s="1" t="s">
        <v>1492</v>
      </c>
      <c r="C43" s="2" t="s">
        <v>1875</v>
      </c>
      <c r="D43" s="1" t="s">
        <v>1876</v>
      </c>
      <c r="E43" s="6" t="s">
        <v>1846</v>
      </c>
    </row>
    <row r="44">
      <c r="A44" s="2" t="s">
        <v>1142</v>
      </c>
      <c r="B44" s="1" t="s">
        <v>1143</v>
      </c>
      <c r="C44" s="2" t="s">
        <v>1860</v>
      </c>
      <c r="D44" s="1" t="s">
        <v>1861</v>
      </c>
      <c r="E44" s="6" t="s">
        <v>1862</v>
      </c>
    </row>
    <row r="45">
      <c r="A45" s="2" t="s">
        <v>1061</v>
      </c>
      <c r="B45" s="1" t="s">
        <v>1062</v>
      </c>
      <c r="C45" s="2" t="s">
        <v>1849</v>
      </c>
      <c r="D45" s="1" t="s">
        <v>1850</v>
      </c>
      <c r="E45" s="6" t="s">
        <v>1853</v>
      </c>
    </row>
    <row r="46">
      <c r="A46" s="2" t="s">
        <v>474</v>
      </c>
      <c r="B46" s="1" t="s">
        <v>475</v>
      </c>
      <c r="C46" s="2" t="s">
        <v>1847</v>
      </c>
      <c r="D46" s="1" t="s">
        <v>1848</v>
      </c>
      <c r="E46" s="6" t="s">
        <v>1846</v>
      </c>
    </row>
    <row r="47">
      <c r="A47" s="2" t="s">
        <v>1142</v>
      </c>
      <c r="B47" s="1" t="s">
        <v>1143</v>
      </c>
      <c r="C47" s="2" t="s">
        <v>1893</v>
      </c>
      <c r="D47" s="1" t="s">
        <v>1894</v>
      </c>
      <c r="E47" s="6" t="s">
        <v>1853</v>
      </c>
    </row>
    <row r="48">
      <c r="A48" s="2" t="s">
        <v>667</v>
      </c>
      <c r="B48" s="1" t="s">
        <v>668</v>
      </c>
      <c r="C48" s="2" t="s">
        <v>1885</v>
      </c>
      <c r="D48" s="1" t="s">
        <v>1886</v>
      </c>
      <c r="E48" s="6" t="s">
        <v>1853</v>
      </c>
    </row>
    <row r="49">
      <c r="A49" s="2" t="s">
        <v>527</v>
      </c>
      <c r="B49" s="1" t="s">
        <v>528</v>
      </c>
      <c r="C49" s="2" t="s">
        <v>1849</v>
      </c>
      <c r="D49" s="1" t="s">
        <v>1850</v>
      </c>
      <c r="E49" s="6" t="s">
        <v>1853</v>
      </c>
    </row>
    <row r="50">
      <c r="A50" s="2" t="s">
        <v>527</v>
      </c>
      <c r="B50" s="1" t="s">
        <v>528</v>
      </c>
      <c r="C50" s="2" t="s">
        <v>1849</v>
      </c>
      <c r="D50" s="1" t="s">
        <v>1850</v>
      </c>
      <c r="E50" s="6" t="s">
        <v>1846</v>
      </c>
    </row>
    <row r="51">
      <c r="A51" s="2" t="s">
        <v>313</v>
      </c>
      <c r="B51" s="1" t="s">
        <v>314</v>
      </c>
      <c r="C51" s="2" t="s">
        <v>1873</v>
      </c>
      <c r="D51" s="1" t="s">
        <v>1874</v>
      </c>
      <c r="E51" s="6" t="s">
        <v>1853</v>
      </c>
    </row>
    <row r="52">
      <c r="A52" s="2" t="s">
        <v>657</v>
      </c>
      <c r="B52" s="1" t="s">
        <v>658</v>
      </c>
      <c r="C52" s="2" t="s">
        <v>1895</v>
      </c>
      <c r="D52" s="1" t="s">
        <v>1896</v>
      </c>
      <c r="E52" s="6" t="s">
        <v>1846</v>
      </c>
    </row>
    <row r="53">
      <c r="A53" s="2" t="s">
        <v>535</v>
      </c>
      <c r="B53" s="1" t="s">
        <v>536</v>
      </c>
      <c r="C53" s="2" t="s">
        <v>1849</v>
      </c>
      <c r="D53" s="1" t="s">
        <v>1850</v>
      </c>
      <c r="E53" s="6" t="s">
        <v>1853</v>
      </c>
    </row>
    <row r="54">
      <c r="A54" s="2" t="s">
        <v>736</v>
      </c>
      <c r="B54" s="1" t="s">
        <v>737</v>
      </c>
      <c r="C54" s="2" t="s">
        <v>1875</v>
      </c>
      <c r="D54" s="1" t="s">
        <v>1876</v>
      </c>
      <c r="E54" s="6" t="s">
        <v>1846</v>
      </c>
    </row>
    <row r="55">
      <c r="A55" s="2" t="s">
        <v>671</v>
      </c>
      <c r="B55" s="1" t="s">
        <v>672</v>
      </c>
      <c r="C55" s="2" t="s">
        <v>1875</v>
      </c>
      <c r="D55" s="1" t="s">
        <v>1876</v>
      </c>
      <c r="E55" s="6" t="s">
        <v>1846</v>
      </c>
    </row>
    <row r="56">
      <c r="A56" s="2" t="s">
        <v>691</v>
      </c>
      <c r="B56" s="1" t="s">
        <v>692</v>
      </c>
      <c r="C56" s="2" t="s">
        <v>1867</v>
      </c>
      <c r="D56" s="1" t="s">
        <v>1868</v>
      </c>
      <c r="E56" s="6" t="s">
        <v>1846</v>
      </c>
    </row>
    <row r="57">
      <c r="A57" s="2" t="s">
        <v>1061</v>
      </c>
      <c r="B57" s="1" t="s">
        <v>1062</v>
      </c>
      <c r="C57" s="2" t="s">
        <v>1875</v>
      </c>
      <c r="D57" s="1" t="s">
        <v>1876</v>
      </c>
      <c r="E57" s="6" t="s">
        <v>1846</v>
      </c>
    </row>
    <row r="58">
      <c r="A58" s="2" t="s">
        <v>1571</v>
      </c>
      <c r="B58" s="1" t="s">
        <v>1572</v>
      </c>
      <c r="C58" s="2" t="s">
        <v>1844</v>
      </c>
      <c r="D58" s="1" t="s">
        <v>1845</v>
      </c>
      <c r="E58" s="6" t="s">
        <v>1846</v>
      </c>
    </row>
    <row r="59">
      <c r="A59" s="2" t="s">
        <v>555</v>
      </c>
      <c r="B59" s="1" t="s">
        <v>556</v>
      </c>
      <c r="C59" s="2" t="s">
        <v>1875</v>
      </c>
      <c r="D59" s="1" t="s">
        <v>1876</v>
      </c>
      <c r="E59" s="6" t="s">
        <v>1846</v>
      </c>
    </row>
    <row r="60">
      <c r="A60" s="2" t="s">
        <v>1483</v>
      </c>
      <c r="B60" s="1" t="s">
        <v>1484</v>
      </c>
      <c r="C60" s="2" t="s">
        <v>1897</v>
      </c>
      <c r="D60" s="1" t="s">
        <v>1898</v>
      </c>
      <c r="E60" s="6" t="s">
        <v>1846</v>
      </c>
    </row>
    <row r="61">
      <c r="A61" s="2" t="s">
        <v>872</v>
      </c>
      <c r="B61" s="1" t="s">
        <v>873</v>
      </c>
      <c r="C61" s="2" t="s">
        <v>1899</v>
      </c>
      <c r="D61" s="1" t="s">
        <v>1900</v>
      </c>
      <c r="E61" s="6" t="s">
        <v>1846</v>
      </c>
    </row>
    <row r="62">
      <c r="A62" s="2" t="s">
        <v>736</v>
      </c>
      <c r="B62" s="1" t="s">
        <v>737</v>
      </c>
      <c r="C62" s="2" t="s">
        <v>1885</v>
      </c>
      <c r="D62" s="1" t="s">
        <v>1886</v>
      </c>
      <c r="E62" s="6" t="s">
        <v>1853</v>
      </c>
    </row>
    <row r="63">
      <c r="A63" s="2" t="s">
        <v>671</v>
      </c>
      <c r="B63" s="1" t="s">
        <v>672</v>
      </c>
      <c r="C63" s="2" t="s">
        <v>1885</v>
      </c>
      <c r="D63" s="1" t="s">
        <v>1886</v>
      </c>
      <c r="E63" s="6" t="s">
        <v>1853</v>
      </c>
    </row>
    <row r="64">
      <c r="A64" s="2" t="s">
        <v>1491</v>
      </c>
      <c r="B64" s="1" t="s">
        <v>1492</v>
      </c>
      <c r="C64" s="2" t="s">
        <v>1895</v>
      </c>
      <c r="D64" s="1" t="s">
        <v>1896</v>
      </c>
      <c r="E64" s="6" t="s">
        <v>1846</v>
      </c>
    </row>
    <row r="65">
      <c r="A65" s="2" t="s">
        <v>657</v>
      </c>
      <c r="B65" s="1" t="s">
        <v>658</v>
      </c>
      <c r="C65" s="2" t="s">
        <v>1901</v>
      </c>
      <c r="D65" s="1" t="s">
        <v>1902</v>
      </c>
      <c r="E65" s="6" t="s">
        <v>1862</v>
      </c>
    </row>
    <row r="66">
      <c r="A66" s="2" t="s">
        <v>1532</v>
      </c>
      <c r="B66" s="1" t="s">
        <v>1533</v>
      </c>
      <c r="C66" s="2" t="s">
        <v>1869</v>
      </c>
      <c r="D66" s="1" t="s">
        <v>1870</v>
      </c>
      <c r="E66" s="6" t="s">
        <v>1846</v>
      </c>
    </row>
    <row r="67">
      <c r="A67" s="2" t="s">
        <v>527</v>
      </c>
      <c r="B67" s="1" t="s">
        <v>528</v>
      </c>
      <c r="C67" s="2" t="s">
        <v>1885</v>
      </c>
      <c r="D67" s="1" t="s">
        <v>1886</v>
      </c>
      <c r="E67" s="6" t="s">
        <v>1846</v>
      </c>
    </row>
    <row r="68">
      <c r="A68" s="2" t="s">
        <v>689</v>
      </c>
      <c r="B68" s="1" t="s">
        <v>690</v>
      </c>
      <c r="C68" s="2" t="s">
        <v>1877</v>
      </c>
      <c r="D68" s="1" t="s">
        <v>1878</v>
      </c>
      <c r="E68" s="6" t="s">
        <v>1862</v>
      </c>
    </row>
    <row r="69">
      <c r="A69" s="2" t="s">
        <v>876</v>
      </c>
      <c r="B69" s="1" t="s">
        <v>877</v>
      </c>
      <c r="C69" s="2" t="s">
        <v>1851</v>
      </c>
      <c r="D69" s="1" t="s">
        <v>1852</v>
      </c>
      <c r="E69" s="6" t="s">
        <v>1853</v>
      </c>
    </row>
    <row r="70">
      <c r="A70" s="2" t="s">
        <v>619</v>
      </c>
      <c r="B70" s="1" t="s">
        <v>620</v>
      </c>
      <c r="C70" s="2" t="s">
        <v>1844</v>
      </c>
      <c r="D70" s="1" t="s">
        <v>1845</v>
      </c>
      <c r="E70" s="6" t="s">
        <v>1846</v>
      </c>
    </row>
    <row r="71">
      <c r="A71" s="2" t="s">
        <v>713</v>
      </c>
      <c r="B71" s="1" t="s">
        <v>714</v>
      </c>
      <c r="C71" s="2" t="s">
        <v>1903</v>
      </c>
      <c r="D71" s="1" t="s">
        <v>1904</v>
      </c>
      <c r="E71" s="6" t="s">
        <v>1846</v>
      </c>
    </row>
    <row r="72">
      <c r="A72" s="2" t="s">
        <v>200</v>
      </c>
      <c r="B72" s="1" t="s">
        <v>201</v>
      </c>
      <c r="C72" s="2" t="s">
        <v>1905</v>
      </c>
      <c r="D72" s="1" t="s">
        <v>1906</v>
      </c>
      <c r="E72" s="6" t="s">
        <v>1862</v>
      </c>
    </row>
    <row r="73">
      <c r="A73" s="2" t="s">
        <v>214</v>
      </c>
      <c r="B73" s="1" t="s">
        <v>215</v>
      </c>
      <c r="C73" s="2" t="s">
        <v>1860</v>
      </c>
      <c r="D73" s="1" t="s">
        <v>1861</v>
      </c>
      <c r="E73" s="6" t="s">
        <v>1862</v>
      </c>
    </row>
    <row r="74">
      <c r="A74" s="2" t="s">
        <v>751</v>
      </c>
      <c r="B74" s="1" t="s">
        <v>752</v>
      </c>
      <c r="C74" s="2" t="s">
        <v>1849</v>
      </c>
      <c r="D74" s="1" t="s">
        <v>1850</v>
      </c>
      <c r="E74" s="6" t="s">
        <v>1853</v>
      </c>
    </row>
    <row r="75">
      <c r="A75" s="2" t="s">
        <v>699</v>
      </c>
      <c r="B75" s="1" t="s">
        <v>700</v>
      </c>
      <c r="C75" s="2" t="s">
        <v>1907</v>
      </c>
      <c r="D75" s="1" t="s">
        <v>1908</v>
      </c>
      <c r="E75" s="6" t="s">
        <v>1853</v>
      </c>
    </row>
    <row r="76">
      <c r="A76" s="2" t="s">
        <v>478</v>
      </c>
      <c r="B76" s="1" t="s">
        <v>479</v>
      </c>
      <c r="C76" s="2" t="s">
        <v>1867</v>
      </c>
      <c r="D76" s="1" t="s">
        <v>1868</v>
      </c>
      <c r="E76" s="6" t="s">
        <v>1853</v>
      </c>
    </row>
    <row r="77">
      <c r="A77" s="2" t="s">
        <v>476</v>
      </c>
      <c r="B77" s="1" t="s">
        <v>477</v>
      </c>
      <c r="C77" s="2" t="s">
        <v>1867</v>
      </c>
      <c r="D77" s="1" t="s">
        <v>1868</v>
      </c>
      <c r="E77" s="6" t="s">
        <v>1853</v>
      </c>
    </row>
    <row r="78">
      <c r="A78" s="2" t="s">
        <v>445</v>
      </c>
      <c r="B78" s="1" t="s">
        <v>446</v>
      </c>
      <c r="C78" s="2" t="s">
        <v>1849</v>
      </c>
      <c r="D78" s="1" t="s">
        <v>1850</v>
      </c>
      <c r="E78" s="6" t="s">
        <v>1853</v>
      </c>
    </row>
    <row r="79">
      <c r="A79" s="2" t="s">
        <v>191</v>
      </c>
      <c r="B79" s="1" t="s">
        <v>192</v>
      </c>
      <c r="C79" s="2" t="s">
        <v>1909</v>
      </c>
      <c r="D79" s="1" t="s">
        <v>1910</v>
      </c>
      <c r="E79" s="6" t="s">
        <v>1862</v>
      </c>
    </row>
    <row r="80">
      <c r="A80" s="2" t="s">
        <v>160</v>
      </c>
      <c r="B80" s="1" t="s">
        <v>161</v>
      </c>
      <c r="C80" s="2" t="s">
        <v>1911</v>
      </c>
      <c r="D80" s="1" t="s">
        <v>1912</v>
      </c>
      <c r="E80" s="6" t="s">
        <v>1862</v>
      </c>
    </row>
    <row r="81">
      <c r="A81" s="2" t="s">
        <v>196</v>
      </c>
      <c r="B81" s="1" t="s">
        <v>197</v>
      </c>
      <c r="C81" s="2" t="s">
        <v>1913</v>
      </c>
      <c r="D81" s="1" t="s">
        <v>1914</v>
      </c>
      <c r="E81" s="6" t="s">
        <v>1862</v>
      </c>
    </row>
    <row r="82">
      <c r="A82" s="2" t="s">
        <v>445</v>
      </c>
      <c r="B82" s="1" t="s">
        <v>446</v>
      </c>
      <c r="C82" s="2" t="s">
        <v>1860</v>
      </c>
      <c r="D82" s="1" t="s">
        <v>1861</v>
      </c>
      <c r="E82" s="6" t="s">
        <v>1862</v>
      </c>
    </row>
    <row r="83">
      <c r="A83" s="2" t="s">
        <v>160</v>
      </c>
      <c r="B83" s="1" t="s">
        <v>161</v>
      </c>
      <c r="C83" s="2" t="s">
        <v>1915</v>
      </c>
      <c r="D83" s="1" t="s">
        <v>1916</v>
      </c>
      <c r="E83" s="6" t="s">
        <v>1862</v>
      </c>
    </row>
    <row r="84">
      <c r="A84" s="2" t="s">
        <v>167</v>
      </c>
      <c r="B84" s="1" t="s">
        <v>168</v>
      </c>
      <c r="C84" s="2" t="s">
        <v>1917</v>
      </c>
      <c r="D84" s="1" t="s">
        <v>1918</v>
      </c>
      <c r="E84" s="6" t="s">
        <v>1862</v>
      </c>
    </row>
    <row r="85">
      <c r="A85" s="2" t="s">
        <v>167</v>
      </c>
      <c r="B85" s="1" t="s">
        <v>168</v>
      </c>
      <c r="C85" s="2" t="s">
        <v>1919</v>
      </c>
      <c r="D85" s="1" t="s">
        <v>1920</v>
      </c>
      <c r="E85" s="6" t="s">
        <v>1862</v>
      </c>
    </row>
    <row r="86">
      <c r="A86" s="2" t="s">
        <v>478</v>
      </c>
      <c r="B86" s="1" t="s">
        <v>479</v>
      </c>
      <c r="C86" s="2" t="s">
        <v>1877</v>
      </c>
      <c r="D86" s="1" t="s">
        <v>1878</v>
      </c>
      <c r="E86" s="6" t="s">
        <v>1862</v>
      </c>
    </row>
    <row r="87">
      <c r="A87" s="2" t="s">
        <v>478</v>
      </c>
      <c r="B87" s="1" t="s">
        <v>479</v>
      </c>
      <c r="C87" s="2" t="s">
        <v>1921</v>
      </c>
      <c r="D87" s="1" t="s">
        <v>1922</v>
      </c>
      <c r="E87" s="6" t="s">
        <v>1846</v>
      </c>
    </row>
    <row r="88">
      <c r="A88" s="2" t="s">
        <v>476</v>
      </c>
      <c r="B88" s="1" t="s">
        <v>477</v>
      </c>
      <c r="C88" s="2" t="s">
        <v>1877</v>
      </c>
      <c r="D88" s="1" t="s">
        <v>1878</v>
      </c>
      <c r="E88" s="6" t="s">
        <v>1862</v>
      </c>
    </row>
    <row r="89">
      <c r="A89" s="2" t="s">
        <v>447</v>
      </c>
      <c r="B89" s="1" t="s">
        <v>448</v>
      </c>
      <c r="C89" s="2" t="s">
        <v>1923</v>
      </c>
      <c r="D89" s="1" t="s">
        <v>1924</v>
      </c>
      <c r="E89" s="6" t="s">
        <v>1862</v>
      </c>
    </row>
    <row r="90">
      <c r="A90" s="2" t="s">
        <v>200</v>
      </c>
      <c r="B90" s="1" t="s">
        <v>201</v>
      </c>
      <c r="C90" s="2" t="s">
        <v>1849</v>
      </c>
      <c r="D90" s="1" t="s">
        <v>1850</v>
      </c>
      <c r="E90" s="6" t="s">
        <v>1846</v>
      </c>
    </row>
    <row r="91">
      <c r="A91" s="2" t="s">
        <v>447</v>
      </c>
      <c r="B91" s="1" t="s">
        <v>448</v>
      </c>
      <c r="C91" s="2" t="s">
        <v>1925</v>
      </c>
      <c r="D91" s="1" t="s">
        <v>1926</v>
      </c>
      <c r="E91" s="6" t="s">
        <v>1862</v>
      </c>
    </row>
    <row r="92">
      <c r="A92" s="2" t="s">
        <v>196</v>
      </c>
      <c r="B92" s="1" t="s">
        <v>197</v>
      </c>
      <c r="C92" s="2" t="s">
        <v>1927</v>
      </c>
      <c r="D92" s="1" t="s">
        <v>1928</v>
      </c>
      <c r="E92" s="6" t="s">
        <v>1853</v>
      </c>
    </row>
    <row r="93">
      <c r="A93" s="2" t="s">
        <v>751</v>
      </c>
      <c r="B93" s="1" t="s">
        <v>752</v>
      </c>
      <c r="C93" s="2" t="s">
        <v>1885</v>
      </c>
      <c r="D93" s="1" t="s">
        <v>1886</v>
      </c>
      <c r="E93" s="6" t="s">
        <v>1853</v>
      </c>
    </row>
    <row r="94">
      <c r="A94" s="2" t="s">
        <v>456</v>
      </c>
      <c r="B94" s="1" t="s">
        <v>457</v>
      </c>
      <c r="C94" s="2" t="s">
        <v>1929</v>
      </c>
      <c r="D94" s="1" t="s">
        <v>1930</v>
      </c>
      <c r="E94" s="6" t="s">
        <v>1853</v>
      </c>
    </row>
    <row r="95">
      <c r="A95" s="2" t="s">
        <v>480</v>
      </c>
      <c r="B95" s="1" t="s">
        <v>481</v>
      </c>
      <c r="C95" s="2" t="s">
        <v>1931</v>
      </c>
      <c r="D95" s="1" t="s">
        <v>1932</v>
      </c>
      <c r="E95" s="6" t="s">
        <v>1846</v>
      </c>
    </row>
    <row r="96">
      <c r="A96" s="2" t="s">
        <v>214</v>
      </c>
      <c r="B96" s="1" t="s">
        <v>215</v>
      </c>
      <c r="C96" s="2" t="s">
        <v>1933</v>
      </c>
      <c r="D96" s="1" t="s">
        <v>1900</v>
      </c>
      <c r="E96" s="6" t="s">
        <v>1853</v>
      </c>
    </row>
    <row r="97">
      <c r="A97" s="2" t="s">
        <v>454</v>
      </c>
      <c r="B97" s="1" t="s">
        <v>455</v>
      </c>
      <c r="C97" s="2" t="s">
        <v>1934</v>
      </c>
      <c r="D97" s="1" t="s">
        <v>1935</v>
      </c>
      <c r="E97" s="6" t="s">
        <v>1846</v>
      </c>
    </row>
    <row r="98">
      <c r="A98" s="2" t="s">
        <v>691</v>
      </c>
      <c r="B98" s="1" t="s">
        <v>692</v>
      </c>
      <c r="C98" s="2" t="s">
        <v>1849</v>
      </c>
      <c r="D98" s="1" t="s">
        <v>1850</v>
      </c>
      <c r="E98" s="6" t="s">
        <v>1853</v>
      </c>
    </row>
    <row r="99">
      <c r="A99" s="2" t="s">
        <v>707</v>
      </c>
      <c r="B99" s="1" t="s">
        <v>708</v>
      </c>
      <c r="C99" s="2" t="s">
        <v>1849</v>
      </c>
      <c r="D99" s="1" t="s">
        <v>1850</v>
      </c>
      <c r="E99" s="6" t="s">
        <v>1853</v>
      </c>
    </row>
    <row r="100">
      <c r="A100" s="2" t="s">
        <v>456</v>
      </c>
      <c r="B100" s="1" t="s">
        <v>457</v>
      </c>
      <c r="C100" s="2" t="s">
        <v>1913</v>
      </c>
      <c r="D100" s="1" t="s">
        <v>1914</v>
      </c>
      <c r="E100" s="6" t="s">
        <v>1862</v>
      </c>
    </row>
    <row r="101">
      <c r="A101" s="2" t="s">
        <v>200</v>
      </c>
      <c r="B101" s="1" t="s">
        <v>201</v>
      </c>
      <c r="C101" s="2" t="s">
        <v>1875</v>
      </c>
      <c r="D101" s="1" t="s">
        <v>1876</v>
      </c>
      <c r="E101" s="6" t="s">
        <v>1846</v>
      </c>
    </row>
    <row r="102">
      <c r="A102" s="2" t="s">
        <v>713</v>
      </c>
      <c r="B102" s="1" t="s">
        <v>714</v>
      </c>
      <c r="C102" s="2" t="s">
        <v>1844</v>
      </c>
      <c r="D102" s="1" t="s">
        <v>1845</v>
      </c>
      <c r="E102" s="6" t="s">
        <v>1846</v>
      </c>
    </row>
    <row r="103">
      <c r="A103" s="2" t="s">
        <v>447</v>
      </c>
      <c r="B103" s="1" t="s">
        <v>448</v>
      </c>
      <c r="C103" s="2" t="s">
        <v>1913</v>
      </c>
      <c r="D103" s="1" t="s">
        <v>1914</v>
      </c>
      <c r="E103" s="6" t="s">
        <v>1862</v>
      </c>
    </row>
    <row r="104">
      <c r="A104" s="2" t="s">
        <v>160</v>
      </c>
      <c r="B104" s="1" t="s">
        <v>161</v>
      </c>
      <c r="C104" s="2" t="s">
        <v>1936</v>
      </c>
      <c r="D104" s="1" t="s">
        <v>1937</v>
      </c>
      <c r="E104" s="6" t="s">
        <v>1853</v>
      </c>
    </row>
    <row r="105">
      <c r="A105" s="2" t="s">
        <v>160</v>
      </c>
      <c r="B105" s="1" t="s">
        <v>161</v>
      </c>
      <c r="C105" s="2" t="s">
        <v>1936</v>
      </c>
      <c r="D105" s="1" t="s">
        <v>1937</v>
      </c>
      <c r="E105" s="6" t="s">
        <v>1846</v>
      </c>
    </row>
    <row r="106">
      <c r="A106" s="2" t="s">
        <v>456</v>
      </c>
      <c r="B106" s="1" t="s">
        <v>457</v>
      </c>
      <c r="C106" s="2" t="s">
        <v>1938</v>
      </c>
      <c r="D106" s="1" t="s">
        <v>1939</v>
      </c>
      <c r="E106" s="6" t="s">
        <v>1853</v>
      </c>
    </row>
    <row r="107">
      <c r="A107" s="2" t="s">
        <v>512</v>
      </c>
      <c r="B107" s="1" t="s">
        <v>513</v>
      </c>
      <c r="C107" s="2" t="s">
        <v>1940</v>
      </c>
      <c r="D107" s="1" t="s">
        <v>1941</v>
      </c>
      <c r="E107" s="6" t="s">
        <v>1862</v>
      </c>
    </row>
    <row r="108">
      <c r="A108" s="2" t="s">
        <v>454</v>
      </c>
      <c r="B108" s="1" t="s">
        <v>455</v>
      </c>
      <c r="C108" s="2" t="s">
        <v>1875</v>
      </c>
      <c r="D108" s="1" t="s">
        <v>1876</v>
      </c>
      <c r="E108" s="6" t="s">
        <v>1846</v>
      </c>
    </row>
    <row r="109">
      <c r="A109" s="2" t="s">
        <v>476</v>
      </c>
      <c r="B109" s="1" t="s">
        <v>477</v>
      </c>
      <c r="C109" s="2" t="s">
        <v>1849</v>
      </c>
      <c r="D109" s="1" t="s">
        <v>1850</v>
      </c>
      <c r="E109" s="6" t="s">
        <v>1853</v>
      </c>
    </row>
    <row r="110">
      <c r="A110" s="2" t="s">
        <v>480</v>
      </c>
      <c r="B110" s="1" t="s">
        <v>481</v>
      </c>
      <c r="C110" s="2" t="s">
        <v>1938</v>
      </c>
      <c r="D110" s="1" t="s">
        <v>1939</v>
      </c>
      <c r="E110" s="6" t="s">
        <v>1846</v>
      </c>
    </row>
    <row r="111">
      <c r="A111" s="2" t="s">
        <v>160</v>
      </c>
      <c r="B111" s="1" t="s">
        <v>161</v>
      </c>
      <c r="C111" s="2" t="s">
        <v>1913</v>
      </c>
      <c r="D111" s="1" t="s">
        <v>1914</v>
      </c>
      <c r="E111" s="6" t="s">
        <v>1862</v>
      </c>
    </row>
    <row r="112">
      <c r="A112" s="2" t="s">
        <v>200</v>
      </c>
      <c r="B112" s="1" t="s">
        <v>201</v>
      </c>
      <c r="C112" s="2" t="s">
        <v>1851</v>
      </c>
      <c r="D112" s="1" t="s">
        <v>1852</v>
      </c>
      <c r="E112" s="6" t="s">
        <v>1853</v>
      </c>
    </row>
    <row r="113">
      <c r="A113" s="2" t="s">
        <v>468</v>
      </c>
      <c r="B113" s="1" t="s">
        <v>469</v>
      </c>
      <c r="C113" s="2" t="s">
        <v>1934</v>
      </c>
      <c r="D113" s="1" t="s">
        <v>1935</v>
      </c>
      <c r="E113" s="6" t="s">
        <v>1846</v>
      </c>
    </row>
    <row r="114">
      <c r="A114" s="2" t="s">
        <v>478</v>
      </c>
      <c r="B114" s="1" t="s">
        <v>479</v>
      </c>
      <c r="C114" s="2" t="s">
        <v>1875</v>
      </c>
      <c r="D114" s="1" t="s">
        <v>1876</v>
      </c>
      <c r="E114" s="6" t="s">
        <v>1846</v>
      </c>
    </row>
    <row r="115">
      <c r="A115" s="2" t="s">
        <v>699</v>
      </c>
      <c r="B115" s="1" t="s">
        <v>700</v>
      </c>
      <c r="C115" s="2" t="s">
        <v>1942</v>
      </c>
      <c r="D115" s="1" t="s">
        <v>1943</v>
      </c>
      <c r="E115" s="6" t="s">
        <v>1846</v>
      </c>
    </row>
    <row r="116">
      <c r="A116" s="2" t="s">
        <v>468</v>
      </c>
      <c r="B116" s="1" t="s">
        <v>469</v>
      </c>
      <c r="C116" s="2" t="s">
        <v>1849</v>
      </c>
      <c r="D116" s="1" t="s">
        <v>1850</v>
      </c>
      <c r="E116" s="6" t="s">
        <v>1853</v>
      </c>
    </row>
    <row r="117">
      <c r="A117" s="2" t="s">
        <v>480</v>
      </c>
      <c r="B117" s="1" t="s">
        <v>481</v>
      </c>
      <c r="C117" s="2" t="s">
        <v>1851</v>
      </c>
      <c r="D117" s="1" t="s">
        <v>1852</v>
      </c>
      <c r="E117" s="6" t="s">
        <v>1853</v>
      </c>
    </row>
    <row r="118">
      <c r="A118" s="2" t="s">
        <v>713</v>
      </c>
      <c r="B118" s="1" t="s">
        <v>714</v>
      </c>
      <c r="C118" s="2" t="s">
        <v>1849</v>
      </c>
      <c r="D118" s="1" t="s">
        <v>1850</v>
      </c>
      <c r="E118" s="6" t="s">
        <v>1846</v>
      </c>
    </row>
    <row r="119">
      <c r="A119" s="2" t="s">
        <v>447</v>
      </c>
      <c r="B119" s="1" t="s">
        <v>448</v>
      </c>
      <c r="C119" s="2" t="s">
        <v>1944</v>
      </c>
      <c r="D119" s="1" t="s">
        <v>1945</v>
      </c>
      <c r="E119" s="6" t="s">
        <v>1862</v>
      </c>
    </row>
    <row r="120">
      <c r="A120" s="2" t="s">
        <v>699</v>
      </c>
      <c r="B120" s="1" t="s">
        <v>700</v>
      </c>
      <c r="C120" s="2" t="s">
        <v>1849</v>
      </c>
      <c r="D120" s="1" t="s">
        <v>1850</v>
      </c>
      <c r="E120" s="6" t="s">
        <v>1846</v>
      </c>
    </row>
    <row r="121">
      <c r="A121" s="2" t="s">
        <v>1718</v>
      </c>
      <c r="B121" s="1" t="s">
        <v>1719</v>
      </c>
      <c r="C121" s="2" t="s">
        <v>1946</v>
      </c>
      <c r="D121" s="1" t="s">
        <v>1943</v>
      </c>
      <c r="E121" s="6" t="s">
        <v>1853</v>
      </c>
    </row>
    <row r="122">
      <c r="A122" s="2" t="s">
        <v>171</v>
      </c>
      <c r="B122" s="1" t="s">
        <v>172</v>
      </c>
      <c r="C122" s="2" t="s">
        <v>1849</v>
      </c>
      <c r="D122" s="1" t="s">
        <v>1850</v>
      </c>
      <c r="E122" s="6" t="s">
        <v>1853</v>
      </c>
    </row>
    <row r="123">
      <c r="A123" s="2" t="s">
        <v>160</v>
      </c>
      <c r="B123" s="1" t="s">
        <v>161</v>
      </c>
      <c r="C123" s="2" t="s">
        <v>1947</v>
      </c>
      <c r="D123" s="1" t="s">
        <v>1948</v>
      </c>
      <c r="E123" s="6" t="s">
        <v>1853</v>
      </c>
    </row>
    <row r="124">
      <c r="A124" s="2" t="s">
        <v>476</v>
      </c>
      <c r="B124" s="1" t="s">
        <v>477</v>
      </c>
      <c r="C124" s="2" t="s">
        <v>1885</v>
      </c>
      <c r="D124" s="1" t="s">
        <v>1886</v>
      </c>
      <c r="E124" s="6" t="s">
        <v>1853</v>
      </c>
    </row>
    <row r="125">
      <c r="A125" s="2" t="s">
        <v>214</v>
      </c>
      <c r="B125" s="1" t="s">
        <v>215</v>
      </c>
      <c r="C125" s="2" t="s">
        <v>1873</v>
      </c>
      <c r="D125" s="1" t="s">
        <v>1874</v>
      </c>
      <c r="E125" s="6" t="s">
        <v>1853</v>
      </c>
    </row>
    <row r="126">
      <c r="A126" s="2" t="s">
        <v>707</v>
      </c>
      <c r="B126" s="1" t="s">
        <v>708</v>
      </c>
      <c r="C126" s="2" t="s">
        <v>1949</v>
      </c>
      <c r="D126" s="1" t="s">
        <v>1950</v>
      </c>
      <c r="E126" s="6" t="s">
        <v>1862</v>
      </c>
    </row>
    <row r="127">
      <c r="A127" s="2" t="s">
        <v>468</v>
      </c>
      <c r="B127" s="1" t="s">
        <v>469</v>
      </c>
      <c r="C127" s="2" t="s">
        <v>1885</v>
      </c>
      <c r="D127" s="1" t="s">
        <v>1886</v>
      </c>
      <c r="E127" s="6" t="s">
        <v>1853</v>
      </c>
    </row>
    <row r="128">
      <c r="A128" s="2" t="s">
        <v>171</v>
      </c>
      <c r="B128" s="1" t="s">
        <v>172</v>
      </c>
      <c r="C128" s="2" t="s">
        <v>1913</v>
      </c>
      <c r="D128" s="1" t="s">
        <v>1914</v>
      </c>
      <c r="E128" s="6" t="s">
        <v>1862</v>
      </c>
    </row>
    <row r="129">
      <c r="A129" s="2" t="s">
        <v>445</v>
      </c>
      <c r="B129" s="1" t="s">
        <v>446</v>
      </c>
      <c r="C129" s="2" t="s">
        <v>1873</v>
      </c>
      <c r="D129" s="1" t="s">
        <v>1874</v>
      </c>
      <c r="E129" s="6" t="s">
        <v>1853</v>
      </c>
    </row>
    <row r="130">
      <c r="A130" s="2" t="s">
        <v>476</v>
      </c>
      <c r="B130" s="1" t="s">
        <v>477</v>
      </c>
      <c r="C130" s="2" t="s">
        <v>1851</v>
      </c>
      <c r="D130" s="1" t="s">
        <v>1852</v>
      </c>
      <c r="E130" s="6" t="s">
        <v>1853</v>
      </c>
    </row>
    <row r="131">
      <c r="A131" s="2" t="s">
        <v>468</v>
      </c>
      <c r="B131" s="1" t="s">
        <v>469</v>
      </c>
      <c r="C131" s="2" t="s">
        <v>1895</v>
      </c>
      <c r="D131" s="1" t="s">
        <v>1896</v>
      </c>
      <c r="E131" s="6" t="s">
        <v>1846</v>
      </c>
    </row>
    <row r="132">
      <c r="A132" s="2" t="s">
        <v>456</v>
      </c>
      <c r="B132" s="1" t="s">
        <v>457</v>
      </c>
      <c r="C132" s="2" t="s">
        <v>1951</v>
      </c>
      <c r="D132" s="1" t="s">
        <v>1952</v>
      </c>
      <c r="E132" s="6" t="s">
        <v>1862</v>
      </c>
    </row>
    <row r="133">
      <c r="A133" s="2" t="s">
        <v>456</v>
      </c>
      <c r="B133" s="1" t="s">
        <v>457</v>
      </c>
      <c r="C133" s="2" t="s">
        <v>1953</v>
      </c>
      <c r="D133" s="1" t="s">
        <v>1954</v>
      </c>
      <c r="E133" s="6" t="s">
        <v>1862</v>
      </c>
    </row>
    <row r="134">
      <c r="A134" s="2" t="s">
        <v>200</v>
      </c>
      <c r="B134" s="1" t="s">
        <v>201</v>
      </c>
      <c r="C134" s="2" t="s">
        <v>1877</v>
      </c>
      <c r="D134" s="1" t="s">
        <v>1878</v>
      </c>
      <c r="E134" s="6" t="s">
        <v>1862</v>
      </c>
    </row>
    <row r="135">
      <c r="A135" s="2" t="s">
        <v>214</v>
      </c>
      <c r="B135" s="1" t="s">
        <v>215</v>
      </c>
      <c r="C135" s="2" t="s">
        <v>1849</v>
      </c>
      <c r="D135" s="1" t="s">
        <v>1850</v>
      </c>
      <c r="E135" s="6" t="s">
        <v>1853</v>
      </c>
    </row>
    <row r="136">
      <c r="A136" s="2" t="s">
        <v>171</v>
      </c>
      <c r="B136" s="1" t="s">
        <v>172</v>
      </c>
      <c r="C136" s="2" t="s">
        <v>1851</v>
      </c>
      <c r="D136" s="1" t="s">
        <v>1852</v>
      </c>
      <c r="E136" s="6" t="s">
        <v>1853</v>
      </c>
    </row>
    <row r="137">
      <c r="A137" s="2" t="s">
        <v>160</v>
      </c>
      <c r="B137" s="1" t="s">
        <v>161</v>
      </c>
      <c r="C137" s="2" t="s">
        <v>1955</v>
      </c>
      <c r="D137" s="1" t="s">
        <v>1956</v>
      </c>
      <c r="E137" s="6" t="s">
        <v>1862</v>
      </c>
    </row>
    <row r="138">
      <c r="A138" s="2" t="s">
        <v>713</v>
      </c>
      <c r="B138" s="1" t="s">
        <v>714</v>
      </c>
      <c r="C138" s="2" t="s">
        <v>1957</v>
      </c>
      <c r="D138" s="1" t="s">
        <v>1958</v>
      </c>
      <c r="E138" s="6" t="s">
        <v>1846</v>
      </c>
    </row>
    <row r="139">
      <c r="A139" s="2" t="s">
        <v>707</v>
      </c>
      <c r="B139" s="1" t="s">
        <v>708</v>
      </c>
      <c r="C139" s="2" t="s">
        <v>1844</v>
      </c>
      <c r="D139" s="1" t="s">
        <v>1845</v>
      </c>
      <c r="E139" s="6" t="s">
        <v>1853</v>
      </c>
    </row>
    <row r="140">
      <c r="A140" s="2" t="s">
        <v>445</v>
      </c>
      <c r="B140" s="1" t="s">
        <v>446</v>
      </c>
      <c r="C140" s="2" t="s">
        <v>1942</v>
      </c>
      <c r="D140" s="1" t="s">
        <v>1943</v>
      </c>
      <c r="E140" s="6" t="s">
        <v>1853</v>
      </c>
    </row>
    <row r="141">
      <c r="A141" s="2" t="s">
        <v>323</v>
      </c>
      <c r="B141" s="1" t="s">
        <v>324</v>
      </c>
      <c r="C141" s="2" t="s">
        <v>1959</v>
      </c>
      <c r="D141" s="1" t="s">
        <v>1960</v>
      </c>
      <c r="E141" s="6" t="s">
        <v>1846</v>
      </c>
    </row>
    <row r="142">
      <c r="A142" s="2" t="s">
        <v>323</v>
      </c>
      <c r="B142" s="1" t="s">
        <v>324</v>
      </c>
      <c r="C142" s="2" t="s">
        <v>1961</v>
      </c>
      <c r="D142" s="1" t="s">
        <v>1962</v>
      </c>
      <c r="E142" s="6" t="s">
        <v>1862</v>
      </c>
    </row>
    <row r="143">
      <c r="A143" s="2" t="s">
        <v>669</v>
      </c>
      <c r="B143" s="1" t="s">
        <v>670</v>
      </c>
      <c r="C143" s="2" t="s">
        <v>1933</v>
      </c>
      <c r="D143" s="1" t="s">
        <v>1900</v>
      </c>
      <c r="E143" s="6" t="s">
        <v>1846</v>
      </c>
    </row>
    <row r="144">
      <c r="A144" s="2" t="s">
        <v>278</v>
      </c>
      <c r="B144" s="1" t="s">
        <v>279</v>
      </c>
      <c r="C144" s="2" t="s">
        <v>1875</v>
      </c>
      <c r="D144" s="1" t="s">
        <v>1876</v>
      </c>
      <c r="E144" s="6" t="s">
        <v>1846</v>
      </c>
    </row>
    <row r="145">
      <c r="A145" s="2" t="s">
        <v>15</v>
      </c>
      <c r="B145" s="1" t="s">
        <v>16</v>
      </c>
      <c r="C145" s="2" t="s">
        <v>1963</v>
      </c>
      <c r="D145" s="1" t="s">
        <v>1964</v>
      </c>
      <c r="E145" s="6" t="s">
        <v>1846</v>
      </c>
    </row>
    <row r="146">
      <c r="A146" s="2" t="s">
        <v>669</v>
      </c>
      <c r="B146" s="1" t="s">
        <v>670</v>
      </c>
      <c r="C146" s="2" t="s">
        <v>1965</v>
      </c>
      <c r="D146" s="1" t="s">
        <v>1966</v>
      </c>
      <c r="E146" s="6" t="s">
        <v>1846</v>
      </c>
    </row>
    <row r="147">
      <c r="A147" s="2" t="s">
        <v>290</v>
      </c>
      <c r="B147" s="1" t="s">
        <v>291</v>
      </c>
      <c r="C147" s="2" t="s">
        <v>1844</v>
      </c>
      <c r="D147" s="1" t="s">
        <v>1845</v>
      </c>
      <c r="E147" s="6" t="s">
        <v>1853</v>
      </c>
    </row>
    <row r="148">
      <c r="A148" s="2" t="s">
        <v>272</v>
      </c>
      <c r="B148" s="1" t="s">
        <v>273</v>
      </c>
      <c r="C148" s="2" t="s">
        <v>1967</v>
      </c>
      <c r="D148" s="1" t="s">
        <v>1968</v>
      </c>
      <c r="E148" s="6" t="s">
        <v>1853</v>
      </c>
    </row>
    <row r="149">
      <c r="A149" s="2" t="s">
        <v>272</v>
      </c>
      <c r="B149" s="1" t="s">
        <v>273</v>
      </c>
      <c r="C149" s="2" t="s">
        <v>1967</v>
      </c>
      <c r="D149" s="1" t="s">
        <v>1968</v>
      </c>
      <c r="E149" s="6" t="s">
        <v>1846</v>
      </c>
    </row>
    <row r="150">
      <c r="A150" s="2" t="s">
        <v>276</v>
      </c>
      <c r="B150" s="1" t="s">
        <v>277</v>
      </c>
      <c r="C150" s="2" t="s">
        <v>1969</v>
      </c>
      <c r="D150" s="1" t="s">
        <v>1970</v>
      </c>
      <c r="E150" s="6" t="s">
        <v>1853</v>
      </c>
    </row>
    <row r="151">
      <c r="A151" s="2" t="s">
        <v>20</v>
      </c>
      <c r="B151" s="1" t="s">
        <v>21</v>
      </c>
      <c r="C151" s="2" t="s">
        <v>1913</v>
      </c>
      <c r="D151" s="1" t="s">
        <v>1914</v>
      </c>
      <c r="E151" s="6" t="s">
        <v>1862</v>
      </c>
    </row>
    <row r="152">
      <c r="A152" s="2" t="s">
        <v>272</v>
      </c>
      <c r="B152" s="1" t="s">
        <v>273</v>
      </c>
      <c r="C152" s="2" t="s">
        <v>1971</v>
      </c>
      <c r="D152" s="1" t="s">
        <v>1972</v>
      </c>
      <c r="E152" s="6" t="s">
        <v>1846</v>
      </c>
    </row>
    <row r="153">
      <c r="A153" s="2" t="s">
        <v>278</v>
      </c>
      <c r="B153" s="1" t="s">
        <v>279</v>
      </c>
      <c r="C153" s="2" t="s">
        <v>1895</v>
      </c>
      <c r="D153" s="1" t="s">
        <v>1896</v>
      </c>
      <c r="E153" s="6" t="s">
        <v>1846</v>
      </c>
    </row>
    <row r="154">
      <c r="A154" s="2" t="s">
        <v>111</v>
      </c>
      <c r="B154" s="1" t="s">
        <v>112</v>
      </c>
      <c r="C154" s="2" t="s">
        <v>1851</v>
      </c>
      <c r="D154" s="1" t="s">
        <v>1852</v>
      </c>
      <c r="E154" s="6" t="s">
        <v>1853</v>
      </c>
    </row>
    <row r="155">
      <c r="A155" s="2" t="s">
        <v>669</v>
      </c>
      <c r="B155" s="1" t="s">
        <v>670</v>
      </c>
      <c r="C155" s="2" t="s">
        <v>1867</v>
      </c>
      <c r="D155" s="1" t="s">
        <v>1868</v>
      </c>
      <c r="E155" s="6" t="s">
        <v>1846</v>
      </c>
    </row>
    <row r="156">
      <c r="A156" s="2" t="s">
        <v>15</v>
      </c>
      <c r="B156" s="1" t="s">
        <v>16</v>
      </c>
      <c r="C156" s="2" t="s">
        <v>1973</v>
      </c>
      <c r="D156" s="1" t="s">
        <v>1974</v>
      </c>
      <c r="E156" s="6" t="s">
        <v>1853</v>
      </c>
    </row>
    <row r="157">
      <c r="A157" s="2" t="s">
        <v>276</v>
      </c>
      <c r="B157" s="1" t="s">
        <v>277</v>
      </c>
      <c r="C157" s="2" t="s">
        <v>1975</v>
      </c>
      <c r="D157" s="1" t="s">
        <v>1976</v>
      </c>
      <c r="E157" s="6" t="s">
        <v>1853</v>
      </c>
    </row>
    <row r="158">
      <c r="A158" s="2" t="s">
        <v>270</v>
      </c>
      <c r="B158" s="1" t="s">
        <v>271</v>
      </c>
      <c r="C158" s="2" t="s">
        <v>1856</v>
      </c>
      <c r="D158" s="1" t="s">
        <v>1857</v>
      </c>
      <c r="E158" s="6" t="s">
        <v>1846</v>
      </c>
    </row>
    <row r="159">
      <c r="A159" s="2" t="s">
        <v>355</v>
      </c>
      <c r="B159" s="1" t="s">
        <v>356</v>
      </c>
      <c r="C159" s="2" t="s">
        <v>1905</v>
      </c>
      <c r="D159" s="1" t="s">
        <v>1906</v>
      </c>
      <c r="E159" s="6" t="s">
        <v>1862</v>
      </c>
    </row>
    <row r="160">
      <c r="A160" s="2" t="s">
        <v>45</v>
      </c>
      <c r="B160" s="1" t="s">
        <v>46</v>
      </c>
      <c r="C160" s="2" t="s">
        <v>1977</v>
      </c>
      <c r="D160" s="1" t="s">
        <v>1978</v>
      </c>
      <c r="E160" s="6" t="s">
        <v>1853</v>
      </c>
    </row>
    <row r="161">
      <c r="A161" s="2" t="s">
        <v>355</v>
      </c>
      <c r="B161" s="1" t="s">
        <v>356</v>
      </c>
      <c r="C161" s="2" t="s">
        <v>1979</v>
      </c>
      <c r="D161" s="1" t="s">
        <v>1980</v>
      </c>
      <c r="E161" s="6" t="s">
        <v>1862</v>
      </c>
    </row>
    <row r="162">
      <c r="A162" s="2" t="s">
        <v>276</v>
      </c>
      <c r="B162" s="1" t="s">
        <v>277</v>
      </c>
      <c r="C162" s="2" t="s">
        <v>1981</v>
      </c>
      <c r="D162" s="1" t="s">
        <v>1982</v>
      </c>
      <c r="E162" s="6" t="s">
        <v>1853</v>
      </c>
    </row>
    <row r="163">
      <c r="A163" s="2" t="s">
        <v>290</v>
      </c>
      <c r="B163" s="1" t="s">
        <v>291</v>
      </c>
      <c r="C163" s="2" t="s">
        <v>1849</v>
      </c>
      <c r="D163" s="1" t="s">
        <v>1850</v>
      </c>
      <c r="E163" s="6" t="s">
        <v>1853</v>
      </c>
    </row>
    <row r="164">
      <c r="A164" s="2" t="s">
        <v>20</v>
      </c>
      <c r="B164" s="1" t="s">
        <v>21</v>
      </c>
      <c r="C164" s="2" t="s">
        <v>1944</v>
      </c>
      <c r="D164" s="1" t="s">
        <v>1945</v>
      </c>
      <c r="E164" s="6" t="s">
        <v>1862</v>
      </c>
    </row>
    <row r="165">
      <c r="A165" s="2" t="s">
        <v>45</v>
      </c>
      <c r="B165" s="1" t="s">
        <v>46</v>
      </c>
      <c r="C165" s="2" t="s">
        <v>1913</v>
      </c>
      <c r="D165" s="1" t="s">
        <v>1914</v>
      </c>
      <c r="E165" s="6" t="s">
        <v>1862</v>
      </c>
    </row>
    <row r="166">
      <c r="A166" s="2" t="s">
        <v>655</v>
      </c>
      <c r="B166" s="1" t="s">
        <v>656</v>
      </c>
      <c r="C166" s="2" t="s">
        <v>1869</v>
      </c>
      <c r="D166" s="1" t="s">
        <v>1870</v>
      </c>
      <c r="E166" s="6" t="s">
        <v>1846</v>
      </c>
    </row>
    <row r="167">
      <c r="A167" s="2" t="s">
        <v>290</v>
      </c>
      <c r="B167" s="1" t="s">
        <v>291</v>
      </c>
      <c r="C167" s="2" t="s">
        <v>1875</v>
      </c>
      <c r="D167" s="1" t="s">
        <v>1876</v>
      </c>
      <c r="E167" s="6" t="s">
        <v>1846</v>
      </c>
    </row>
    <row r="168">
      <c r="A168" s="2" t="s">
        <v>323</v>
      </c>
      <c r="B168" s="1" t="s">
        <v>324</v>
      </c>
      <c r="C168" s="2" t="s">
        <v>1913</v>
      </c>
      <c r="D168" s="1" t="s">
        <v>1914</v>
      </c>
      <c r="E168" s="6" t="s">
        <v>1862</v>
      </c>
    </row>
    <row r="169">
      <c r="A169" s="2" t="s">
        <v>1670</v>
      </c>
      <c r="B169" s="1" t="s">
        <v>1671</v>
      </c>
      <c r="C169" s="2" t="s">
        <v>1983</v>
      </c>
      <c r="D169" s="1" t="s">
        <v>1984</v>
      </c>
      <c r="E169" s="6" t="s">
        <v>1846</v>
      </c>
    </row>
    <row r="170">
      <c r="A170" s="2" t="s">
        <v>355</v>
      </c>
      <c r="B170" s="1" t="s">
        <v>356</v>
      </c>
      <c r="C170" s="2" t="s">
        <v>1985</v>
      </c>
      <c r="D170" s="1" t="s">
        <v>1986</v>
      </c>
      <c r="E170" s="6" t="s">
        <v>1862</v>
      </c>
    </row>
    <row r="171">
      <c r="A171" s="2" t="s">
        <v>96</v>
      </c>
      <c r="B171" s="1" t="s">
        <v>97</v>
      </c>
      <c r="C171" s="2" t="s">
        <v>1936</v>
      </c>
      <c r="D171" s="1" t="s">
        <v>1937</v>
      </c>
      <c r="E171" s="6" t="s">
        <v>1853</v>
      </c>
    </row>
    <row r="172">
      <c r="A172" s="2" t="s">
        <v>96</v>
      </c>
      <c r="B172" s="1" t="s">
        <v>97</v>
      </c>
      <c r="C172" s="2" t="s">
        <v>1936</v>
      </c>
      <c r="D172" s="1" t="s">
        <v>1937</v>
      </c>
      <c r="E172" s="6" t="s">
        <v>1846</v>
      </c>
    </row>
    <row r="173">
      <c r="A173" s="2" t="s">
        <v>290</v>
      </c>
      <c r="B173" s="1" t="s">
        <v>291</v>
      </c>
      <c r="C173" s="2" t="s">
        <v>1885</v>
      </c>
      <c r="D173" s="1" t="s">
        <v>1886</v>
      </c>
      <c r="E173" s="6" t="s">
        <v>1853</v>
      </c>
    </row>
    <row r="174">
      <c r="A174" s="2" t="s">
        <v>355</v>
      </c>
      <c r="B174" s="1" t="s">
        <v>356</v>
      </c>
      <c r="C174" s="2" t="s">
        <v>1913</v>
      </c>
      <c r="D174" s="1" t="s">
        <v>1914</v>
      </c>
      <c r="E174" s="6" t="s">
        <v>1862</v>
      </c>
    </row>
    <row r="175">
      <c r="A175" s="2" t="s">
        <v>45</v>
      </c>
      <c r="B175" s="1" t="s">
        <v>46</v>
      </c>
      <c r="C175" s="2" t="s">
        <v>1851</v>
      </c>
      <c r="D175" s="1" t="s">
        <v>1852</v>
      </c>
      <c r="E175" s="6" t="s">
        <v>1853</v>
      </c>
    </row>
    <row r="176">
      <c r="A176" s="2" t="s">
        <v>272</v>
      </c>
      <c r="B176" s="1" t="s">
        <v>273</v>
      </c>
      <c r="C176" s="2" t="s">
        <v>1983</v>
      </c>
      <c r="D176" s="1" t="s">
        <v>1984</v>
      </c>
      <c r="E176" s="6" t="s">
        <v>1846</v>
      </c>
    </row>
    <row r="177">
      <c r="A177" s="2" t="s">
        <v>669</v>
      </c>
      <c r="B177" s="1" t="s">
        <v>670</v>
      </c>
      <c r="C177" s="2" t="s">
        <v>1987</v>
      </c>
      <c r="D177" s="1" t="s">
        <v>1988</v>
      </c>
      <c r="E177" s="6" t="s">
        <v>1846</v>
      </c>
    </row>
    <row r="178">
      <c r="A178" s="2" t="s">
        <v>96</v>
      </c>
      <c r="B178" s="1" t="s">
        <v>97</v>
      </c>
      <c r="C178" s="2" t="s">
        <v>1913</v>
      </c>
      <c r="D178" s="1" t="s">
        <v>1914</v>
      </c>
      <c r="E178" s="6" t="s">
        <v>1862</v>
      </c>
    </row>
    <row r="179">
      <c r="A179" s="2" t="s">
        <v>264</v>
      </c>
      <c r="B179" s="1" t="s">
        <v>265</v>
      </c>
      <c r="C179" s="2" t="s">
        <v>1875</v>
      </c>
      <c r="D179" s="1" t="s">
        <v>1876</v>
      </c>
      <c r="E179" s="6" t="s">
        <v>1846</v>
      </c>
    </row>
    <row r="180">
      <c r="A180" s="2" t="s">
        <v>290</v>
      </c>
      <c r="B180" s="1" t="s">
        <v>291</v>
      </c>
      <c r="C180" s="2" t="s">
        <v>1989</v>
      </c>
      <c r="D180" s="1" t="s">
        <v>1990</v>
      </c>
      <c r="E180" s="6" t="s">
        <v>1862</v>
      </c>
    </row>
    <row r="181">
      <c r="A181" s="2" t="s">
        <v>290</v>
      </c>
      <c r="B181" s="1" t="s">
        <v>291</v>
      </c>
      <c r="C181" s="2" t="s">
        <v>1851</v>
      </c>
      <c r="D181" s="1" t="s">
        <v>1852</v>
      </c>
      <c r="E181" s="6" t="s">
        <v>1853</v>
      </c>
    </row>
    <row r="182">
      <c r="A182" s="2" t="s">
        <v>15</v>
      </c>
      <c r="B182" s="1" t="s">
        <v>16</v>
      </c>
      <c r="C182" s="2" t="s">
        <v>1946</v>
      </c>
      <c r="D182" s="1" t="s">
        <v>1943</v>
      </c>
      <c r="E182" s="6" t="s">
        <v>1853</v>
      </c>
    </row>
    <row r="183">
      <c r="A183" s="2" t="s">
        <v>598</v>
      </c>
      <c r="B183" s="1" t="s">
        <v>599</v>
      </c>
      <c r="C183" s="2" t="s">
        <v>1849</v>
      </c>
      <c r="D183" s="1" t="s">
        <v>1850</v>
      </c>
      <c r="E183" s="6" t="s">
        <v>1853</v>
      </c>
    </row>
    <row r="184">
      <c r="A184" s="2" t="s">
        <v>355</v>
      </c>
      <c r="B184" s="1" t="s">
        <v>356</v>
      </c>
      <c r="C184" s="2" t="s">
        <v>1991</v>
      </c>
      <c r="D184" s="1" t="s">
        <v>1992</v>
      </c>
      <c r="E184" s="6" t="s">
        <v>1862</v>
      </c>
    </row>
    <row r="185">
      <c r="A185" s="2" t="s">
        <v>323</v>
      </c>
      <c r="B185" s="1" t="s">
        <v>324</v>
      </c>
      <c r="C185" s="2" t="s">
        <v>1901</v>
      </c>
      <c r="D185" s="1" t="s">
        <v>1902</v>
      </c>
      <c r="E185" s="6" t="s">
        <v>1862</v>
      </c>
    </row>
    <row r="186">
      <c r="A186" s="2" t="s">
        <v>290</v>
      </c>
      <c r="B186" s="1" t="s">
        <v>291</v>
      </c>
      <c r="C186" s="2" t="s">
        <v>1993</v>
      </c>
      <c r="D186" s="1" t="s">
        <v>1994</v>
      </c>
      <c r="E186" s="6" t="s">
        <v>1862</v>
      </c>
    </row>
    <row r="187">
      <c r="A187" s="2" t="s">
        <v>20</v>
      </c>
      <c r="B187" s="1" t="s">
        <v>21</v>
      </c>
      <c r="C187" s="2" t="s">
        <v>1995</v>
      </c>
      <c r="D187" s="1" t="s">
        <v>1996</v>
      </c>
      <c r="E187" s="6" t="s">
        <v>1862</v>
      </c>
    </row>
    <row r="188">
      <c r="A188" s="2" t="s">
        <v>45</v>
      </c>
      <c r="B188" s="1" t="s">
        <v>46</v>
      </c>
      <c r="C188" s="2" t="s">
        <v>1997</v>
      </c>
      <c r="D188" s="1" t="s">
        <v>1998</v>
      </c>
      <c r="E188" s="6" t="s">
        <v>1846</v>
      </c>
    </row>
    <row r="189">
      <c r="A189" s="2" t="s">
        <v>270</v>
      </c>
      <c r="B189" s="1" t="s">
        <v>271</v>
      </c>
      <c r="C189" s="2" t="s">
        <v>1977</v>
      </c>
      <c r="D189" s="1" t="s">
        <v>1978</v>
      </c>
      <c r="E189" s="6" t="s">
        <v>1853</v>
      </c>
    </row>
    <row r="190">
      <c r="A190" s="2" t="s">
        <v>45</v>
      </c>
      <c r="B190" s="1" t="s">
        <v>46</v>
      </c>
      <c r="C190" s="2" t="s">
        <v>1856</v>
      </c>
      <c r="D190" s="1" t="s">
        <v>1857</v>
      </c>
      <c r="E190" s="6" t="s">
        <v>1846</v>
      </c>
    </row>
    <row r="191">
      <c r="A191" s="2" t="s">
        <v>598</v>
      </c>
      <c r="B191" s="1" t="s">
        <v>599</v>
      </c>
      <c r="C191" s="2" t="s">
        <v>1860</v>
      </c>
      <c r="D191" s="1" t="s">
        <v>1861</v>
      </c>
      <c r="E191" s="6" t="s">
        <v>1862</v>
      </c>
    </row>
    <row r="192">
      <c r="A192" s="2" t="s">
        <v>669</v>
      </c>
      <c r="B192" s="1" t="s">
        <v>670</v>
      </c>
      <c r="C192" s="2" t="s">
        <v>1885</v>
      </c>
      <c r="D192" s="1" t="s">
        <v>1886</v>
      </c>
      <c r="E192" s="6" t="s">
        <v>1853</v>
      </c>
    </row>
    <row r="193">
      <c r="A193" s="2" t="s">
        <v>20</v>
      </c>
      <c r="B193" s="1" t="s">
        <v>21</v>
      </c>
      <c r="C193" s="2" t="s">
        <v>1999</v>
      </c>
      <c r="D193" s="1" t="s">
        <v>2000</v>
      </c>
      <c r="E193" s="6" t="s">
        <v>1862</v>
      </c>
    </row>
    <row r="194">
      <c r="A194" s="2" t="s">
        <v>45</v>
      </c>
      <c r="B194" s="1" t="s">
        <v>46</v>
      </c>
      <c r="C194" s="2" t="s">
        <v>2001</v>
      </c>
      <c r="D194" s="1" t="s">
        <v>2002</v>
      </c>
      <c r="E194" s="6" t="s">
        <v>1846</v>
      </c>
    </row>
    <row r="195">
      <c r="A195" s="2" t="s">
        <v>278</v>
      </c>
      <c r="B195" s="1" t="s">
        <v>279</v>
      </c>
      <c r="C195" s="2" t="s">
        <v>1849</v>
      </c>
      <c r="D195" s="1" t="s">
        <v>1850</v>
      </c>
      <c r="E195" s="6" t="s">
        <v>1853</v>
      </c>
    </row>
    <row r="196">
      <c r="A196" s="2" t="s">
        <v>27</v>
      </c>
      <c r="B196" s="1" t="s">
        <v>28</v>
      </c>
      <c r="C196" s="2" t="s">
        <v>1913</v>
      </c>
      <c r="D196" s="1" t="s">
        <v>1914</v>
      </c>
      <c r="E196" s="6" t="s">
        <v>1862</v>
      </c>
    </row>
    <row r="197">
      <c r="A197" s="2" t="s">
        <v>1401</v>
      </c>
      <c r="B197" s="1" t="s">
        <v>1402</v>
      </c>
      <c r="C197" s="2" t="s">
        <v>2003</v>
      </c>
      <c r="D197" s="1" t="s">
        <v>2004</v>
      </c>
      <c r="E197" s="6" t="s">
        <v>1853</v>
      </c>
    </row>
    <row r="198">
      <c r="A198" s="2" t="s">
        <v>149</v>
      </c>
      <c r="B198" s="1" t="s">
        <v>150</v>
      </c>
      <c r="C198" s="2" t="s">
        <v>2005</v>
      </c>
      <c r="D198" s="1" t="s">
        <v>2006</v>
      </c>
      <c r="E198" s="6" t="s">
        <v>1862</v>
      </c>
    </row>
    <row r="199">
      <c r="A199" s="2" t="s">
        <v>101</v>
      </c>
      <c r="B199" s="1" t="s">
        <v>102</v>
      </c>
      <c r="C199" s="2" t="s">
        <v>1851</v>
      </c>
      <c r="D199" s="1" t="s">
        <v>1852</v>
      </c>
      <c r="E199" s="6" t="s">
        <v>1846</v>
      </c>
    </row>
    <row r="200">
      <c r="A200" s="2" t="s">
        <v>1461</v>
      </c>
      <c r="B200" s="1" t="s">
        <v>1462</v>
      </c>
      <c r="C200" s="2" t="s">
        <v>1913</v>
      </c>
      <c r="D200" s="1" t="s">
        <v>1914</v>
      </c>
      <c r="E200" s="6" t="s">
        <v>1862</v>
      </c>
    </row>
    <row r="201">
      <c r="A201" s="2" t="s">
        <v>149</v>
      </c>
      <c r="B201" s="1" t="s">
        <v>150</v>
      </c>
      <c r="C201" s="2" t="s">
        <v>2007</v>
      </c>
      <c r="D201" s="1" t="s">
        <v>2008</v>
      </c>
      <c r="E201" s="6" t="s">
        <v>1846</v>
      </c>
    </row>
    <row r="202">
      <c r="A202" s="2" t="s">
        <v>101</v>
      </c>
      <c r="B202" s="1" t="s">
        <v>102</v>
      </c>
      <c r="C202" s="2" t="s">
        <v>2009</v>
      </c>
      <c r="D202" s="1" t="s">
        <v>2010</v>
      </c>
      <c r="E202" s="6" t="s">
        <v>1846</v>
      </c>
    </row>
    <row r="203">
      <c r="A203" s="2" t="s">
        <v>1428</v>
      </c>
      <c r="B203" s="1" t="s">
        <v>1429</v>
      </c>
      <c r="C203" s="2" t="s">
        <v>2011</v>
      </c>
      <c r="D203" s="1" t="s">
        <v>2012</v>
      </c>
      <c r="E203" s="6" t="s">
        <v>1846</v>
      </c>
    </row>
    <row r="204">
      <c r="A204" s="2" t="s">
        <v>1401</v>
      </c>
      <c r="B204" s="1" t="s">
        <v>1402</v>
      </c>
      <c r="C204" s="2" t="s">
        <v>2013</v>
      </c>
      <c r="D204" s="1" t="s">
        <v>2014</v>
      </c>
      <c r="E204" s="6" t="s">
        <v>1853</v>
      </c>
    </row>
    <row r="205">
      <c r="A205" s="2" t="s">
        <v>149</v>
      </c>
      <c r="B205" s="1" t="s">
        <v>150</v>
      </c>
      <c r="C205" s="2" t="s">
        <v>1913</v>
      </c>
      <c r="D205" s="1" t="s">
        <v>1914</v>
      </c>
      <c r="E205" s="6" t="s">
        <v>1862</v>
      </c>
    </row>
    <row r="206">
      <c r="A206" s="2" t="s">
        <v>416</v>
      </c>
      <c r="B206" s="1" t="s">
        <v>417</v>
      </c>
      <c r="C206" s="2" t="s">
        <v>2001</v>
      </c>
      <c r="D206" s="1" t="s">
        <v>2002</v>
      </c>
      <c r="E206" s="6" t="s">
        <v>1846</v>
      </c>
    </row>
    <row r="207">
      <c r="A207" s="2" t="s">
        <v>1428</v>
      </c>
      <c r="B207" s="1" t="s">
        <v>1429</v>
      </c>
      <c r="C207" s="2" t="s">
        <v>1901</v>
      </c>
      <c r="D207" s="1" t="s">
        <v>1902</v>
      </c>
      <c r="E207" s="6" t="s">
        <v>1862</v>
      </c>
    </row>
    <row r="208">
      <c r="A208" s="2" t="s">
        <v>178</v>
      </c>
      <c r="B208" s="1" t="s">
        <v>179</v>
      </c>
      <c r="C208" s="2" t="s">
        <v>1851</v>
      </c>
      <c r="D208" s="1" t="s">
        <v>1852</v>
      </c>
      <c r="E208" s="6" t="s">
        <v>1853</v>
      </c>
    </row>
    <row r="209">
      <c r="A209" s="2" t="s">
        <v>934</v>
      </c>
      <c r="B209" s="1" t="s">
        <v>935</v>
      </c>
      <c r="C209" s="2" t="s">
        <v>2015</v>
      </c>
      <c r="D209" s="1" t="s">
        <v>2016</v>
      </c>
      <c r="E209" s="6" t="s">
        <v>1846</v>
      </c>
    </row>
    <row r="210">
      <c r="A210" s="2" t="s">
        <v>149</v>
      </c>
      <c r="B210" s="1" t="s">
        <v>150</v>
      </c>
      <c r="C210" s="2" t="s">
        <v>2017</v>
      </c>
      <c r="D210" s="1" t="s">
        <v>2018</v>
      </c>
      <c r="E210" s="6" t="s">
        <v>1846</v>
      </c>
    </row>
    <row r="211">
      <c r="A211" s="2" t="s">
        <v>149</v>
      </c>
      <c r="B211" s="1" t="s">
        <v>150</v>
      </c>
      <c r="C211" s="2" t="s">
        <v>2019</v>
      </c>
      <c r="D211" s="1" t="s">
        <v>2020</v>
      </c>
      <c r="E211" s="6" t="s">
        <v>1846</v>
      </c>
    </row>
    <row r="212">
      <c r="A212" s="2" t="s">
        <v>1573</v>
      </c>
      <c r="B212" s="1" t="s">
        <v>1574</v>
      </c>
      <c r="C212" s="2" t="s">
        <v>1899</v>
      </c>
      <c r="D212" s="1" t="s">
        <v>1900</v>
      </c>
      <c r="E212" s="6" t="s">
        <v>1846</v>
      </c>
    </row>
    <row r="213">
      <c r="A213" s="2" t="s">
        <v>1485</v>
      </c>
      <c r="B213" s="1" t="s">
        <v>1486</v>
      </c>
      <c r="C213" s="2" t="s">
        <v>1851</v>
      </c>
      <c r="D213" s="1" t="s">
        <v>1852</v>
      </c>
      <c r="E213" s="6" t="s">
        <v>1853</v>
      </c>
    </row>
    <row r="214">
      <c r="A214" s="2" t="s">
        <v>1678</v>
      </c>
      <c r="B214" s="1" t="s">
        <v>1679</v>
      </c>
      <c r="C214" s="2" t="s">
        <v>1847</v>
      </c>
      <c r="D214" s="1" t="s">
        <v>1848</v>
      </c>
      <c r="E214" s="6" t="s">
        <v>1853</v>
      </c>
    </row>
    <row r="215">
      <c r="A215" s="2" t="s">
        <v>1485</v>
      </c>
      <c r="B215" s="1" t="s">
        <v>1486</v>
      </c>
      <c r="C215" s="2" t="s">
        <v>1901</v>
      </c>
      <c r="D215" s="1" t="s">
        <v>1902</v>
      </c>
      <c r="E215" s="6" t="s">
        <v>1862</v>
      </c>
    </row>
    <row r="216">
      <c r="A216" s="2" t="s">
        <v>416</v>
      </c>
      <c r="B216" s="1" t="s">
        <v>417</v>
      </c>
      <c r="C216" s="2" t="s">
        <v>2021</v>
      </c>
      <c r="D216" s="1" t="s">
        <v>2022</v>
      </c>
      <c r="E216" s="6" t="s">
        <v>1846</v>
      </c>
    </row>
    <row r="217">
      <c r="A217" s="2" t="s">
        <v>1461</v>
      </c>
      <c r="B217" s="1" t="s">
        <v>1462</v>
      </c>
      <c r="C217" s="2" t="s">
        <v>2023</v>
      </c>
      <c r="D217" s="1" t="s">
        <v>2024</v>
      </c>
      <c r="E217" s="6" t="s">
        <v>1853</v>
      </c>
    </row>
    <row r="218">
      <c r="A218" s="2" t="s">
        <v>1461</v>
      </c>
      <c r="B218" s="1" t="s">
        <v>1462</v>
      </c>
      <c r="C218" s="2" t="s">
        <v>2025</v>
      </c>
      <c r="D218" s="1" t="s">
        <v>2026</v>
      </c>
      <c r="E218" s="6" t="s">
        <v>1853</v>
      </c>
    </row>
    <row r="219">
      <c r="A219" s="2" t="s">
        <v>1797</v>
      </c>
      <c r="B219" s="1" t="s">
        <v>1798</v>
      </c>
      <c r="C219" s="2" t="s">
        <v>2027</v>
      </c>
      <c r="D219" s="1" t="s">
        <v>2028</v>
      </c>
      <c r="E219" s="6" t="s">
        <v>1853</v>
      </c>
    </row>
    <row r="220">
      <c r="A220" s="2" t="s">
        <v>416</v>
      </c>
      <c r="B220" s="1" t="s">
        <v>417</v>
      </c>
      <c r="C220" s="2" t="s">
        <v>1995</v>
      </c>
      <c r="D220" s="1" t="s">
        <v>1996</v>
      </c>
      <c r="E220" s="6" t="s">
        <v>1862</v>
      </c>
    </row>
    <row r="221">
      <c r="A221" s="2" t="s">
        <v>178</v>
      </c>
      <c r="B221" s="1" t="s">
        <v>179</v>
      </c>
      <c r="C221" s="2" t="s">
        <v>2029</v>
      </c>
      <c r="D221" s="1" t="s">
        <v>2030</v>
      </c>
      <c r="E221" s="6" t="s">
        <v>1862</v>
      </c>
    </row>
    <row r="222">
      <c r="A222" s="2" t="s">
        <v>1612</v>
      </c>
      <c r="B222" s="1" t="s">
        <v>1613</v>
      </c>
      <c r="C222" s="2" t="s">
        <v>2031</v>
      </c>
      <c r="D222" s="1" t="s">
        <v>2032</v>
      </c>
      <c r="E222" s="6" t="s">
        <v>1853</v>
      </c>
    </row>
    <row r="223">
      <c r="A223" s="2" t="s">
        <v>1678</v>
      </c>
      <c r="B223" s="1" t="s">
        <v>1679</v>
      </c>
      <c r="C223" s="2" t="s">
        <v>2033</v>
      </c>
      <c r="D223" s="1" t="s">
        <v>2034</v>
      </c>
      <c r="E223" s="6" t="s">
        <v>1853</v>
      </c>
    </row>
    <row r="224">
      <c r="A224" s="2" t="s">
        <v>934</v>
      </c>
      <c r="B224" s="1" t="s">
        <v>935</v>
      </c>
      <c r="C224" s="2" t="s">
        <v>1875</v>
      </c>
      <c r="D224" s="1" t="s">
        <v>1876</v>
      </c>
      <c r="E224" s="6" t="s">
        <v>1853</v>
      </c>
    </row>
    <row r="225">
      <c r="A225" s="2" t="s">
        <v>1440</v>
      </c>
      <c r="B225" s="1" t="s">
        <v>1441</v>
      </c>
      <c r="C225" s="2" t="s">
        <v>2035</v>
      </c>
      <c r="D225" s="1" t="s">
        <v>2036</v>
      </c>
      <c r="E225" s="6" t="s">
        <v>1862</v>
      </c>
    </row>
    <row r="226">
      <c r="A226" s="2" t="s">
        <v>1544</v>
      </c>
      <c r="B226" s="1" t="s">
        <v>1545</v>
      </c>
      <c r="C226" s="2" t="s">
        <v>1875</v>
      </c>
      <c r="D226" s="1" t="s">
        <v>1876</v>
      </c>
      <c r="E226" s="6" t="s">
        <v>1853</v>
      </c>
    </row>
    <row r="227">
      <c r="A227" s="2" t="s">
        <v>1776</v>
      </c>
      <c r="B227" s="1" t="s">
        <v>1777</v>
      </c>
      <c r="C227" s="2" t="s">
        <v>2037</v>
      </c>
      <c r="D227" s="1" t="s">
        <v>2038</v>
      </c>
      <c r="E227" s="6" t="s">
        <v>1853</v>
      </c>
    </row>
    <row r="228">
      <c r="A228" s="2" t="s">
        <v>212</v>
      </c>
      <c r="B228" s="1" t="s">
        <v>213</v>
      </c>
      <c r="C228" s="2" t="s">
        <v>1851</v>
      </c>
      <c r="D228" s="1" t="s">
        <v>1852</v>
      </c>
      <c r="E228" s="6" t="s">
        <v>1853</v>
      </c>
    </row>
    <row r="229">
      <c r="A229" s="2" t="s">
        <v>1502</v>
      </c>
      <c r="B229" s="1" t="s">
        <v>1503</v>
      </c>
      <c r="C229" s="2" t="s">
        <v>2039</v>
      </c>
      <c r="D229" s="1" t="s">
        <v>2040</v>
      </c>
      <c r="E229" s="6" t="s">
        <v>1846</v>
      </c>
    </row>
    <row r="230">
      <c r="A230" s="2" t="s">
        <v>934</v>
      </c>
      <c r="B230" s="1" t="s">
        <v>935</v>
      </c>
      <c r="C230" s="2" t="s">
        <v>1885</v>
      </c>
      <c r="D230" s="1" t="s">
        <v>1886</v>
      </c>
      <c r="E230" s="6" t="s">
        <v>1853</v>
      </c>
    </row>
    <row r="231">
      <c r="A231" s="2" t="s">
        <v>212</v>
      </c>
      <c r="B231" s="1" t="s">
        <v>213</v>
      </c>
      <c r="C231" s="2" t="s">
        <v>1901</v>
      </c>
      <c r="D231" s="1" t="s">
        <v>1902</v>
      </c>
      <c r="E231" s="6" t="s">
        <v>1862</v>
      </c>
    </row>
    <row r="232">
      <c r="A232" s="2" t="s">
        <v>212</v>
      </c>
      <c r="B232" s="1" t="s">
        <v>213</v>
      </c>
      <c r="C232" s="2" t="s">
        <v>1965</v>
      </c>
      <c r="D232" s="1" t="s">
        <v>1966</v>
      </c>
      <c r="E232" s="6" t="s">
        <v>1853</v>
      </c>
    </row>
    <row r="233">
      <c r="A233" s="2" t="s">
        <v>1428</v>
      </c>
      <c r="B233" s="1" t="s">
        <v>1429</v>
      </c>
      <c r="C233" s="2" t="s">
        <v>1995</v>
      </c>
      <c r="D233" s="1" t="s">
        <v>1996</v>
      </c>
      <c r="E233" s="6" t="s">
        <v>1862</v>
      </c>
    </row>
    <row r="234">
      <c r="A234" s="2" t="s">
        <v>1577</v>
      </c>
      <c r="B234" s="1" t="s">
        <v>1578</v>
      </c>
      <c r="C234" s="2" t="s">
        <v>1849</v>
      </c>
      <c r="D234" s="1" t="s">
        <v>1850</v>
      </c>
      <c r="E234" s="6" t="s">
        <v>1853</v>
      </c>
    </row>
    <row r="235">
      <c r="A235" s="2" t="s">
        <v>1398</v>
      </c>
      <c r="B235" s="1" t="s">
        <v>1399</v>
      </c>
      <c r="C235" s="2" t="s">
        <v>2041</v>
      </c>
      <c r="D235" s="1" t="s">
        <v>2042</v>
      </c>
      <c r="E235" s="6" t="s">
        <v>1853</v>
      </c>
    </row>
    <row r="236">
      <c r="A236" s="2" t="s">
        <v>393</v>
      </c>
      <c r="B236" s="1" t="s">
        <v>394</v>
      </c>
      <c r="C236" s="2" t="s">
        <v>1929</v>
      </c>
      <c r="D236" s="1" t="s">
        <v>1930</v>
      </c>
      <c r="E236" s="6" t="s">
        <v>1846</v>
      </c>
    </row>
    <row r="237">
      <c r="A237" s="2" t="s">
        <v>1447</v>
      </c>
      <c r="B237" s="1" t="s">
        <v>1448</v>
      </c>
      <c r="C237" s="2" t="s">
        <v>1913</v>
      </c>
      <c r="D237" s="1" t="s">
        <v>1914</v>
      </c>
      <c r="E237" s="6" t="s">
        <v>1862</v>
      </c>
    </row>
    <row r="238">
      <c r="A238" s="2" t="s">
        <v>1502</v>
      </c>
      <c r="B238" s="1" t="s">
        <v>1503</v>
      </c>
      <c r="C238" s="2" t="s">
        <v>2033</v>
      </c>
      <c r="D238" s="1" t="s">
        <v>2034</v>
      </c>
      <c r="E238" s="6" t="s">
        <v>1846</v>
      </c>
    </row>
    <row r="239">
      <c r="A239" s="2" t="s">
        <v>1440</v>
      </c>
      <c r="B239" s="1" t="s">
        <v>1441</v>
      </c>
      <c r="C239" s="2" t="s">
        <v>1849</v>
      </c>
      <c r="D239" s="1" t="s">
        <v>1850</v>
      </c>
      <c r="E239" s="6" t="s">
        <v>1853</v>
      </c>
    </row>
    <row r="240">
      <c r="A240" s="2" t="s">
        <v>1440</v>
      </c>
      <c r="B240" s="1" t="s">
        <v>1441</v>
      </c>
      <c r="C240" s="2" t="s">
        <v>1849</v>
      </c>
      <c r="D240" s="1" t="s">
        <v>1850</v>
      </c>
      <c r="E240" s="6" t="s">
        <v>1846</v>
      </c>
    </row>
    <row r="241">
      <c r="A241" s="2" t="s">
        <v>934</v>
      </c>
      <c r="B241" s="1" t="s">
        <v>935</v>
      </c>
      <c r="C241" s="2" t="s">
        <v>1895</v>
      </c>
      <c r="D241" s="1" t="s">
        <v>1896</v>
      </c>
      <c r="E241" s="6" t="s">
        <v>1846</v>
      </c>
    </row>
    <row r="242">
      <c r="A242" s="2" t="s">
        <v>934</v>
      </c>
      <c r="B242" s="1" t="s">
        <v>935</v>
      </c>
      <c r="C242" s="2" t="s">
        <v>2043</v>
      </c>
      <c r="D242" s="1" t="s">
        <v>2044</v>
      </c>
      <c r="E242" s="6" t="s">
        <v>1846</v>
      </c>
    </row>
    <row r="243">
      <c r="A243" s="2" t="s">
        <v>1506</v>
      </c>
      <c r="B243" s="1" t="s">
        <v>1507</v>
      </c>
      <c r="C243" s="2" t="s">
        <v>2045</v>
      </c>
      <c r="D243" s="1" t="s">
        <v>2046</v>
      </c>
      <c r="E243" s="6" t="s">
        <v>1846</v>
      </c>
    </row>
    <row r="244">
      <c r="A244" s="2" t="s">
        <v>393</v>
      </c>
      <c r="B244" s="1" t="s">
        <v>394</v>
      </c>
      <c r="C244" s="2" t="s">
        <v>1913</v>
      </c>
      <c r="D244" s="1" t="s">
        <v>1914</v>
      </c>
      <c r="E244" s="6" t="s">
        <v>1862</v>
      </c>
    </row>
    <row r="245">
      <c r="A245" s="2" t="s">
        <v>1485</v>
      </c>
      <c r="B245" s="1" t="s">
        <v>1486</v>
      </c>
      <c r="C245" s="2" t="s">
        <v>1877</v>
      </c>
      <c r="D245" s="1" t="s">
        <v>1878</v>
      </c>
      <c r="E245" s="6" t="s">
        <v>1862</v>
      </c>
    </row>
    <row r="246">
      <c r="A246" s="2" t="s">
        <v>390</v>
      </c>
      <c r="B246" s="1" t="s">
        <v>391</v>
      </c>
      <c r="C246" s="2" t="s">
        <v>2047</v>
      </c>
      <c r="D246" s="1" t="s">
        <v>2048</v>
      </c>
      <c r="E246" s="6" t="s">
        <v>1862</v>
      </c>
    </row>
    <row r="247">
      <c r="A247" s="2" t="s">
        <v>149</v>
      </c>
      <c r="B247" s="1" t="s">
        <v>150</v>
      </c>
      <c r="C247" s="2" t="s">
        <v>2049</v>
      </c>
      <c r="D247" s="1" t="s">
        <v>2050</v>
      </c>
      <c r="E247" s="6" t="s">
        <v>1853</v>
      </c>
    </row>
    <row r="248">
      <c r="A248" s="2" t="s">
        <v>1024</v>
      </c>
      <c r="B248" s="1" t="s">
        <v>1025</v>
      </c>
      <c r="C248" s="2" t="s">
        <v>2051</v>
      </c>
      <c r="D248" s="1" t="s">
        <v>2052</v>
      </c>
      <c r="E248" s="6" t="s">
        <v>1846</v>
      </c>
    </row>
    <row r="249">
      <c r="A249" s="2" t="s">
        <v>934</v>
      </c>
      <c r="B249" s="1" t="s">
        <v>935</v>
      </c>
      <c r="C249" s="2" t="s">
        <v>1851</v>
      </c>
      <c r="D249" s="1" t="s">
        <v>1852</v>
      </c>
      <c r="E249" s="6" t="s">
        <v>1853</v>
      </c>
    </row>
    <row r="250">
      <c r="A250" s="2" t="s">
        <v>1428</v>
      </c>
      <c r="B250" s="1" t="s">
        <v>1429</v>
      </c>
      <c r="C250" s="2" t="s">
        <v>2053</v>
      </c>
      <c r="D250" s="1" t="s">
        <v>2054</v>
      </c>
      <c r="E250" s="6" t="s">
        <v>1846</v>
      </c>
    </row>
    <row r="251">
      <c r="A251" s="2" t="s">
        <v>1544</v>
      </c>
      <c r="B251" s="1" t="s">
        <v>1545</v>
      </c>
      <c r="C251" s="2" t="s">
        <v>1851</v>
      </c>
      <c r="D251" s="1" t="s">
        <v>1852</v>
      </c>
      <c r="E251" s="6" t="s">
        <v>1853</v>
      </c>
    </row>
    <row r="252">
      <c r="A252" s="2" t="s">
        <v>111</v>
      </c>
      <c r="B252" s="1" t="s">
        <v>112</v>
      </c>
      <c r="C252" s="2" t="s">
        <v>2055</v>
      </c>
      <c r="D252" s="1" t="s">
        <v>2056</v>
      </c>
      <c r="E252" s="6" t="s">
        <v>1846</v>
      </c>
    </row>
    <row r="253">
      <c r="A253" s="2" t="s">
        <v>149</v>
      </c>
      <c r="B253" s="1" t="s">
        <v>150</v>
      </c>
      <c r="C253" s="2" t="s">
        <v>2057</v>
      </c>
      <c r="D253" s="1" t="s">
        <v>2058</v>
      </c>
      <c r="E253" s="6" t="s">
        <v>1846</v>
      </c>
    </row>
    <row r="254">
      <c r="A254" s="2" t="s">
        <v>149</v>
      </c>
      <c r="B254" s="1" t="s">
        <v>150</v>
      </c>
      <c r="C254" s="2" t="s">
        <v>2057</v>
      </c>
      <c r="D254" s="1" t="s">
        <v>2058</v>
      </c>
      <c r="E254" s="6" t="s">
        <v>1862</v>
      </c>
    </row>
    <row r="255">
      <c r="A255" s="2" t="s">
        <v>390</v>
      </c>
      <c r="B255" s="1" t="s">
        <v>391</v>
      </c>
      <c r="C255" s="2" t="s">
        <v>2059</v>
      </c>
      <c r="D255" s="1" t="s">
        <v>2060</v>
      </c>
      <c r="E255" s="6" t="s">
        <v>1846</v>
      </c>
    </row>
    <row r="256">
      <c r="A256" s="2" t="s">
        <v>1732</v>
      </c>
      <c r="B256" s="1" t="s">
        <v>1733</v>
      </c>
      <c r="C256" s="2" t="s">
        <v>1849</v>
      </c>
      <c r="D256" s="1" t="s">
        <v>1850</v>
      </c>
      <c r="E256" s="6" t="s">
        <v>1853</v>
      </c>
    </row>
    <row r="257">
      <c r="A257" s="2" t="s">
        <v>563</v>
      </c>
      <c r="B257" s="1" t="s">
        <v>564</v>
      </c>
      <c r="C257" s="2" t="s">
        <v>1849</v>
      </c>
      <c r="D257" s="1" t="s">
        <v>1850</v>
      </c>
      <c r="E257" s="6" t="s">
        <v>1853</v>
      </c>
    </row>
    <row r="258">
      <c r="A258" s="2" t="s">
        <v>416</v>
      </c>
      <c r="B258" s="1" t="s">
        <v>417</v>
      </c>
      <c r="C258" s="2" t="s">
        <v>1913</v>
      </c>
      <c r="D258" s="1" t="s">
        <v>1914</v>
      </c>
      <c r="E258" s="6" t="s">
        <v>1862</v>
      </c>
    </row>
    <row r="259">
      <c r="A259" s="2" t="s">
        <v>111</v>
      </c>
      <c r="B259" s="1" t="s">
        <v>112</v>
      </c>
      <c r="C259" s="2" t="s">
        <v>2061</v>
      </c>
      <c r="D259" s="1" t="s">
        <v>2062</v>
      </c>
      <c r="E259" s="6" t="s">
        <v>1846</v>
      </c>
    </row>
    <row r="260">
      <c r="A260" s="2" t="s">
        <v>1428</v>
      </c>
      <c r="B260" s="1" t="s">
        <v>1429</v>
      </c>
      <c r="C260" s="2" t="s">
        <v>1931</v>
      </c>
      <c r="D260" s="1" t="s">
        <v>1932</v>
      </c>
      <c r="E260" s="6" t="s">
        <v>1853</v>
      </c>
    </row>
    <row r="261">
      <c r="A261" s="2" t="s">
        <v>111</v>
      </c>
      <c r="B261" s="1" t="s">
        <v>112</v>
      </c>
      <c r="C261" s="2" t="s">
        <v>1905</v>
      </c>
      <c r="D261" s="1" t="s">
        <v>1906</v>
      </c>
      <c r="E261" s="6" t="s">
        <v>1862</v>
      </c>
    </row>
    <row r="262">
      <c r="A262" s="2" t="s">
        <v>390</v>
      </c>
      <c r="B262" s="1" t="s">
        <v>391</v>
      </c>
      <c r="C262" s="2" t="s">
        <v>2063</v>
      </c>
      <c r="D262" s="1" t="s">
        <v>2064</v>
      </c>
      <c r="E262" s="6" t="s">
        <v>1862</v>
      </c>
    </row>
    <row r="263">
      <c r="A263" s="2" t="s">
        <v>1732</v>
      </c>
      <c r="B263" s="1" t="s">
        <v>1733</v>
      </c>
      <c r="C263" s="2" t="s">
        <v>1875</v>
      </c>
      <c r="D263" s="1" t="s">
        <v>1876</v>
      </c>
      <c r="E263" s="6" t="s">
        <v>1853</v>
      </c>
    </row>
    <row r="264">
      <c r="A264" s="2" t="s">
        <v>936</v>
      </c>
      <c r="B264" s="1" t="s">
        <v>937</v>
      </c>
      <c r="C264" s="2" t="s">
        <v>2035</v>
      </c>
      <c r="D264" s="1" t="s">
        <v>2036</v>
      </c>
      <c r="E264" s="6" t="s">
        <v>1862</v>
      </c>
    </row>
    <row r="265">
      <c r="A265" s="2" t="s">
        <v>563</v>
      </c>
      <c r="B265" s="1" t="s">
        <v>564</v>
      </c>
      <c r="C265" s="2" t="s">
        <v>1875</v>
      </c>
      <c r="D265" s="1" t="s">
        <v>1876</v>
      </c>
      <c r="E265" s="6" t="s">
        <v>1846</v>
      </c>
    </row>
    <row r="266">
      <c r="A266" s="2" t="s">
        <v>1398</v>
      </c>
      <c r="B266" s="1" t="s">
        <v>1399</v>
      </c>
      <c r="C266" s="2" t="s">
        <v>2065</v>
      </c>
      <c r="D266" s="1" t="s">
        <v>2066</v>
      </c>
      <c r="E266" s="6" t="s">
        <v>1853</v>
      </c>
    </row>
    <row r="267">
      <c r="A267" s="2" t="s">
        <v>1447</v>
      </c>
      <c r="B267" s="1" t="s">
        <v>1448</v>
      </c>
      <c r="C267" s="2" t="s">
        <v>2067</v>
      </c>
      <c r="D267" s="1" t="s">
        <v>2068</v>
      </c>
      <c r="E267" s="6" t="s">
        <v>1853</v>
      </c>
    </row>
    <row r="268">
      <c r="A268" s="2" t="s">
        <v>101</v>
      </c>
      <c r="B268" s="1" t="s">
        <v>102</v>
      </c>
      <c r="C268" s="2" t="s">
        <v>1913</v>
      </c>
      <c r="D268" s="1" t="s">
        <v>1914</v>
      </c>
      <c r="E268" s="6" t="s">
        <v>1862</v>
      </c>
    </row>
    <row r="269">
      <c r="A269" s="2" t="s">
        <v>1573</v>
      </c>
      <c r="B269" s="1" t="s">
        <v>1574</v>
      </c>
      <c r="C269" s="2" t="s">
        <v>1849</v>
      </c>
      <c r="D269" s="1" t="s">
        <v>1850</v>
      </c>
      <c r="E269" s="6" t="s">
        <v>1846</v>
      </c>
    </row>
    <row r="270">
      <c r="A270" s="2" t="s">
        <v>1428</v>
      </c>
      <c r="B270" s="1" t="s">
        <v>1429</v>
      </c>
      <c r="C270" s="2" t="s">
        <v>1913</v>
      </c>
      <c r="D270" s="1" t="s">
        <v>1914</v>
      </c>
      <c r="E270" s="6" t="s">
        <v>1862</v>
      </c>
    </row>
    <row r="271">
      <c r="A271" s="2" t="s">
        <v>1678</v>
      </c>
      <c r="B271" s="1" t="s">
        <v>1679</v>
      </c>
      <c r="C271" s="2" t="s">
        <v>1851</v>
      </c>
      <c r="D271" s="1" t="s">
        <v>1852</v>
      </c>
      <c r="E271" s="6" t="s">
        <v>1853</v>
      </c>
    </row>
    <row r="272">
      <c r="A272" s="2" t="s">
        <v>936</v>
      </c>
      <c r="B272" s="1" t="s">
        <v>937</v>
      </c>
      <c r="C272" s="2" t="s">
        <v>2069</v>
      </c>
      <c r="D272" s="1" t="s">
        <v>2070</v>
      </c>
      <c r="E272" s="6" t="s">
        <v>1846</v>
      </c>
    </row>
    <row r="273">
      <c r="A273" s="2" t="s">
        <v>1398</v>
      </c>
      <c r="B273" s="1" t="s">
        <v>1399</v>
      </c>
      <c r="C273" s="2" t="s">
        <v>1913</v>
      </c>
      <c r="D273" s="1" t="s">
        <v>1914</v>
      </c>
      <c r="E273" s="6" t="s">
        <v>1862</v>
      </c>
    </row>
    <row r="274">
      <c r="A274" s="2" t="s">
        <v>1461</v>
      </c>
      <c r="B274" s="1" t="s">
        <v>1462</v>
      </c>
      <c r="C274" s="2" t="s">
        <v>2071</v>
      </c>
      <c r="D274" s="1" t="s">
        <v>2072</v>
      </c>
      <c r="E274" s="6" t="s">
        <v>1853</v>
      </c>
    </row>
    <row r="275">
      <c r="A275" s="2" t="s">
        <v>1461</v>
      </c>
      <c r="B275" s="1" t="s">
        <v>1462</v>
      </c>
      <c r="C275" s="2" t="s">
        <v>2073</v>
      </c>
      <c r="D275" s="1" t="s">
        <v>2074</v>
      </c>
      <c r="E275" s="6" t="s">
        <v>1853</v>
      </c>
    </row>
    <row r="276">
      <c r="A276" s="2" t="s">
        <v>178</v>
      </c>
      <c r="B276" s="1" t="s">
        <v>179</v>
      </c>
      <c r="C276" s="2" t="s">
        <v>1875</v>
      </c>
      <c r="D276" s="1" t="s">
        <v>1876</v>
      </c>
      <c r="E276" s="6" t="s">
        <v>1853</v>
      </c>
    </row>
    <row r="277">
      <c r="A277" s="2" t="s">
        <v>1461</v>
      </c>
      <c r="B277" s="1" t="s">
        <v>1462</v>
      </c>
      <c r="C277" s="2" t="s">
        <v>1985</v>
      </c>
      <c r="D277" s="1" t="s">
        <v>1986</v>
      </c>
      <c r="E277" s="6" t="s">
        <v>1862</v>
      </c>
    </row>
    <row r="278">
      <c r="A278" s="2" t="s">
        <v>390</v>
      </c>
      <c r="B278" s="1" t="s">
        <v>391</v>
      </c>
      <c r="C278" s="2" t="s">
        <v>1913</v>
      </c>
      <c r="D278" s="1" t="s">
        <v>1914</v>
      </c>
      <c r="E278" s="6" t="s">
        <v>1862</v>
      </c>
    </row>
    <row r="279">
      <c r="A279" s="2" t="s">
        <v>1506</v>
      </c>
      <c r="B279" s="1" t="s">
        <v>1507</v>
      </c>
      <c r="C279" s="2" t="s">
        <v>2075</v>
      </c>
      <c r="D279" s="1" t="s">
        <v>2076</v>
      </c>
      <c r="E279" s="6" t="s">
        <v>1846</v>
      </c>
    </row>
    <row r="280">
      <c r="A280" s="2" t="s">
        <v>1780</v>
      </c>
      <c r="B280" s="1" t="s">
        <v>1781</v>
      </c>
      <c r="C280" s="2" t="s">
        <v>1851</v>
      </c>
      <c r="D280" s="1" t="s">
        <v>1852</v>
      </c>
      <c r="E280" s="6" t="s">
        <v>1853</v>
      </c>
    </row>
    <row r="281">
      <c r="A281" s="2" t="s">
        <v>936</v>
      </c>
      <c r="B281" s="1" t="s">
        <v>937</v>
      </c>
      <c r="C281" s="2" t="s">
        <v>1849</v>
      </c>
      <c r="D281" s="1" t="s">
        <v>1850</v>
      </c>
      <c r="E281" s="6" t="s">
        <v>1853</v>
      </c>
    </row>
    <row r="282">
      <c r="A282" s="2" t="s">
        <v>936</v>
      </c>
      <c r="B282" s="1" t="s">
        <v>937</v>
      </c>
      <c r="C282" s="2" t="s">
        <v>1849</v>
      </c>
      <c r="D282" s="1" t="s">
        <v>1850</v>
      </c>
      <c r="E282" s="6" t="s">
        <v>1846</v>
      </c>
    </row>
    <row r="283">
      <c r="A283" s="2" t="s">
        <v>240</v>
      </c>
      <c r="B283" s="1" t="s">
        <v>241</v>
      </c>
      <c r="C283" s="2" t="s">
        <v>1913</v>
      </c>
      <c r="D283" s="1" t="s">
        <v>1914</v>
      </c>
      <c r="E283" s="6" t="s">
        <v>1862</v>
      </c>
    </row>
    <row r="284">
      <c r="A284" s="2" t="s">
        <v>1132</v>
      </c>
      <c r="B284" s="1" t="s">
        <v>1133</v>
      </c>
      <c r="C284" s="2" t="s">
        <v>1875</v>
      </c>
      <c r="D284" s="1" t="s">
        <v>1876</v>
      </c>
      <c r="E284" s="6" t="s">
        <v>1846</v>
      </c>
    </row>
    <row r="285">
      <c r="A285" s="2" t="s">
        <v>992</v>
      </c>
      <c r="B285" s="1" t="s">
        <v>993</v>
      </c>
      <c r="C285" s="2" t="s">
        <v>2077</v>
      </c>
      <c r="D285" s="1" t="s">
        <v>2078</v>
      </c>
      <c r="E285" s="6" t="s">
        <v>1853</v>
      </c>
    </row>
    <row r="286">
      <c r="A286" s="2" t="s">
        <v>1168</v>
      </c>
      <c r="B286" s="1" t="s">
        <v>1169</v>
      </c>
      <c r="C286" s="2" t="s">
        <v>1849</v>
      </c>
      <c r="D286" s="1" t="s">
        <v>1850</v>
      </c>
      <c r="E286" s="6" t="s">
        <v>1853</v>
      </c>
    </row>
    <row r="287">
      <c r="A287" s="2" t="s">
        <v>983</v>
      </c>
      <c r="B287" s="1" t="s">
        <v>984</v>
      </c>
      <c r="C287" s="2" t="s">
        <v>1913</v>
      </c>
      <c r="D287" s="1" t="s">
        <v>1914</v>
      </c>
      <c r="E287" s="6" t="s">
        <v>1862</v>
      </c>
    </row>
    <row r="288">
      <c r="A288" s="2" t="s">
        <v>973</v>
      </c>
      <c r="B288" s="1" t="s">
        <v>974</v>
      </c>
      <c r="C288" s="2" t="s">
        <v>1905</v>
      </c>
      <c r="D288" s="1" t="s">
        <v>1906</v>
      </c>
      <c r="E288" s="6" t="s">
        <v>1862</v>
      </c>
    </row>
    <row r="289">
      <c r="A289" s="2" t="s">
        <v>157</v>
      </c>
      <c r="B289" s="1" t="s">
        <v>158</v>
      </c>
      <c r="C289" s="2" t="s">
        <v>1905</v>
      </c>
      <c r="D289" s="1" t="s">
        <v>1906</v>
      </c>
      <c r="E289" s="6" t="s">
        <v>1862</v>
      </c>
    </row>
    <row r="290">
      <c r="A290" s="2" t="s">
        <v>693</v>
      </c>
      <c r="B290" s="1" t="s">
        <v>694</v>
      </c>
      <c r="C290" s="2" t="s">
        <v>1875</v>
      </c>
      <c r="D290" s="1" t="s">
        <v>1876</v>
      </c>
      <c r="E290" s="6" t="s">
        <v>1846</v>
      </c>
    </row>
    <row r="291">
      <c r="A291" s="2" t="s">
        <v>721</v>
      </c>
      <c r="B291" s="1" t="s">
        <v>722</v>
      </c>
      <c r="C291" s="2" t="s">
        <v>1860</v>
      </c>
      <c r="D291" s="1" t="s">
        <v>1861</v>
      </c>
      <c r="E291" s="6" t="s">
        <v>1862</v>
      </c>
    </row>
    <row r="292">
      <c r="A292" s="2" t="s">
        <v>458</v>
      </c>
      <c r="B292" s="1" t="s">
        <v>459</v>
      </c>
      <c r="C292" s="2" t="s">
        <v>2079</v>
      </c>
      <c r="D292" s="1" t="s">
        <v>2080</v>
      </c>
      <c r="E292" s="6" t="s">
        <v>1853</v>
      </c>
    </row>
    <row r="293">
      <c r="A293" s="2" t="s">
        <v>1154</v>
      </c>
      <c r="B293" s="1" t="s">
        <v>1155</v>
      </c>
      <c r="C293" s="2" t="s">
        <v>1885</v>
      </c>
      <c r="D293" s="1" t="s">
        <v>1886</v>
      </c>
      <c r="E293" s="6" t="s">
        <v>1853</v>
      </c>
    </row>
    <row r="294">
      <c r="A294" s="2" t="s">
        <v>1154</v>
      </c>
      <c r="B294" s="1" t="s">
        <v>1155</v>
      </c>
      <c r="C294" s="2" t="s">
        <v>1885</v>
      </c>
      <c r="D294" s="1" t="s">
        <v>1886</v>
      </c>
      <c r="E294" s="6" t="s">
        <v>1846</v>
      </c>
    </row>
    <row r="295">
      <c r="A295" s="2" t="s">
        <v>697</v>
      </c>
      <c r="B295" s="1" t="s">
        <v>698</v>
      </c>
      <c r="C295" s="2" t="s">
        <v>1875</v>
      </c>
      <c r="D295" s="1" t="s">
        <v>1876</v>
      </c>
      <c r="E295" s="6" t="s">
        <v>1846</v>
      </c>
    </row>
    <row r="296">
      <c r="A296" s="2" t="s">
        <v>451</v>
      </c>
      <c r="B296" s="1" t="s">
        <v>452</v>
      </c>
      <c r="C296" s="2" t="s">
        <v>1985</v>
      </c>
      <c r="D296" s="1" t="s">
        <v>1986</v>
      </c>
      <c r="E296" s="6" t="s">
        <v>1862</v>
      </c>
    </row>
    <row r="297">
      <c r="A297" s="2" t="s">
        <v>240</v>
      </c>
      <c r="B297" s="1" t="s">
        <v>241</v>
      </c>
      <c r="C297" s="2" t="s">
        <v>1851</v>
      </c>
      <c r="D297" s="1" t="s">
        <v>1852</v>
      </c>
      <c r="E297" s="6" t="s">
        <v>1853</v>
      </c>
    </row>
    <row r="298">
      <c r="A298" s="2" t="s">
        <v>502</v>
      </c>
      <c r="B298" s="1" t="s">
        <v>503</v>
      </c>
      <c r="C298" s="2" t="s">
        <v>1851</v>
      </c>
      <c r="D298" s="1" t="s">
        <v>1852</v>
      </c>
      <c r="E298" s="6" t="s">
        <v>1853</v>
      </c>
    </row>
    <row r="299">
      <c r="A299" s="2" t="s">
        <v>1002</v>
      </c>
      <c r="B299" s="1" t="s">
        <v>1003</v>
      </c>
      <c r="C299" s="2" t="s">
        <v>1893</v>
      </c>
      <c r="D299" s="1" t="s">
        <v>1894</v>
      </c>
      <c r="E299" s="6" t="s">
        <v>1853</v>
      </c>
    </row>
    <row r="300">
      <c r="A300" s="2" t="s">
        <v>1020</v>
      </c>
      <c r="B300" s="1" t="s">
        <v>1021</v>
      </c>
      <c r="C300" s="2" t="s">
        <v>1946</v>
      </c>
      <c r="D300" s="1" t="s">
        <v>1943</v>
      </c>
      <c r="E300" s="6" t="s">
        <v>1853</v>
      </c>
    </row>
    <row r="301">
      <c r="A301" s="2" t="s">
        <v>999</v>
      </c>
      <c r="B301" s="1" t="s">
        <v>1000</v>
      </c>
      <c r="C301" s="2" t="s">
        <v>1913</v>
      </c>
      <c r="D301" s="1" t="s">
        <v>1914</v>
      </c>
      <c r="E301" s="6" t="s">
        <v>1862</v>
      </c>
    </row>
    <row r="302">
      <c r="A302" s="2" t="s">
        <v>510</v>
      </c>
      <c r="B302" s="1" t="s">
        <v>511</v>
      </c>
      <c r="C302" s="2" t="s">
        <v>1985</v>
      </c>
      <c r="D302" s="1" t="s">
        <v>1986</v>
      </c>
      <c r="E302" s="6" t="s">
        <v>1862</v>
      </c>
    </row>
    <row r="303">
      <c r="A303" s="2" t="s">
        <v>1168</v>
      </c>
      <c r="B303" s="1" t="s">
        <v>1169</v>
      </c>
      <c r="C303" s="2" t="s">
        <v>1885</v>
      </c>
      <c r="D303" s="1" t="s">
        <v>1886</v>
      </c>
      <c r="E303" s="6" t="s">
        <v>1853</v>
      </c>
    </row>
    <row r="304">
      <c r="A304" s="2" t="s">
        <v>723</v>
      </c>
      <c r="B304" s="1" t="s">
        <v>724</v>
      </c>
      <c r="C304" s="2" t="s">
        <v>2081</v>
      </c>
      <c r="D304" s="1" t="s">
        <v>2082</v>
      </c>
      <c r="E304" s="6" t="s">
        <v>1846</v>
      </c>
    </row>
    <row r="305">
      <c r="A305" s="2" t="s">
        <v>484</v>
      </c>
      <c r="B305" s="1" t="s">
        <v>485</v>
      </c>
      <c r="C305" s="2" t="s">
        <v>2083</v>
      </c>
      <c r="D305" s="1" t="s">
        <v>2084</v>
      </c>
      <c r="E305" s="6" t="s">
        <v>1846</v>
      </c>
    </row>
    <row r="306">
      <c r="A306" s="2" t="s">
        <v>973</v>
      </c>
      <c r="B306" s="1" t="s">
        <v>974</v>
      </c>
      <c r="C306" s="2" t="s">
        <v>1849</v>
      </c>
      <c r="D306" s="1" t="s">
        <v>1850</v>
      </c>
      <c r="E306" s="6" t="s">
        <v>1853</v>
      </c>
    </row>
    <row r="307">
      <c r="A307" s="2" t="s">
        <v>451</v>
      </c>
      <c r="B307" s="1" t="s">
        <v>452</v>
      </c>
      <c r="C307" s="2" t="s">
        <v>1913</v>
      </c>
      <c r="D307" s="1" t="s">
        <v>1914</v>
      </c>
      <c r="E307" s="6" t="s">
        <v>1862</v>
      </c>
    </row>
    <row r="308">
      <c r="A308" s="2" t="s">
        <v>1154</v>
      </c>
      <c r="B308" s="1" t="s">
        <v>1155</v>
      </c>
      <c r="C308" s="2" t="s">
        <v>1851</v>
      </c>
      <c r="D308" s="1" t="s">
        <v>1852</v>
      </c>
      <c r="E308" s="6" t="s">
        <v>1853</v>
      </c>
    </row>
    <row r="309">
      <c r="A309" s="2" t="s">
        <v>1022</v>
      </c>
      <c r="B309" s="1" t="s">
        <v>1023</v>
      </c>
      <c r="C309" s="2" t="s">
        <v>1849</v>
      </c>
      <c r="D309" s="1" t="s">
        <v>1850</v>
      </c>
      <c r="E309" s="6" t="s">
        <v>1853</v>
      </c>
    </row>
    <row r="310">
      <c r="A310" s="2" t="s">
        <v>1368</v>
      </c>
      <c r="B310" s="1" t="s">
        <v>1369</v>
      </c>
      <c r="C310" s="2" t="s">
        <v>1931</v>
      </c>
      <c r="D310" s="1" t="s">
        <v>1932</v>
      </c>
      <c r="E310" s="6" t="s">
        <v>1853</v>
      </c>
    </row>
    <row r="311">
      <c r="A311" s="2" t="s">
        <v>693</v>
      </c>
      <c r="B311" s="1" t="s">
        <v>694</v>
      </c>
      <c r="C311" s="2" t="s">
        <v>1851</v>
      </c>
      <c r="D311" s="1" t="s">
        <v>1852</v>
      </c>
      <c r="E311" s="6" t="s">
        <v>1853</v>
      </c>
    </row>
    <row r="312">
      <c r="A312" s="2" t="s">
        <v>973</v>
      </c>
      <c r="B312" s="1" t="s">
        <v>974</v>
      </c>
      <c r="C312" s="2" t="s">
        <v>2085</v>
      </c>
      <c r="D312" s="1" t="s">
        <v>2086</v>
      </c>
      <c r="E312" s="6" t="s">
        <v>1853</v>
      </c>
    </row>
    <row r="313">
      <c r="A313" s="2" t="s">
        <v>510</v>
      </c>
      <c r="B313" s="1" t="s">
        <v>511</v>
      </c>
      <c r="C313" s="2" t="s">
        <v>1893</v>
      </c>
      <c r="D313" s="1" t="s">
        <v>1894</v>
      </c>
      <c r="E313" s="6" t="s">
        <v>1846</v>
      </c>
    </row>
    <row r="314">
      <c r="A314" s="2" t="s">
        <v>157</v>
      </c>
      <c r="B314" s="1" t="s">
        <v>158</v>
      </c>
      <c r="C314" s="2" t="s">
        <v>1875</v>
      </c>
      <c r="D314" s="1" t="s">
        <v>1876</v>
      </c>
      <c r="E314" s="6" t="s">
        <v>1846</v>
      </c>
    </row>
    <row r="315">
      <c r="A315" s="2" t="s">
        <v>1134</v>
      </c>
      <c r="B315" s="1" t="s">
        <v>1135</v>
      </c>
      <c r="C315" s="2" t="s">
        <v>1863</v>
      </c>
      <c r="D315" s="1" t="s">
        <v>1864</v>
      </c>
      <c r="E315" s="6" t="s">
        <v>1846</v>
      </c>
    </row>
    <row r="316">
      <c r="A316" s="2" t="s">
        <v>1134</v>
      </c>
      <c r="B316" s="1" t="s">
        <v>1135</v>
      </c>
      <c r="C316" s="2" t="s">
        <v>1844</v>
      </c>
      <c r="D316" s="1" t="s">
        <v>1845</v>
      </c>
      <c r="E316" s="6" t="s">
        <v>1846</v>
      </c>
    </row>
    <row r="317">
      <c r="A317" s="2" t="s">
        <v>514</v>
      </c>
      <c r="B317" s="1" t="s">
        <v>515</v>
      </c>
      <c r="C317" s="2" t="s">
        <v>1851</v>
      </c>
      <c r="D317" s="1" t="s">
        <v>1852</v>
      </c>
      <c r="E317" s="6" t="s">
        <v>1853</v>
      </c>
    </row>
    <row r="318">
      <c r="A318" s="2" t="s">
        <v>1150</v>
      </c>
      <c r="B318" s="1" t="s">
        <v>1151</v>
      </c>
      <c r="C318" s="2" t="s">
        <v>1849</v>
      </c>
      <c r="D318" s="1" t="s">
        <v>1850</v>
      </c>
      <c r="E318" s="6" t="s">
        <v>1846</v>
      </c>
    </row>
    <row r="319">
      <c r="A319" s="2" t="s">
        <v>1002</v>
      </c>
      <c r="B319" s="1" t="s">
        <v>1003</v>
      </c>
      <c r="C319" s="2" t="s">
        <v>2087</v>
      </c>
      <c r="D319" s="1" t="s">
        <v>2088</v>
      </c>
      <c r="E319" s="6" t="s">
        <v>1853</v>
      </c>
    </row>
    <row r="320">
      <c r="A320" s="2" t="s">
        <v>488</v>
      </c>
      <c r="B320" s="1" t="s">
        <v>489</v>
      </c>
      <c r="C320" s="2" t="s">
        <v>1849</v>
      </c>
      <c r="D320" s="1" t="s">
        <v>1850</v>
      </c>
      <c r="E320" s="6" t="s">
        <v>1853</v>
      </c>
    </row>
    <row r="321">
      <c r="A321" s="2" t="s">
        <v>218</v>
      </c>
      <c r="B321" s="1" t="s">
        <v>219</v>
      </c>
      <c r="C321" s="2" t="s">
        <v>1911</v>
      </c>
      <c r="D321" s="1" t="s">
        <v>1912</v>
      </c>
      <c r="E321" s="6" t="s">
        <v>1862</v>
      </c>
    </row>
    <row r="322">
      <c r="A322" s="2" t="s">
        <v>1150</v>
      </c>
      <c r="B322" s="1" t="s">
        <v>1151</v>
      </c>
      <c r="C322" s="2" t="s">
        <v>1869</v>
      </c>
      <c r="D322" s="1" t="s">
        <v>1870</v>
      </c>
      <c r="E322" s="6" t="s">
        <v>1846</v>
      </c>
    </row>
    <row r="323">
      <c r="A323" s="2" t="s">
        <v>992</v>
      </c>
      <c r="B323" s="1" t="s">
        <v>993</v>
      </c>
      <c r="C323" s="2" t="s">
        <v>1913</v>
      </c>
      <c r="D323" s="1" t="s">
        <v>1914</v>
      </c>
      <c r="E323" s="6" t="s">
        <v>1862</v>
      </c>
    </row>
    <row r="324">
      <c r="A324" s="2" t="s">
        <v>1022</v>
      </c>
      <c r="B324" s="1" t="s">
        <v>1023</v>
      </c>
      <c r="C324" s="2" t="s">
        <v>2089</v>
      </c>
      <c r="D324" s="1" t="s">
        <v>2090</v>
      </c>
      <c r="E324" s="6" t="s">
        <v>1846</v>
      </c>
    </row>
    <row r="325">
      <c r="A325" s="2" t="s">
        <v>1011</v>
      </c>
      <c r="B325" s="1" t="s">
        <v>1012</v>
      </c>
      <c r="C325" s="2" t="s">
        <v>2091</v>
      </c>
      <c r="D325" s="1" t="s">
        <v>2092</v>
      </c>
      <c r="E325" s="6" t="s">
        <v>1853</v>
      </c>
    </row>
    <row r="326">
      <c r="A326" s="2" t="s">
        <v>1130</v>
      </c>
      <c r="B326" s="1" t="s">
        <v>1131</v>
      </c>
      <c r="C326" s="2" t="s">
        <v>1849</v>
      </c>
      <c r="D326" s="1" t="s">
        <v>1850</v>
      </c>
      <c r="E326" s="6" t="s">
        <v>1853</v>
      </c>
    </row>
    <row r="327">
      <c r="A327" s="2" t="s">
        <v>1130</v>
      </c>
      <c r="B327" s="1" t="s">
        <v>1131</v>
      </c>
      <c r="C327" s="2" t="s">
        <v>1849</v>
      </c>
      <c r="D327" s="1" t="s">
        <v>1850</v>
      </c>
      <c r="E327" s="6" t="s">
        <v>1846</v>
      </c>
    </row>
    <row r="328">
      <c r="A328" s="2" t="s">
        <v>1150</v>
      </c>
      <c r="B328" s="1" t="s">
        <v>1151</v>
      </c>
      <c r="C328" s="2" t="s">
        <v>1875</v>
      </c>
      <c r="D328" s="1" t="s">
        <v>1876</v>
      </c>
      <c r="E328" s="6" t="s">
        <v>1846</v>
      </c>
    </row>
    <row r="329">
      <c r="A329" s="2" t="s">
        <v>227</v>
      </c>
      <c r="B329" s="1" t="s">
        <v>228</v>
      </c>
      <c r="C329" s="2" t="s">
        <v>2033</v>
      </c>
      <c r="D329" s="1" t="s">
        <v>2034</v>
      </c>
      <c r="E329" s="6" t="s">
        <v>1846</v>
      </c>
    </row>
    <row r="330">
      <c r="A330" s="2" t="s">
        <v>218</v>
      </c>
      <c r="B330" s="1" t="s">
        <v>219</v>
      </c>
      <c r="C330" s="2" t="s">
        <v>2093</v>
      </c>
      <c r="D330" s="1" t="s">
        <v>2094</v>
      </c>
      <c r="E330" s="6" t="s">
        <v>1846</v>
      </c>
    </row>
    <row r="331">
      <c r="A331" s="2" t="s">
        <v>1132</v>
      </c>
      <c r="B331" s="1" t="s">
        <v>1133</v>
      </c>
      <c r="C331" s="2" t="s">
        <v>1844</v>
      </c>
      <c r="D331" s="1" t="s">
        <v>1845</v>
      </c>
      <c r="E331" s="6" t="s">
        <v>1846</v>
      </c>
    </row>
    <row r="332">
      <c r="A332" s="2" t="s">
        <v>500</v>
      </c>
      <c r="B332" s="1" t="s">
        <v>501</v>
      </c>
      <c r="C332" s="2" t="s">
        <v>2095</v>
      </c>
      <c r="D332" s="1" t="s">
        <v>2096</v>
      </c>
      <c r="E332" s="6" t="s">
        <v>1846</v>
      </c>
    </row>
    <row r="333">
      <c r="A333" s="2" t="s">
        <v>218</v>
      </c>
      <c r="B333" s="1" t="s">
        <v>219</v>
      </c>
      <c r="C333" s="2" t="s">
        <v>1936</v>
      </c>
      <c r="D333" s="1" t="s">
        <v>1937</v>
      </c>
      <c r="E333" s="6" t="s">
        <v>1853</v>
      </c>
    </row>
    <row r="334">
      <c r="A334" s="2" t="s">
        <v>240</v>
      </c>
      <c r="B334" s="1" t="s">
        <v>241</v>
      </c>
      <c r="C334" s="2" t="s">
        <v>2047</v>
      </c>
      <c r="D334" s="1" t="s">
        <v>2048</v>
      </c>
      <c r="E334" s="6" t="s">
        <v>1862</v>
      </c>
    </row>
    <row r="335">
      <c r="A335" s="2" t="s">
        <v>999</v>
      </c>
      <c r="B335" s="1" t="s">
        <v>1000</v>
      </c>
      <c r="C335" s="2" t="s">
        <v>2097</v>
      </c>
      <c r="D335" s="1" t="s">
        <v>2098</v>
      </c>
      <c r="E335" s="6" t="s">
        <v>1846</v>
      </c>
    </row>
    <row r="336">
      <c r="A336" s="2" t="s">
        <v>721</v>
      </c>
      <c r="B336" s="1" t="s">
        <v>722</v>
      </c>
      <c r="C336" s="2" t="s">
        <v>1946</v>
      </c>
      <c r="D336" s="1" t="s">
        <v>1943</v>
      </c>
      <c r="E336" s="6" t="s">
        <v>1853</v>
      </c>
    </row>
    <row r="337">
      <c r="A337" s="2" t="s">
        <v>502</v>
      </c>
      <c r="B337" s="1" t="s">
        <v>503</v>
      </c>
      <c r="C337" s="2" t="s">
        <v>2099</v>
      </c>
      <c r="D337" s="1" t="s">
        <v>2100</v>
      </c>
      <c r="E337" s="6" t="s">
        <v>1846</v>
      </c>
    </row>
    <row r="338">
      <c r="A338" s="2" t="s">
        <v>1150</v>
      </c>
      <c r="B338" s="1" t="s">
        <v>1151</v>
      </c>
      <c r="C338" s="2" t="s">
        <v>1895</v>
      </c>
      <c r="D338" s="1" t="s">
        <v>1896</v>
      </c>
      <c r="E338" s="6" t="s">
        <v>1846</v>
      </c>
    </row>
    <row r="339">
      <c r="A339" s="2" t="s">
        <v>992</v>
      </c>
      <c r="B339" s="1" t="s">
        <v>993</v>
      </c>
      <c r="C339" s="2" t="s">
        <v>1901</v>
      </c>
      <c r="D339" s="1" t="s">
        <v>1902</v>
      </c>
      <c r="E339" s="6" t="s">
        <v>1862</v>
      </c>
    </row>
    <row r="340">
      <c r="A340" s="2" t="s">
        <v>227</v>
      </c>
      <c r="B340" s="1" t="s">
        <v>228</v>
      </c>
      <c r="C340" s="2" t="s">
        <v>1869</v>
      </c>
      <c r="D340" s="1" t="s">
        <v>1870</v>
      </c>
      <c r="E340" s="6" t="s">
        <v>1846</v>
      </c>
    </row>
    <row r="341">
      <c r="A341" s="2" t="s">
        <v>1020</v>
      </c>
      <c r="B341" s="1" t="s">
        <v>1021</v>
      </c>
      <c r="C341" s="2" t="s">
        <v>1973</v>
      </c>
      <c r="D341" s="1" t="s">
        <v>1974</v>
      </c>
      <c r="E341" s="6" t="s">
        <v>1853</v>
      </c>
    </row>
    <row r="342">
      <c r="A342" s="2" t="s">
        <v>983</v>
      </c>
      <c r="B342" s="1" t="s">
        <v>984</v>
      </c>
      <c r="C342" s="2" t="s">
        <v>1905</v>
      </c>
      <c r="D342" s="1" t="s">
        <v>1906</v>
      </c>
      <c r="E342" s="6" t="s">
        <v>1862</v>
      </c>
    </row>
    <row r="343">
      <c r="A343" s="2" t="s">
        <v>721</v>
      </c>
      <c r="B343" s="1" t="s">
        <v>722</v>
      </c>
      <c r="C343" s="2" t="s">
        <v>1873</v>
      </c>
      <c r="D343" s="1" t="s">
        <v>1874</v>
      </c>
      <c r="E343" s="6" t="s">
        <v>1853</v>
      </c>
    </row>
    <row r="344">
      <c r="A344" s="2" t="s">
        <v>1174</v>
      </c>
      <c r="B344" s="1" t="s">
        <v>1175</v>
      </c>
      <c r="C344" s="2" t="s">
        <v>1849</v>
      </c>
      <c r="D344" s="1" t="s">
        <v>1850</v>
      </c>
      <c r="E344" s="6" t="s">
        <v>1853</v>
      </c>
    </row>
    <row r="345">
      <c r="A345" s="2" t="s">
        <v>723</v>
      </c>
      <c r="B345" s="1" t="s">
        <v>724</v>
      </c>
      <c r="C345" s="2" t="s">
        <v>1849</v>
      </c>
      <c r="D345" s="1" t="s">
        <v>1850</v>
      </c>
      <c r="E345" s="6" t="s">
        <v>1846</v>
      </c>
    </row>
    <row r="346">
      <c r="A346" s="2" t="s">
        <v>1134</v>
      </c>
      <c r="B346" s="1" t="s">
        <v>1135</v>
      </c>
      <c r="C346" s="2" t="s">
        <v>1875</v>
      </c>
      <c r="D346" s="1" t="s">
        <v>1876</v>
      </c>
      <c r="E346" s="6" t="s">
        <v>1846</v>
      </c>
    </row>
    <row r="347">
      <c r="A347" s="2" t="s">
        <v>514</v>
      </c>
      <c r="B347" s="1" t="s">
        <v>515</v>
      </c>
      <c r="C347" s="2" t="s">
        <v>1844</v>
      </c>
      <c r="D347" s="1" t="s">
        <v>1845</v>
      </c>
      <c r="E347" s="6" t="s">
        <v>1853</v>
      </c>
    </row>
    <row r="348">
      <c r="A348" s="2" t="s">
        <v>227</v>
      </c>
      <c r="B348" s="1" t="s">
        <v>228</v>
      </c>
      <c r="C348" s="2" t="s">
        <v>1875</v>
      </c>
      <c r="D348" s="1" t="s">
        <v>1876</v>
      </c>
      <c r="E348" s="6" t="s">
        <v>1853</v>
      </c>
    </row>
    <row r="349">
      <c r="A349" s="2" t="s">
        <v>227</v>
      </c>
      <c r="B349" s="1" t="s">
        <v>228</v>
      </c>
      <c r="C349" s="2" t="s">
        <v>1875</v>
      </c>
      <c r="D349" s="1" t="s">
        <v>1876</v>
      </c>
      <c r="E349" s="6" t="s">
        <v>1846</v>
      </c>
    </row>
    <row r="350">
      <c r="A350" s="2" t="s">
        <v>500</v>
      </c>
      <c r="B350" s="1" t="s">
        <v>501</v>
      </c>
      <c r="C350" s="2" t="s">
        <v>1849</v>
      </c>
      <c r="D350" s="1" t="s">
        <v>1850</v>
      </c>
      <c r="E350" s="6" t="s">
        <v>1853</v>
      </c>
    </row>
    <row r="351">
      <c r="A351" s="2" t="s">
        <v>1011</v>
      </c>
      <c r="B351" s="1" t="s">
        <v>1012</v>
      </c>
      <c r="C351" s="2" t="s">
        <v>2101</v>
      </c>
      <c r="D351" s="1" t="s">
        <v>2102</v>
      </c>
      <c r="E351" s="6" t="s">
        <v>1853</v>
      </c>
    </row>
    <row r="352">
      <c r="A352" s="2" t="s">
        <v>500</v>
      </c>
      <c r="B352" s="1" t="s">
        <v>501</v>
      </c>
      <c r="C352" s="2" t="s">
        <v>1869</v>
      </c>
      <c r="D352" s="1" t="s">
        <v>1870</v>
      </c>
      <c r="E352" s="6" t="s">
        <v>1846</v>
      </c>
    </row>
    <row r="353">
      <c r="A353" s="2" t="s">
        <v>1168</v>
      </c>
      <c r="B353" s="1" t="s">
        <v>1169</v>
      </c>
      <c r="C353" s="2" t="s">
        <v>2103</v>
      </c>
      <c r="D353" s="1" t="s">
        <v>2104</v>
      </c>
      <c r="E353" s="6" t="s">
        <v>1846</v>
      </c>
    </row>
    <row r="354">
      <c r="A354" s="2" t="s">
        <v>227</v>
      </c>
      <c r="B354" s="1" t="s">
        <v>228</v>
      </c>
      <c r="C354" s="2" t="s">
        <v>1885</v>
      </c>
      <c r="D354" s="1" t="s">
        <v>1886</v>
      </c>
      <c r="E354" s="6" t="s">
        <v>1853</v>
      </c>
    </row>
    <row r="355">
      <c r="A355" s="2" t="s">
        <v>502</v>
      </c>
      <c r="B355" s="1" t="s">
        <v>503</v>
      </c>
      <c r="C355" s="2" t="s">
        <v>1849</v>
      </c>
      <c r="D355" s="1" t="s">
        <v>1850</v>
      </c>
      <c r="E355" s="6" t="s">
        <v>1846</v>
      </c>
    </row>
    <row r="356">
      <c r="A356" s="2" t="s">
        <v>514</v>
      </c>
      <c r="B356" s="1" t="s">
        <v>515</v>
      </c>
      <c r="C356" s="2" t="s">
        <v>2035</v>
      </c>
      <c r="D356" s="1" t="s">
        <v>2036</v>
      </c>
      <c r="E356" s="6" t="s">
        <v>1862</v>
      </c>
    </row>
    <row r="357">
      <c r="A357" s="2" t="s">
        <v>466</v>
      </c>
      <c r="B357" s="1" t="s">
        <v>467</v>
      </c>
      <c r="C357" s="2" t="s">
        <v>2105</v>
      </c>
      <c r="D357" s="1" t="s">
        <v>2106</v>
      </c>
      <c r="E357" s="6" t="s">
        <v>1853</v>
      </c>
    </row>
    <row r="358">
      <c r="A358" s="2" t="s">
        <v>466</v>
      </c>
      <c r="B358" s="1" t="s">
        <v>467</v>
      </c>
      <c r="C358" s="2" t="s">
        <v>2107</v>
      </c>
      <c r="D358" s="1" t="s">
        <v>2108</v>
      </c>
      <c r="E358" s="6" t="s">
        <v>1853</v>
      </c>
    </row>
    <row r="359">
      <c r="A359" s="2" t="s">
        <v>466</v>
      </c>
      <c r="B359" s="1" t="s">
        <v>467</v>
      </c>
      <c r="C359" s="2" t="s">
        <v>2109</v>
      </c>
      <c r="D359" s="1" t="s">
        <v>2110</v>
      </c>
      <c r="E359" s="6" t="s">
        <v>1853</v>
      </c>
    </row>
    <row r="360">
      <c r="A360" s="2" t="s">
        <v>500</v>
      </c>
      <c r="B360" s="1" t="s">
        <v>501</v>
      </c>
      <c r="C360" s="2" t="s">
        <v>1860</v>
      </c>
      <c r="D360" s="1" t="s">
        <v>1861</v>
      </c>
      <c r="E360" s="6" t="s">
        <v>1862</v>
      </c>
    </row>
    <row r="361">
      <c r="A361" s="2" t="s">
        <v>510</v>
      </c>
      <c r="B361" s="1" t="s">
        <v>511</v>
      </c>
      <c r="C361" s="2" t="s">
        <v>1844</v>
      </c>
      <c r="D361" s="1" t="s">
        <v>1845</v>
      </c>
      <c r="E361" s="6" t="s">
        <v>1846</v>
      </c>
    </row>
    <row r="362">
      <c r="A362" s="2" t="s">
        <v>1174</v>
      </c>
      <c r="B362" s="1" t="s">
        <v>1175</v>
      </c>
      <c r="C362" s="2" t="s">
        <v>1885</v>
      </c>
      <c r="D362" s="1" t="s">
        <v>1886</v>
      </c>
      <c r="E362" s="6" t="s">
        <v>1853</v>
      </c>
    </row>
    <row r="363">
      <c r="A363" s="2" t="s">
        <v>240</v>
      </c>
      <c r="B363" s="1" t="s">
        <v>241</v>
      </c>
      <c r="C363" s="2" t="s">
        <v>1929</v>
      </c>
      <c r="D363" s="1" t="s">
        <v>1930</v>
      </c>
      <c r="E363" s="6" t="s">
        <v>1853</v>
      </c>
    </row>
    <row r="364">
      <c r="A364" s="2" t="s">
        <v>983</v>
      </c>
      <c r="B364" s="1" t="s">
        <v>984</v>
      </c>
      <c r="C364" s="2" t="s">
        <v>2111</v>
      </c>
      <c r="D364" s="1" t="s">
        <v>2112</v>
      </c>
      <c r="E364" s="6" t="s">
        <v>1862</v>
      </c>
    </row>
    <row r="365">
      <c r="A365" s="2" t="s">
        <v>1132</v>
      </c>
      <c r="B365" s="1" t="s">
        <v>1133</v>
      </c>
      <c r="C365" s="2" t="s">
        <v>1869</v>
      </c>
      <c r="D365" s="1" t="s">
        <v>1870</v>
      </c>
      <c r="E365" s="6" t="s">
        <v>1846</v>
      </c>
    </row>
    <row r="366">
      <c r="A366" s="2" t="s">
        <v>1154</v>
      </c>
      <c r="B366" s="1" t="s">
        <v>1155</v>
      </c>
      <c r="C366" s="2" t="s">
        <v>1849</v>
      </c>
      <c r="D366" s="1" t="s">
        <v>1850</v>
      </c>
      <c r="E366" s="6" t="s">
        <v>1853</v>
      </c>
    </row>
    <row r="367">
      <c r="A367" s="2" t="s">
        <v>218</v>
      </c>
      <c r="B367" s="1" t="s">
        <v>219</v>
      </c>
      <c r="C367" s="2" t="s">
        <v>2113</v>
      </c>
      <c r="D367" s="1" t="s">
        <v>2114</v>
      </c>
      <c r="E367" s="6" t="s">
        <v>1846</v>
      </c>
    </row>
    <row r="368">
      <c r="A368" s="2" t="s">
        <v>973</v>
      </c>
      <c r="B368" s="1" t="s">
        <v>974</v>
      </c>
      <c r="C368" s="2" t="s">
        <v>2115</v>
      </c>
      <c r="D368" s="1" t="s">
        <v>2116</v>
      </c>
      <c r="E368" s="6" t="s">
        <v>1846</v>
      </c>
    </row>
    <row r="369">
      <c r="A369" s="2" t="s">
        <v>721</v>
      </c>
      <c r="B369" s="1" t="s">
        <v>722</v>
      </c>
      <c r="C369" s="2" t="s">
        <v>1849</v>
      </c>
      <c r="D369" s="1" t="s">
        <v>1850</v>
      </c>
      <c r="E369" s="6" t="s">
        <v>1853</v>
      </c>
    </row>
    <row r="370">
      <c r="A370" s="2" t="s">
        <v>409</v>
      </c>
      <c r="B370" s="1" t="s">
        <v>410</v>
      </c>
      <c r="C370" s="2" t="s">
        <v>2035</v>
      </c>
      <c r="D370" s="1" t="s">
        <v>2036</v>
      </c>
      <c r="E370" s="6" t="s">
        <v>1862</v>
      </c>
    </row>
    <row r="371">
      <c r="A371" s="2" t="s">
        <v>1794</v>
      </c>
      <c r="B371" s="1" t="s">
        <v>1795</v>
      </c>
      <c r="C371" s="2" t="s">
        <v>2117</v>
      </c>
      <c r="D371" s="1" t="s">
        <v>2118</v>
      </c>
      <c r="E371" s="6" t="s">
        <v>1862</v>
      </c>
    </row>
    <row r="372">
      <c r="A372" s="2" t="s">
        <v>580</v>
      </c>
      <c r="B372" s="1" t="s">
        <v>581</v>
      </c>
      <c r="C372" s="2" t="s">
        <v>2021</v>
      </c>
      <c r="D372" s="1" t="s">
        <v>2022</v>
      </c>
      <c r="E372" s="6" t="s">
        <v>1846</v>
      </c>
    </row>
    <row r="373">
      <c r="A373" s="2" t="s">
        <v>580</v>
      </c>
      <c r="B373" s="1" t="s">
        <v>581</v>
      </c>
      <c r="C373" s="2" t="s">
        <v>2041</v>
      </c>
      <c r="D373" s="1" t="s">
        <v>2042</v>
      </c>
      <c r="E373" s="6" t="s">
        <v>1853</v>
      </c>
    </row>
    <row r="374">
      <c r="A374" s="2" t="s">
        <v>58</v>
      </c>
      <c r="B374" s="1" t="s">
        <v>59</v>
      </c>
      <c r="C374" s="2" t="s">
        <v>2119</v>
      </c>
      <c r="D374" s="1" t="s">
        <v>2120</v>
      </c>
      <c r="E374" s="6" t="s">
        <v>1862</v>
      </c>
    </row>
    <row r="375">
      <c r="A375" s="2" t="s">
        <v>1110</v>
      </c>
      <c r="B375" s="1" t="s">
        <v>1111</v>
      </c>
      <c r="C375" s="2" t="s">
        <v>2073</v>
      </c>
      <c r="D375" s="1" t="s">
        <v>2074</v>
      </c>
      <c r="E375" s="6" t="s">
        <v>1853</v>
      </c>
    </row>
    <row r="376">
      <c r="A376" s="2" t="s">
        <v>1110</v>
      </c>
      <c r="B376" s="1" t="s">
        <v>1111</v>
      </c>
      <c r="C376" s="2" t="s">
        <v>1985</v>
      </c>
      <c r="D376" s="1" t="s">
        <v>1986</v>
      </c>
      <c r="E376" s="6" t="s">
        <v>1862</v>
      </c>
    </row>
    <row r="377">
      <c r="A377" s="2" t="s">
        <v>1412</v>
      </c>
      <c r="B377" s="1" t="s">
        <v>1413</v>
      </c>
      <c r="C377" s="2" t="s">
        <v>1929</v>
      </c>
      <c r="D377" s="1" t="s">
        <v>1930</v>
      </c>
      <c r="E377" s="6" t="s">
        <v>1846</v>
      </c>
    </row>
    <row r="378">
      <c r="A378" s="2" t="s">
        <v>1817</v>
      </c>
      <c r="B378" s="1" t="s">
        <v>1818</v>
      </c>
      <c r="C378" s="2" t="s">
        <v>2121</v>
      </c>
      <c r="D378" s="1" t="s">
        <v>2116</v>
      </c>
      <c r="E378" s="6" t="s">
        <v>1853</v>
      </c>
    </row>
    <row r="379">
      <c r="A379" s="2" t="s">
        <v>987</v>
      </c>
      <c r="B379" s="1" t="s">
        <v>988</v>
      </c>
      <c r="C379" s="2" t="s">
        <v>2122</v>
      </c>
      <c r="D379" s="1" t="s">
        <v>2123</v>
      </c>
      <c r="E379" s="6" t="s">
        <v>1846</v>
      </c>
    </row>
    <row r="380">
      <c r="A380" s="2" t="s">
        <v>409</v>
      </c>
      <c r="B380" s="1" t="s">
        <v>410</v>
      </c>
      <c r="C380" s="2" t="s">
        <v>1934</v>
      </c>
      <c r="D380" s="1" t="s">
        <v>1935</v>
      </c>
      <c r="E380" s="6" t="s">
        <v>1846</v>
      </c>
    </row>
    <row r="381">
      <c r="A381" s="2" t="s">
        <v>1479</v>
      </c>
      <c r="B381" s="1" t="s">
        <v>1480</v>
      </c>
      <c r="C381" s="2" t="s">
        <v>1977</v>
      </c>
      <c r="D381" s="1" t="s">
        <v>1978</v>
      </c>
      <c r="E381" s="6" t="s">
        <v>1853</v>
      </c>
    </row>
    <row r="382">
      <c r="A382" s="2" t="s">
        <v>409</v>
      </c>
      <c r="B382" s="1" t="s">
        <v>410</v>
      </c>
      <c r="C382" s="2" t="s">
        <v>1849</v>
      </c>
      <c r="D382" s="1" t="s">
        <v>1850</v>
      </c>
      <c r="E382" s="6" t="s">
        <v>1853</v>
      </c>
    </row>
    <row r="383">
      <c r="A383" s="2" t="s">
        <v>409</v>
      </c>
      <c r="B383" s="1" t="s">
        <v>410</v>
      </c>
      <c r="C383" s="2" t="s">
        <v>1849</v>
      </c>
      <c r="D383" s="1" t="s">
        <v>1850</v>
      </c>
      <c r="E383" s="6" t="s">
        <v>1846</v>
      </c>
    </row>
    <row r="384">
      <c r="A384" s="2" t="s">
        <v>294</v>
      </c>
      <c r="B384" s="1" t="s">
        <v>295</v>
      </c>
      <c r="C384" s="2" t="s">
        <v>1929</v>
      </c>
      <c r="D384" s="1" t="s">
        <v>1930</v>
      </c>
      <c r="E384" s="6" t="s">
        <v>1853</v>
      </c>
    </row>
    <row r="385">
      <c r="A385" s="2" t="s">
        <v>987</v>
      </c>
      <c r="B385" s="1" t="s">
        <v>988</v>
      </c>
      <c r="C385" s="2" t="s">
        <v>2124</v>
      </c>
      <c r="D385" s="1" t="s">
        <v>2125</v>
      </c>
      <c r="E385" s="6" t="s">
        <v>1846</v>
      </c>
    </row>
    <row r="386">
      <c r="A386" s="2" t="s">
        <v>1412</v>
      </c>
      <c r="B386" s="1" t="s">
        <v>1413</v>
      </c>
      <c r="C386" s="2" t="s">
        <v>1913</v>
      </c>
      <c r="D386" s="1" t="s">
        <v>1914</v>
      </c>
      <c r="E386" s="6" t="s">
        <v>1862</v>
      </c>
    </row>
    <row r="387">
      <c r="A387" s="2" t="s">
        <v>1110</v>
      </c>
      <c r="B387" s="1" t="s">
        <v>1111</v>
      </c>
      <c r="C387" s="2" t="s">
        <v>1913</v>
      </c>
      <c r="D387" s="1" t="s">
        <v>1914</v>
      </c>
      <c r="E387" s="6" t="s">
        <v>1862</v>
      </c>
    </row>
    <row r="388">
      <c r="A388" s="2" t="s">
        <v>920</v>
      </c>
      <c r="B388" s="1" t="s">
        <v>921</v>
      </c>
      <c r="C388" s="2" t="s">
        <v>2063</v>
      </c>
      <c r="D388" s="1" t="s">
        <v>2064</v>
      </c>
      <c r="E388" s="6" t="s">
        <v>1862</v>
      </c>
    </row>
    <row r="389">
      <c r="A389" s="2" t="s">
        <v>1817</v>
      </c>
      <c r="B389" s="1" t="s">
        <v>1818</v>
      </c>
      <c r="C389" s="2" t="s">
        <v>1913</v>
      </c>
      <c r="D389" s="1" t="s">
        <v>1914</v>
      </c>
      <c r="E389" s="6" t="s">
        <v>1862</v>
      </c>
    </row>
    <row r="390">
      <c r="A390" s="2" t="s">
        <v>1481</v>
      </c>
      <c r="B390" s="1" t="s">
        <v>1482</v>
      </c>
      <c r="C390" s="2" t="s">
        <v>1913</v>
      </c>
      <c r="D390" s="1" t="s">
        <v>1914</v>
      </c>
      <c r="E390" s="6" t="s">
        <v>1862</v>
      </c>
    </row>
    <row r="391">
      <c r="A391" s="2" t="s">
        <v>1479</v>
      </c>
      <c r="B391" s="1" t="s">
        <v>1480</v>
      </c>
      <c r="C391" s="2" t="s">
        <v>1913</v>
      </c>
      <c r="D391" s="1" t="s">
        <v>1914</v>
      </c>
      <c r="E391" s="6" t="s">
        <v>1862</v>
      </c>
    </row>
    <row r="392">
      <c r="A392" s="2" t="s">
        <v>58</v>
      </c>
      <c r="B392" s="1" t="s">
        <v>59</v>
      </c>
      <c r="C392" s="2" t="s">
        <v>2063</v>
      </c>
      <c r="D392" s="1" t="s">
        <v>2064</v>
      </c>
      <c r="E392" s="6" t="s">
        <v>1862</v>
      </c>
    </row>
    <row r="393">
      <c r="A393" s="2" t="s">
        <v>294</v>
      </c>
      <c r="B393" s="1" t="s">
        <v>295</v>
      </c>
      <c r="C393" s="2" t="s">
        <v>1913</v>
      </c>
      <c r="D393" s="1" t="s">
        <v>1914</v>
      </c>
      <c r="E393" s="6" t="s">
        <v>1862</v>
      </c>
    </row>
    <row r="394">
      <c r="A394" s="2" t="s">
        <v>409</v>
      </c>
      <c r="B394" s="1" t="s">
        <v>410</v>
      </c>
      <c r="C394" s="2" t="s">
        <v>1875</v>
      </c>
      <c r="D394" s="1" t="s">
        <v>1876</v>
      </c>
      <c r="E394" s="6" t="s">
        <v>1846</v>
      </c>
    </row>
    <row r="395">
      <c r="A395" s="2" t="s">
        <v>294</v>
      </c>
      <c r="B395" s="1" t="s">
        <v>295</v>
      </c>
      <c r="C395" s="2" t="s">
        <v>2126</v>
      </c>
      <c r="D395" s="1" t="s">
        <v>2127</v>
      </c>
      <c r="E395" s="6" t="s">
        <v>1853</v>
      </c>
    </row>
    <row r="396">
      <c r="A396" s="2" t="s">
        <v>947</v>
      </c>
      <c r="B396" s="1" t="s">
        <v>948</v>
      </c>
      <c r="C396" s="2" t="s">
        <v>2041</v>
      </c>
      <c r="D396" s="1" t="s">
        <v>2042</v>
      </c>
      <c r="E396" s="6" t="s">
        <v>1853</v>
      </c>
    </row>
    <row r="397">
      <c r="A397" s="2" t="s">
        <v>947</v>
      </c>
      <c r="B397" s="1" t="s">
        <v>948</v>
      </c>
      <c r="C397" s="2" t="s">
        <v>1995</v>
      </c>
      <c r="D397" s="1" t="s">
        <v>1996</v>
      </c>
      <c r="E397" s="6" t="s">
        <v>1862</v>
      </c>
    </row>
    <row r="398">
      <c r="A398" s="2" t="s">
        <v>400</v>
      </c>
      <c r="B398" s="1" t="s">
        <v>401</v>
      </c>
      <c r="C398" s="2" t="s">
        <v>1913</v>
      </c>
      <c r="D398" s="1" t="s">
        <v>1914</v>
      </c>
      <c r="E398" s="6" t="s">
        <v>1862</v>
      </c>
    </row>
    <row r="399">
      <c r="A399" s="2" t="s">
        <v>580</v>
      </c>
      <c r="B399" s="1" t="s">
        <v>581</v>
      </c>
      <c r="C399" s="2" t="s">
        <v>1977</v>
      </c>
      <c r="D399" s="1" t="s">
        <v>1978</v>
      </c>
      <c r="E399" s="6" t="s">
        <v>1853</v>
      </c>
    </row>
    <row r="400">
      <c r="A400" s="2" t="s">
        <v>294</v>
      </c>
      <c r="B400" s="1" t="s">
        <v>295</v>
      </c>
      <c r="C400" s="2" t="s">
        <v>1938</v>
      </c>
      <c r="D400" s="1" t="s">
        <v>1939</v>
      </c>
      <c r="E400" s="6" t="s">
        <v>1853</v>
      </c>
    </row>
    <row r="401">
      <c r="A401" s="2" t="s">
        <v>409</v>
      </c>
      <c r="B401" s="1" t="s">
        <v>410</v>
      </c>
      <c r="C401" s="2" t="s">
        <v>1913</v>
      </c>
      <c r="D401" s="1" t="s">
        <v>1914</v>
      </c>
      <c r="E401" s="6" t="s">
        <v>1862</v>
      </c>
    </row>
    <row r="402">
      <c r="A402" s="2" t="s">
        <v>400</v>
      </c>
      <c r="B402" s="1" t="s">
        <v>401</v>
      </c>
      <c r="C402" s="2" t="s">
        <v>1938</v>
      </c>
      <c r="D402" s="1" t="s">
        <v>1939</v>
      </c>
      <c r="E402" s="6" t="s">
        <v>1853</v>
      </c>
    </row>
    <row r="403">
      <c r="A403" s="2" t="s">
        <v>580</v>
      </c>
      <c r="B403" s="1" t="s">
        <v>581</v>
      </c>
      <c r="C403" s="2" t="s">
        <v>1913</v>
      </c>
      <c r="D403" s="1" t="s">
        <v>1914</v>
      </c>
      <c r="E403" s="6" t="s">
        <v>1862</v>
      </c>
    </row>
    <row r="404">
      <c r="A404" s="2" t="s">
        <v>58</v>
      </c>
      <c r="B404" s="1" t="s">
        <v>59</v>
      </c>
      <c r="C404" s="2" t="s">
        <v>1913</v>
      </c>
      <c r="D404" s="1" t="s">
        <v>1914</v>
      </c>
      <c r="E404" s="6" t="s">
        <v>1862</v>
      </c>
    </row>
    <row r="405">
      <c r="A405" s="2" t="s">
        <v>1033</v>
      </c>
      <c r="B405" s="1" t="s">
        <v>1034</v>
      </c>
      <c r="C405" s="2" t="s">
        <v>2063</v>
      </c>
      <c r="D405" s="1" t="s">
        <v>2064</v>
      </c>
      <c r="E405" s="6" t="s">
        <v>1862</v>
      </c>
    </row>
    <row r="406">
      <c r="A406" s="2" t="s">
        <v>925</v>
      </c>
      <c r="B406" s="1" t="s">
        <v>926</v>
      </c>
      <c r="C406" s="2" t="s">
        <v>1851</v>
      </c>
      <c r="D406" s="1" t="s">
        <v>1852</v>
      </c>
      <c r="E406" s="6" t="s">
        <v>1853</v>
      </c>
    </row>
    <row r="407">
      <c r="A407" s="2" t="s">
        <v>947</v>
      </c>
      <c r="B407" s="1" t="s">
        <v>948</v>
      </c>
      <c r="C407" s="2" t="s">
        <v>2063</v>
      </c>
      <c r="D407" s="1" t="s">
        <v>2064</v>
      </c>
      <c r="E407" s="6" t="s">
        <v>1862</v>
      </c>
    </row>
    <row r="408">
      <c r="A408" s="2" t="s">
        <v>1794</v>
      </c>
      <c r="B408" s="1" t="s">
        <v>1795</v>
      </c>
      <c r="C408" s="2" t="s">
        <v>2128</v>
      </c>
      <c r="D408" s="1" t="s">
        <v>2129</v>
      </c>
      <c r="E408" s="6" t="s">
        <v>1853</v>
      </c>
    </row>
    <row r="409">
      <c r="A409" s="2" t="s">
        <v>987</v>
      </c>
      <c r="B409" s="1" t="s">
        <v>988</v>
      </c>
      <c r="C409" s="2" t="s">
        <v>1913</v>
      </c>
      <c r="D409" s="1" t="s">
        <v>1914</v>
      </c>
      <c r="E409" s="6" t="s">
        <v>1862</v>
      </c>
    </row>
    <row r="410">
      <c r="A410" s="2" t="s">
        <v>947</v>
      </c>
      <c r="B410" s="1" t="s">
        <v>948</v>
      </c>
      <c r="C410" s="2" t="s">
        <v>1985</v>
      </c>
      <c r="D410" s="1" t="s">
        <v>1986</v>
      </c>
      <c r="E410" s="6" t="s">
        <v>1862</v>
      </c>
    </row>
    <row r="411">
      <c r="A411" s="2" t="s">
        <v>400</v>
      </c>
      <c r="B411" s="1" t="s">
        <v>401</v>
      </c>
      <c r="C411" s="2" t="s">
        <v>1944</v>
      </c>
      <c r="D411" s="1" t="s">
        <v>1945</v>
      </c>
      <c r="E411" s="6" t="s">
        <v>1862</v>
      </c>
    </row>
    <row r="412">
      <c r="A412" s="2" t="s">
        <v>1412</v>
      </c>
      <c r="B412" s="1" t="s">
        <v>1413</v>
      </c>
      <c r="C412" s="2" t="s">
        <v>2130</v>
      </c>
      <c r="D412" s="1" t="s">
        <v>2131</v>
      </c>
      <c r="E412" s="6" t="s">
        <v>1853</v>
      </c>
    </row>
    <row r="413">
      <c r="A413" s="2" t="s">
        <v>580</v>
      </c>
      <c r="B413" s="1" t="s">
        <v>581</v>
      </c>
      <c r="C413" s="2" t="s">
        <v>1851</v>
      </c>
      <c r="D413" s="1" t="s">
        <v>1852</v>
      </c>
      <c r="E413" s="6" t="s">
        <v>1853</v>
      </c>
    </row>
    <row r="414">
      <c r="A414" s="2" t="s">
        <v>920</v>
      </c>
      <c r="B414" s="1" t="s">
        <v>921</v>
      </c>
      <c r="C414" s="2" t="s">
        <v>1851</v>
      </c>
      <c r="D414" s="1" t="s">
        <v>1852</v>
      </c>
      <c r="E414" s="6" t="s">
        <v>1853</v>
      </c>
    </row>
    <row r="415">
      <c r="A415" s="2" t="s">
        <v>58</v>
      </c>
      <c r="B415" s="1" t="s">
        <v>59</v>
      </c>
      <c r="C415" s="2" t="s">
        <v>1851</v>
      </c>
      <c r="D415" s="1" t="s">
        <v>1852</v>
      </c>
      <c r="E415" s="6" t="s">
        <v>1853</v>
      </c>
    </row>
    <row r="416">
      <c r="A416" s="2" t="s">
        <v>58</v>
      </c>
      <c r="B416" s="1" t="s">
        <v>59</v>
      </c>
      <c r="C416" s="2" t="s">
        <v>1851</v>
      </c>
      <c r="D416" s="1" t="s">
        <v>1852</v>
      </c>
      <c r="E416" s="6" t="s">
        <v>1846</v>
      </c>
    </row>
    <row r="417">
      <c r="A417" s="2" t="s">
        <v>1033</v>
      </c>
      <c r="B417" s="1" t="s">
        <v>1034</v>
      </c>
      <c r="C417" s="2" t="s">
        <v>1913</v>
      </c>
      <c r="D417" s="1" t="s">
        <v>1914</v>
      </c>
      <c r="E417" s="6" t="s">
        <v>1862</v>
      </c>
    </row>
    <row r="418">
      <c r="A418" s="2" t="s">
        <v>987</v>
      </c>
      <c r="B418" s="1" t="s">
        <v>988</v>
      </c>
      <c r="C418" s="2" t="s">
        <v>2132</v>
      </c>
      <c r="D418" s="1" t="s">
        <v>2133</v>
      </c>
      <c r="E418" s="6" t="s">
        <v>1853</v>
      </c>
    </row>
    <row r="419">
      <c r="A419" s="2" t="s">
        <v>987</v>
      </c>
      <c r="B419" s="1" t="s">
        <v>988</v>
      </c>
      <c r="C419" s="2" t="s">
        <v>2132</v>
      </c>
      <c r="D419" s="1" t="s">
        <v>2133</v>
      </c>
      <c r="E419" s="6" t="s">
        <v>1846</v>
      </c>
    </row>
    <row r="420">
      <c r="A420" s="2" t="s">
        <v>580</v>
      </c>
      <c r="B420" s="1" t="s">
        <v>581</v>
      </c>
      <c r="C420" s="2" t="s">
        <v>1901</v>
      </c>
      <c r="D420" s="1" t="s">
        <v>1902</v>
      </c>
      <c r="E420" s="6" t="s">
        <v>1862</v>
      </c>
    </row>
    <row r="421">
      <c r="A421" s="2" t="s">
        <v>947</v>
      </c>
      <c r="B421" s="1" t="s">
        <v>948</v>
      </c>
      <c r="C421" s="2" t="s">
        <v>1913</v>
      </c>
      <c r="D421" s="1" t="s">
        <v>1914</v>
      </c>
      <c r="E421" s="6" t="s">
        <v>1862</v>
      </c>
    </row>
    <row r="422">
      <c r="A422" s="2" t="s">
        <v>920</v>
      </c>
      <c r="B422" s="1" t="s">
        <v>921</v>
      </c>
      <c r="C422" s="2" t="s">
        <v>1901</v>
      </c>
      <c r="D422" s="1" t="s">
        <v>1902</v>
      </c>
      <c r="E422" s="6" t="s">
        <v>1862</v>
      </c>
    </row>
    <row r="423">
      <c r="A423" s="2" t="s">
        <v>58</v>
      </c>
      <c r="B423" s="1" t="s">
        <v>59</v>
      </c>
      <c r="C423" s="2" t="s">
        <v>1901</v>
      </c>
      <c r="D423" s="1" t="s">
        <v>1902</v>
      </c>
      <c r="E423" s="6" t="s">
        <v>1862</v>
      </c>
    </row>
    <row r="424">
      <c r="A424" s="2" t="s">
        <v>1110</v>
      </c>
      <c r="B424" s="1" t="s">
        <v>1111</v>
      </c>
      <c r="C424" s="2" t="s">
        <v>1961</v>
      </c>
      <c r="D424" s="1" t="s">
        <v>1962</v>
      </c>
      <c r="E424" s="6" t="s">
        <v>1862</v>
      </c>
    </row>
    <row r="425">
      <c r="A425" s="2" t="s">
        <v>928</v>
      </c>
      <c r="B425" s="1" t="s">
        <v>929</v>
      </c>
      <c r="C425" s="2" t="s">
        <v>1875</v>
      </c>
      <c r="D425" s="1" t="s">
        <v>1876</v>
      </c>
      <c r="E425" s="6" t="s">
        <v>1846</v>
      </c>
    </row>
    <row r="426">
      <c r="A426" s="2" t="s">
        <v>987</v>
      </c>
      <c r="B426" s="1" t="s">
        <v>988</v>
      </c>
      <c r="C426" s="2" t="s">
        <v>1901</v>
      </c>
      <c r="D426" s="1" t="s">
        <v>1902</v>
      </c>
      <c r="E426" s="6" t="s">
        <v>1862</v>
      </c>
    </row>
    <row r="427">
      <c r="A427" s="2" t="s">
        <v>1033</v>
      </c>
      <c r="B427" s="1" t="s">
        <v>1034</v>
      </c>
      <c r="C427" s="2" t="s">
        <v>1851</v>
      </c>
      <c r="D427" s="1" t="s">
        <v>1852</v>
      </c>
      <c r="E427" s="6" t="s">
        <v>1846</v>
      </c>
    </row>
    <row r="428">
      <c r="A428" s="2" t="s">
        <v>987</v>
      </c>
      <c r="B428" s="1" t="s">
        <v>988</v>
      </c>
      <c r="C428" s="2" t="s">
        <v>2067</v>
      </c>
      <c r="D428" s="1" t="s">
        <v>2068</v>
      </c>
      <c r="E428" s="6" t="s">
        <v>1853</v>
      </c>
    </row>
    <row r="429">
      <c r="A429" s="2" t="s">
        <v>580</v>
      </c>
      <c r="B429" s="1" t="s">
        <v>581</v>
      </c>
      <c r="C429" s="2" t="s">
        <v>2001</v>
      </c>
      <c r="D429" s="1" t="s">
        <v>2002</v>
      </c>
      <c r="E429" s="6" t="s">
        <v>1853</v>
      </c>
    </row>
    <row r="430">
      <c r="A430" s="2" t="s">
        <v>1817</v>
      </c>
      <c r="B430" s="1" t="s">
        <v>1818</v>
      </c>
      <c r="C430" s="2" t="s">
        <v>1995</v>
      </c>
      <c r="D430" s="1" t="s">
        <v>1996</v>
      </c>
      <c r="E430" s="6" t="s">
        <v>1862</v>
      </c>
    </row>
    <row r="431">
      <c r="A431" s="2" t="s">
        <v>947</v>
      </c>
      <c r="B431" s="1" t="s">
        <v>948</v>
      </c>
      <c r="C431" s="2" t="s">
        <v>1851</v>
      </c>
      <c r="D431" s="1" t="s">
        <v>1852</v>
      </c>
      <c r="E431" s="6" t="s">
        <v>1853</v>
      </c>
    </row>
    <row r="432">
      <c r="A432" s="2" t="s">
        <v>294</v>
      </c>
      <c r="B432" s="1" t="s">
        <v>295</v>
      </c>
      <c r="C432" s="2" t="s">
        <v>1995</v>
      </c>
      <c r="D432" s="1" t="s">
        <v>1996</v>
      </c>
      <c r="E432" s="6" t="s">
        <v>1862</v>
      </c>
    </row>
    <row r="433">
      <c r="A433" s="2" t="s">
        <v>1033</v>
      </c>
      <c r="B433" s="1" t="s">
        <v>1034</v>
      </c>
      <c r="C433" s="2" t="s">
        <v>1901</v>
      </c>
      <c r="D433" s="1" t="s">
        <v>1902</v>
      </c>
      <c r="E433" s="6" t="s">
        <v>1862</v>
      </c>
    </row>
    <row r="434">
      <c r="A434" s="2" t="s">
        <v>400</v>
      </c>
      <c r="B434" s="1" t="s">
        <v>401</v>
      </c>
      <c r="C434" s="2" t="s">
        <v>1951</v>
      </c>
      <c r="D434" s="1" t="s">
        <v>1952</v>
      </c>
      <c r="E434" s="6" t="s">
        <v>1862</v>
      </c>
    </row>
    <row r="435">
      <c r="A435" s="2" t="s">
        <v>426</v>
      </c>
      <c r="B435" s="1" t="s">
        <v>427</v>
      </c>
      <c r="C435" s="2" t="s">
        <v>2134</v>
      </c>
      <c r="D435" s="1" t="s">
        <v>2135</v>
      </c>
      <c r="E435" s="6" t="s">
        <v>1862</v>
      </c>
    </row>
    <row r="436">
      <c r="A436" s="2" t="s">
        <v>1464</v>
      </c>
      <c r="B436" s="1" t="s">
        <v>1465</v>
      </c>
      <c r="C436" s="2" t="s">
        <v>1905</v>
      </c>
      <c r="D436" s="1" t="s">
        <v>1906</v>
      </c>
      <c r="E436" s="6" t="s">
        <v>1862</v>
      </c>
    </row>
    <row r="437">
      <c r="A437" s="2" t="s">
        <v>1426</v>
      </c>
      <c r="B437" s="1" t="s">
        <v>1427</v>
      </c>
      <c r="C437" s="2" t="s">
        <v>1905</v>
      </c>
      <c r="D437" s="1" t="s">
        <v>1906</v>
      </c>
      <c r="E437" s="6" t="s">
        <v>1862</v>
      </c>
    </row>
    <row r="438">
      <c r="A438" s="2" t="s">
        <v>995</v>
      </c>
      <c r="B438" s="1" t="s">
        <v>996</v>
      </c>
      <c r="C438" s="2" t="s">
        <v>2136</v>
      </c>
      <c r="D438" s="1" t="s">
        <v>2137</v>
      </c>
      <c r="E438" s="6" t="s">
        <v>1846</v>
      </c>
    </row>
    <row r="439">
      <c r="A439" s="2" t="s">
        <v>1409</v>
      </c>
      <c r="B439" s="1" t="s">
        <v>1410</v>
      </c>
      <c r="C439" s="2" t="s">
        <v>2065</v>
      </c>
      <c r="D439" s="1" t="s">
        <v>2066</v>
      </c>
      <c r="E439" s="6" t="s">
        <v>1846</v>
      </c>
    </row>
    <row r="440">
      <c r="A440" s="2" t="s">
        <v>1565</v>
      </c>
      <c r="B440" s="1" t="s">
        <v>1566</v>
      </c>
      <c r="C440" s="2" t="s">
        <v>1877</v>
      </c>
      <c r="D440" s="1" t="s">
        <v>1878</v>
      </c>
      <c r="E440" s="6" t="s">
        <v>1862</v>
      </c>
    </row>
    <row r="441">
      <c r="A441" s="2" t="s">
        <v>1172</v>
      </c>
      <c r="B441" s="1" t="s">
        <v>1173</v>
      </c>
      <c r="C441" s="2" t="s">
        <v>1965</v>
      </c>
      <c r="D441" s="1" t="s">
        <v>1966</v>
      </c>
      <c r="E441" s="6" t="s">
        <v>1846</v>
      </c>
    </row>
    <row r="442">
      <c r="A442" s="2" t="s">
        <v>1409</v>
      </c>
      <c r="B442" s="1" t="s">
        <v>1410</v>
      </c>
      <c r="C442" s="2" t="s">
        <v>2138</v>
      </c>
      <c r="D442" s="1" t="s">
        <v>2139</v>
      </c>
      <c r="E442" s="6" t="s">
        <v>1846</v>
      </c>
    </row>
    <row r="443">
      <c r="A443" s="2" t="s">
        <v>1368</v>
      </c>
      <c r="B443" s="1" t="s">
        <v>1369</v>
      </c>
      <c r="C443" s="2" t="s">
        <v>1873</v>
      </c>
      <c r="D443" s="1" t="s">
        <v>1874</v>
      </c>
      <c r="E443" s="6" t="s">
        <v>1853</v>
      </c>
    </row>
    <row r="444">
      <c r="A444" s="2" t="s">
        <v>1214</v>
      </c>
      <c r="B444" s="1" t="s">
        <v>1215</v>
      </c>
      <c r="C444" s="2" t="s">
        <v>1849</v>
      </c>
      <c r="D444" s="1" t="s">
        <v>1850</v>
      </c>
      <c r="E444" s="6" t="s">
        <v>1853</v>
      </c>
    </row>
    <row r="445">
      <c r="A445" s="2" t="s">
        <v>1138</v>
      </c>
      <c r="B445" s="1" t="s">
        <v>1139</v>
      </c>
      <c r="C445" s="2" t="s">
        <v>1849</v>
      </c>
      <c r="D445" s="1" t="s">
        <v>1850</v>
      </c>
      <c r="E445" s="6" t="s">
        <v>1853</v>
      </c>
    </row>
    <row r="446">
      <c r="A446" s="2" t="s">
        <v>785</v>
      </c>
      <c r="B446" s="1" t="s">
        <v>786</v>
      </c>
      <c r="C446" s="2" t="s">
        <v>1849</v>
      </c>
      <c r="D446" s="1" t="s">
        <v>1850</v>
      </c>
      <c r="E446" s="6" t="s">
        <v>1846</v>
      </c>
    </row>
    <row r="447">
      <c r="A447" s="2" t="s">
        <v>1144</v>
      </c>
      <c r="B447" s="1" t="s">
        <v>1145</v>
      </c>
      <c r="C447" s="2" t="s">
        <v>1849</v>
      </c>
      <c r="D447" s="1" t="s">
        <v>1850</v>
      </c>
      <c r="E447" s="6" t="s">
        <v>1846</v>
      </c>
    </row>
    <row r="448">
      <c r="A448" s="2" t="s">
        <v>1508</v>
      </c>
      <c r="B448" s="1" t="s">
        <v>1509</v>
      </c>
      <c r="C448" s="2" t="s">
        <v>1851</v>
      </c>
      <c r="D448" s="1" t="s">
        <v>1852</v>
      </c>
      <c r="E448" s="6" t="s">
        <v>1846</v>
      </c>
    </row>
    <row r="449">
      <c r="A449" s="2" t="s">
        <v>1138</v>
      </c>
      <c r="B449" s="1" t="s">
        <v>1139</v>
      </c>
      <c r="C449" s="2" t="s">
        <v>1860</v>
      </c>
      <c r="D449" s="1" t="s">
        <v>1861</v>
      </c>
      <c r="E449" s="6" t="s">
        <v>1862</v>
      </c>
    </row>
    <row r="450">
      <c r="A450" s="2" t="s">
        <v>1552</v>
      </c>
      <c r="B450" s="1" t="s">
        <v>1553</v>
      </c>
      <c r="C450" s="2" t="s">
        <v>2140</v>
      </c>
      <c r="D450" s="1" t="s">
        <v>2141</v>
      </c>
      <c r="E450" s="6" t="s">
        <v>1846</v>
      </c>
    </row>
    <row r="451">
      <c r="A451" s="2" t="s">
        <v>1008</v>
      </c>
      <c r="B451" s="1" t="s">
        <v>1009</v>
      </c>
      <c r="C451" s="2" t="s">
        <v>1881</v>
      </c>
      <c r="D451" s="1" t="s">
        <v>1882</v>
      </c>
      <c r="E451" s="6" t="s">
        <v>1853</v>
      </c>
    </row>
    <row r="452">
      <c r="A452" s="2" t="s">
        <v>1498</v>
      </c>
      <c r="B452" s="1" t="s">
        <v>1499</v>
      </c>
      <c r="C452" s="2" t="s">
        <v>1849</v>
      </c>
      <c r="D452" s="1" t="s">
        <v>1850</v>
      </c>
      <c r="E452" s="6" t="s">
        <v>1846</v>
      </c>
    </row>
    <row r="453">
      <c r="A453" s="2" t="s">
        <v>1561</v>
      </c>
      <c r="B453" s="1" t="s">
        <v>1562</v>
      </c>
      <c r="C453" s="2" t="s">
        <v>1873</v>
      </c>
      <c r="D453" s="1" t="s">
        <v>1874</v>
      </c>
      <c r="E453" s="6" t="s">
        <v>1846</v>
      </c>
    </row>
    <row r="454">
      <c r="A454" s="2" t="s">
        <v>1409</v>
      </c>
      <c r="B454" s="1" t="s">
        <v>1410</v>
      </c>
      <c r="C454" s="2" t="s">
        <v>1851</v>
      </c>
      <c r="D454" s="1" t="s">
        <v>1852</v>
      </c>
      <c r="E454" s="6" t="s">
        <v>1853</v>
      </c>
    </row>
    <row r="455">
      <c r="A455" s="2" t="s">
        <v>1464</v>
      </c>
      <c r="B455" s="1" t="s">
        <v>1465</v>
      </c>
      <c r="C455" s="2" t="s">
        <v>1875</v>
      </c>
      <c r="D455" s="1" t="s">
        <v>1876</v>
      </c>
      <c r="E455" s="6" t="s">
        <v>1853</v>
      </c>
    </row>
    <row r="456">
      <c r="A456" s="2" t="s">
        <v>1409</v>
      </c>
      <c r="B456" s="1" t="s">
        <v>1410</v>
      </c>
      <c r="C456" s="2" t="s">
        <v>2142</v>
      </c>
      <c r="D456" s="1" t="s">
        <v>2143</v>
      </c>
      <c r="E456" s="6" t="s">
        <v>1846</v>
      </c>
    </row>
    <row r="457">
      <c r="A457" s="2" t="s">
        <v>785</v>
      </c>
      <c r="B457" s="1" t="s">
        <v>786</v>
      </c>
      <c r="C457" s="2" t="s">
        <v>1885</v>
      </c>
      <c r="D457" s="1" t="s">
        <v>1886</v>
      </c>
      <c r="E457" s="6" t="s">
        <v>1853</v>
      </c>
    </row>
    <row r="458">
      <c r="A458" s="2" t="s">
        <v>1552</v>
      </c>
      <c r="B458" s="1" t="s">
        <v>1553</v>
      </c>
      <c r="C458" s="2" t="s">
        <v>2144</v>
      </c>
      <c r="D458" s="1" t="s">
        <v>2145</v>
      </c>
      <c r="E458" s="6" t="s">
        <v>1846</v>
      </c>
    </row>
    <row r="459">
      <c r="A459" s="2" t="s">
        <v>1563</v>
      </c>
      <c r="B459" s="1" t="s">
        <v>1564</v>
      </c>
      <c r="C459" s="2" t="s">
        <v>2146</v>
      </c>
      <c r="D459" s="1" t="s">
        <v>2147</v>
      </c>
      <c r="E459" s="6" t="s">
        <v>1853</v>
      </c>
    </row>
    <row r="460">
      <c r="A460" s="2" t="s">
        <v>1426</v>
      </c>
      <c r="B460" s="1" t="s">
        <v>1427</v>
      </c>
      <c r="C460" s="2" t="s">
        <v>1885</v>
      </c>
      <c r="D460" s="1" t="s">
        <v>1886</v>
      </c>
      <c r="E460" s="6" t="s">
        <v>1846</v>
      </c>
    </row>
    <row r="461">
      <c r="A461" s="2" t="s">
        <v>679</v>
      </c>
      <c r="B461" s="1" t="s">
        <v>680</v>
      </c>
      <c r="C461" s="2" t="s">
        <v>1875</v>
      </c>
      <c r="D461" s="1" t="s">
        <v>1876</v>
      </c>
      <c r="E461" s="6" t="s">
        <v>1853</v>
      </c>
    </row>
    <row r="462">
      <c r="A462" s="2" t="s">
        <v>679</v>
      </c>
      <c r="B462" s="1" t="s">
        <v>680</v>
      </c>
      <c r="C462" s="2" t="s">
        <v>2148</v>
      </c>
      <c r="D462" s="1" t="s">
        <v>2149</v>
      </c>
      <c r="E462" s="6" t="s">
        <v>1846</v>
      </c>
    </row>
    <row r="463">
      <c r="A463" s="2" t="s">
        <v>995</v>
      </c>
      <c r="B463" s="1" t="s">
        <v>996</v>
      </c>
      <c r="C463" s="2" t="s">
        <v>1849</v>
      </c>
      <c r="D463" s="1" t="s">
        <v>1850</v>
      </c>
      <c r="E463" s="6" t="s">
        <v>1846</v>
      </c>
    </row>
    <row r="464">
      <c r="A464" s="2" t="s">
        <v>1160</v>
      </c>
      <c r="B464" s="1" t="s">
        <v>1161</v>
      </c>
      <c r="C464" s="2" t="s">
        <v>1895</v>
      </c>
      <c r="D464" s="1" t="s">
        <v>1896</v>
      </c>
      <c r="E464" s="6" t="s">
        <v>1846</v>
      </c>
    </row>
    <row r="465">
      <c r="A465" s="2" t="s">
        <v>1172</v>
      </c>
      <c r="B465" s="1" t="s">
        <v>1173</v>
      </c>
      <c r="C465" s="2" t="s">
        <v>2015</v>
      </c>
      <c r="D465" s="1" t="s">
        <v>2016</v>
      </c>
      <c r="E465" s="6" t="s">
        <v>1846</v>
      </c>
    </row>
    <row r="466">
      <c r="A466" s="2" t="s">
        <v>978</v>
      </c>
      <c r="B466" s="1" t="s">
        <v>979</v>
      </c>
      <c r="C466" s="2" t="s">
        <v>1849</v>
      </c>
      <c r="D466" s="1" t="s">
        <v>1850</v>
      </c>
      <c r="E466" s="6" t="s">
        <v>1853</v>
      </c>
    </row>
    <row r="467">
      <c r="A467" s="2" t="s">
        <v>1464</v>
      </c>
      <c r="B467" s="1" t="s">
        <v>1465</v>
      </c>
      <c r="C467" s="2" t="s">
        <v>1851</v>
      </c>
      <c r="D467" s="1" t="s">
        <v>1852</v>
      </c>
      <c r="E467" s="6" t="s">
        <v>1853</v>
      </c>
    </row>
    <row r="468">
      <c r="A468" s="2" t="s">
        <v>1426</v>
      </c>
      <c r="B468" s="1" t="s">
        <v>1427</v>
      </c>
      <c r="C468" s="2" t="s">
        <v>1851</v>
      </c>
      <c r="D468" s="1" t="s">
        <v>1852</v>
      </c>
      <c r="E468" s="6" t="s">
        <v>1853</v>
      </c>
    </row>
    <row r="469">
      <c r="A469" s="2" t="s">
        <v>1409</v>
      </c>
      <c r="B469" s="1" t="s">
        <v>1410</v>
      </c>
      <c r="C469" s="2" t="s">
        <v>2146</v>
      </c>
      <c r="D469" s="1" t="s">
        <v>2147</v>
      </c>
      <c r="E469" s="6" t="s">
        <v>1846</v>
      </c>
    </row>
    <row r="470">
      <c r="A470" s="2" t="s">
        <v>1144</v>
      </c>
      <c r="B470" s="1" t="s">
        <v>1145</v>
      </c>
      <c r="C470" s="2" t="s">
        <v>2150</v>
      </c>
      <c r="D470" s="1" t="s">
        <v>2151</v>
      </c>
      <c r="E470" s="6" t="s">
        <v>1846</v>
      </c>
    </row>
    <row r="471">
      <c r="A471" s="2" t="s">
        <v>1172</v>
      </c>
      <c r="B471" s="1" t="s">
        <v>1173</v>
      </c>
      <c r="C471" s="2" t="s">
        <v>1934</v>
      </c>
      <c r="D471" s="1" t="s">
        <v>1935</v>
      </c>
      <c r="E471" s="6" t="s">
        <v>1846</v>
      </c>
    </row>
    <row r="472">
      <c r="A472" s="2" t="s">
        <v>985</v>
      </c>
      <c r="B472" s="1" t="s">
        <v>986</v>
      </c>
      <c r="C472" s="2" t="s">
        <v>1931</v>
      </c>
      <c r="D472" s="1" t="s">
        <v>1932</v>
      </c>
      <c r="E472" s="6" t="s">
        <v>1853</v>
      </c>
    </row>
    <row r="473">
      <c r="A473" s="2" t="s">
        <v>1426</v>
      </c>
      <c r="B473" s="1" t="s">
        <v>1427</v>
      </c>
      <c r="C473" s="2" t="s">
        <v>2152</v>
      </c>
      <c r="D473" s="1" t="s">
        <v>2153</v>
      </c>
      <c r="E473" s="6" t="s">
        <v>1846</v>
      </c>
    </row>
    <row r="474">
      <c r="A474" s="2" t="s">
        <v>1638</v>
      </c>
      <c r="B474" s="1" t="s">
        <v>1639</v>
      </c>
      <c r="C474" s="2" t="s">
        <v>2154</v>
      </c>
      <c r="D474" s="1" t="s">
        <v>2155</v>
      </c>
      <c r="E474" s="6" t="s">
        <v>1846</v>
      </c>
    </row>
    <row r="475">
      <c r="A475" s="2" t="s">
        <v>785</v>
      </c>
      <c r="B475" s="1" t="s">
        <v>786</v>
      </c>
      <c r="C475" s="2" t="s">
        <v>2156</v>
      </c>
      <c r="D475" s="1" t="s">
        <v>2157</v>
      </c>
      <c r="E475" s="6" t="s">
        <v>1846</v>
      </c>
    </row>
    <row r="476">
      <c r="A476" s="2" t="s">
        <v>1015</v>
      </c>
      <c r="B476" s="1" t="s">
        <v>1016</v>
      </c>
      <c r="C476" s="2" t="s">
        <v>2158</v>
      </c>
      <c r="D476" s="1" t="s">
        <v>2159</v>
      </c>
      <c r="E476" s="6" t="s">
        <v>1853</v>
      </c>
    </row>
    <row r="477">
      <c r="A477" s="2" t="s">
        <v>1464</v>
      </c>
      <c r="B477" s="1" t="s">
        <v>1465</v>
      </c>
      <c r="C477" s="2" t="s">
        <v>1940</v>
      </c>
      <c r="D477" s="1" t="s">
        <v>1941</v>
      </c>
      <c r="E477" s="6" t="s">
        <v>1862</v>
      </c>
    </row>
    <row r="478">
      <c r="A478" s="2" t="s">
        <v>1015</v>
      </c>
      <c r="B478" s="1" t="s">
        <v>1016</v>
      </c>
      <c r="C478" s="2" t="s">
        <v>2160</v>
      </c>
      <c r="D478" s="1" t="s">
        <v>2161</v>
      </c>
      <c r="E478" s="6" t="s">
        <v>1853</v>
      </c>
    </row>
    <row r="479">
      <c r="A479" s="2" t="s">
        <v>1172</v>
      </c>
      <c r="B479" s="1" t="s">
        <v>1173</v>
      </c>
      <c r="C479" s="2" t="s">
        <v>1849</v>
      </c>
      <c r="D479" s="1" t="s">
        <v>1850</v>
      </c>
      <c r="E479" s="6" t="s">
        <v>1853</v>
      </c>
    </row>
    <row r="480">
      <c r="A480" s="2" t="s">
        <v>811</v>
      </c>
      <c r="B480" s="1" t="s">
        <v>812</v>
      </c>
      <c r="C480" s="2" t="s">
        <v>2162</v>
      </c>
      <c r="D480" s="1" t="s">
        <v>2163</v>
      </c>
      <c r="E480" s="6" t="s">
        <v>1846</v>
      </c>
    </row>
    <row r="481">
      <c r="A481" s="2" t="s">
        <v>1172</v>
      </c>
      <c r="B481" s="1" t="s">
        <v>1173</v>
      </c>
      <c r="C481" s="2" t="s">
        <v>2164</v>
      </c>
      <c r="D481" s="1" t="s">
        <v>2165</v>
      </c>
      <c r="E481" s="6" t="s">
        <v>1846</v>
      </c>
    </row>
    <row r="482">
      <c r="A482" s="2" t="s">
        <v>811</v>
      </c>
      <c r="B482" s="1" t="s">
        <v>812</v>
      </c>
      <c r="C482" s="2" t="s">
        <v>1913</v>
      </c>
      <c r="D482" s="1" t="s">
        <v>1914</v>
      </c>
      <c r="E482" s="6" t="s">
        <v>1862</v>
      </c>
    </row>
    <row r="483">
      <c r="A483" s="2" t="s">
        <v>985</v>
      </c>
      <c r="B483" s="1" t="s">
        <v>986</v>
      </c>
      <c r="C483" s="2" t="s">
        <v>1929</v>
      </c>
      <c r="D483" s="1" t="s">
        <v>1930</v>
      </c>
      <c r="E483" s="6" t="s">
        <v>1846</v>
      </c>
    </row>
    <row r="484">
      <c r="A484" s="2" t="s">
        <v>1510</v>
      </c>
      <c r="B484" s="1" t="s">
        <v>1511</v>
      </c>
      <c r="C484" s="2" t="s">
        <v>1849</v>
      </c>
      <c r="D484" s="1" t="s">
        <v>1850</v>
      </c>
      <c r="E484" s="6" t="s">
        <v>1853</v>
      </c>
    </row>
    <row r="485">
      <c r="A485" s="2" t="s">
        <v>1552</v>
      </c>
      <c r="B485" s="1" t="s">
        <v>1553</v>
      </c>
      <c r="C485" s="2" t="s">
        <v>1849</v>
      </c>
      <c r="D485" s="1" t="s">
        <v>1850</v>
      </c>
      <c r="E485" s="6" t="s">
        <v>1853</v>
      </c>
    </row>
    <row r="486">
      <c r="A486" s="2" t="s">
        <v>1160</v>
      </c>
      <c r="B486" s="1" t="s">
        <v>1161</v>
      </c>
      <c r="C486" s="2" t="s">
        <v>2166</v>
      </c>
      <c r="D486" s="1" t="s">
        <v>2167</v>
      </c>
      <c r="E486" s="6" t="s">
        <v>1846</v>
      </c>
    </row>
    <row r="487">
      <c r="A487" s="2" t="s">
        <v>995</v>
      </c>
      <c r="B487" s="1" t="s">
        <v>996</v>
      </c>
      <c r="C487" s="2" t="s">
        <v>1885</v>
      </c>
      <c r="D487" s="1" t="s">
        <v>1886</v>
      </c>
      <c r="E487" s="6" t="s">
        <v>1846</v>
      </c>
    </row>
    <row r="488">
      <c r="A488" s="2" t="s">
        <v>1285</v>
      </c>
      <c r="B488" s="1" t="s">
        <v>1286</v>
      </c>
      <c r="C488" s="2" t="s">
        <v>2031</v>
      </c>
      <c r="D488" s="1" t="s">
        <v>2032</v>
      </c>
      <c r="E488" s="6" t="s">
        <v>1853</v>
      </c>
    </row>
    <row r="489">
      <c r="A489" s="2" t="s">
        <v>1561</v>
      </c>
      <c r="B489" s="1" t="s">
        <v>1562</v>
      </c>
      <c r="C489" s="2" t="s">
        <v>1885</v>
      </c>
      <c r="D489" s="1" t="s">
        <v>1886</v>
      </c>
      <c r="E489" s="6" t="s">
        <v>1846</v>
      </c>
    </row>
    <row r="490">
      <c r="A490" s="2" t="s">
        <v>1409</v>
      </c>
      <c r="B490" s="1" t="s">
        <v>1410</v>
      </c>
      <c r="C490" s="2" t="s">
        <v>2041</v>
      </c>
      <c r="D490" s="1" t="s">
        <v>2042</v>
      </c>
      <c r="E490" s="6" t="s">
        <v>1853</v>
      </c>
    </row>
    <row r="491">
      <c r="A491" s="2" t="s">
        <v>1172</v>
      </c>
      <c r="B491" s="1" t="s">
        <v>1173</v>
      </c>
      <c r="C491" s="2" t="s">
        <v>1860</v>
      </c>
      <c r="D491" s="1" t="s">
        <v>1861</v>
      </c>
      <c r="E491" s="6" t="s">
        <v>1862</v>
      </c>
    </row>
    <row r="492">
      <c r="A492" s="2" t="s">
        <v>1036</v>
      </c>
      <c r="B492" s="1" t="s">
        <v>1037</v>
      </c>
      <c r="C492" s="2" t="s">
        <v>1913</v>
      </c>
      <c r="D492" s="1" t="s">
        <v>1914</v>
      </c>
      <c r="E492" s="6" t="s">
        <v>1862</v>
      </c>
    </row>
    <row r="493">
      <c r="A493" s="2" t="s">
        <v>1409</v>
      </c>
      <c r="B493" s="1" t="s">
        <v>1410</v>
      </c>
      <c r="C493" s="2" t="s">
        <v>2168</v>
      </c>
      <c r="D493" s="1" t="s">
        <v>2169</v>
      </c>
      <c r="E493" s="6" t="s">
        <v>1862</v>
      </c>
    </row>
    <row r="494">
      <c r="A494" s="2" t="s">
        <v>1426</v>
      </c>
      <c r="B494" s="1" t="s">
        <v>1427</v>
      </c>
      <c r="C494" s="2" t="s">
        <v>1867</v>
      </c>
      <c r="D494" s="1" t="s">
        <v>1868</v>
      </c>
      <c r="E494" s="6" t="s">
        <v>1853</v>
      </c>
    </row>
    <row r="495">
      <c r="A495" s="2" t="s">
        <v>811</v>
      </c>
      <c r="B495" s="1" t="s">
        <v>812</v>
      </c>
      <c r="C495" s="2" t="s">
        <v>1851</v>
      </c>
      <c r="D495" s="1" t="s">
        <v>1852</v>
      </c>
      <c r="E495" s="6" t="s">
        <v>1853</v>
      </c>
    </row>
    <row r="496">
      <c r="A496" s="2" t="s">
        <v>1552</v>
      </c>
      <c r="B496" s="1" t="s">
        <v>1553</v>
      </c>
      <c r="C496" s="2" t="s">
        <v>1885</v>
      </c>
      <c r="D496" s="1" t="s">
        <v>1886</v>
      </c>
      <c r="E496" s="6" t="s">
        <v>1853</v>
      </c>
    </row>
    <row r="497">
      <c r="A497" s="2" t="s">
        <v>1015</v>
      </c>
      <c r="B497" s="1" t="s">
        <v>1016</v>
      </c>
      <c r="C497" s="2" t="s">
        <v>2091</v>
      </c>
      <c r="D497" s="1" t="s">
        <v>2092</v>
      </c>
      <c r="E497" s="6" t="s">
        <v>1853</v>
      </c>
    </row>
    <row r="498">
      <c r="A498" s="2" t="s">
        <v>1426</v>
      </c>
      <c r="B498" s="1" t="s">
        <v>1427</v>
      </c>
      <c r="C498" s="2" t="s">
        <v>51</v>
      </c>
      <c r="D498" s="1" t="s">
        <v>52</v>
      </c>
      <c r="E498" s="6" t="s">
        <v>1846</v>
      </c>
    </row>
    <row r="499">
      <c r="A499" s="2" t="s">
        <v>1409</v>
      </c>
      <c r="B499" s="1" t="s">
        <v>1410</v>
      </c>
      <c r="C499" s="2" t="s">
        <v>2063</v>
      </c>
      <c r="D499" s="1" t="s">
        <v>2064</v>
      </c>
      <c r="E499" s="6" t="s">
        <v>1862</v>
      </c>
    </row>
    <row r="500">
      <c r="A500" s="2" t="s">
        <v>985</v>
      </c>
      <c r="B500" s="1" t="s">
        <v>986</v>
      </c>
      <c r="C500" s="2" t="s">
        <v>1851</v>
      </c>
      <c r="D500" s="1" t="s">
        <v>1852</v>
      </c>
      <c r="E500" s="6" t="s">
        <v>1853</v>
      </c>
    </row>
    <row r="501">
      <c r="A501" s="2" t="s">
        <v>1409</v>
      </c>
      <c r="B501" s="1" t="s">
        <v>1410</v>
      </c>
      <c r="C501" s="2" t="s">
        <v>2170</v>
      </c>
      <c r="D501" s="1" t="s">
        <v>2171</v>
      </c>
      <c r="E501" s="6" t="s">
        <v>1846</v>
      </c>
    </row>
    <row r="502">
      <c r="A502" s="2" t="s">
        <v>1550</v>
      </c>
      <c r="B502" s="1" t="s">
        <v>1551</v>
      </c>
      <c r="C502" s="2" t="s">
        <v>2172</v>
      </c>
      <c r="D502" s="1" t="s">
        <v>1870</v>
      </c>
      <c r="E502" s="6" t="s">
        <v>1846</v>
      </c>
    </row>
    <row r="503">
      <c r="A503" s="2" t="s">
        <v>1340</v>
      </c>
      <c r="B503" s="1" t="s">
        <v>1341</v>
      </c>
      <c r="C503" s="2" t="s">
        <v>2173</v>
      </c>
      <c r="D503" s="1" t="s">
        <v>2174</v>
      </c>
      <c r="E503" s="6" t="s">
        <v>1846</v>
      </c>
    </row>
    <row r="504">
      <c r="A504" s="2" t="s">
        <v>1340</v>
      </c>
      <c r="B504" s="1" t="s">
        <v>1341</v>
      </c>
      <c r="C504" s="2" t="s">
        <v>2175</v>
      </c>
      <c r="D504" s="1" t="s">
        <v>2176</v>
      </c>
      <c r="E504" s="6" t="s">
        <v>1846</v>
      </c>
    </row>
    <row r="505">
      <c r="A505" s="2" t="s">
        <v>1340</v>
      </c>
      <c r="B505" s="1" t="s">
        <v>1341</v>
      </c>
      <c r="C505" s="2" t="s">
        <v>2177</v>
      </c>
      <c r="D505" s="1" t="s">
        <v>2178</v>
      </c>
      <c r="E505" s="6" t="s">
        <v>1846</v>
      </c>
    </row>
    <row r="506">
      <c r="A506" s="2" t="s">
        <v>1340</v>
      </c>
      <c r="B506" s="1" t="s">
        <v>1341</v>
      </c>
      <c r="C506" s="2" t="s">
        <v>2179</v>
      </c>
      <c r="D506" s="1" t="s">
        <v>2180</v>
      </c>
      <c r="E506" s="6" t="s">
        <v>1846</v>
      </c>
    </row>
    <row r="507">
      <c r="A507" s="2" t="s">
        <v>1144</v>
      </c>
      <c r="B507" s="1" t="s">
        <v>1145</v>
      </c>
      <c r="C507" s="2" t="s">
        <v>2033</v>
      </c>
      <c r="D507" s="1" t="s">
        <v>2034</v>
      </c>
      <c r="E507" s="6" t="s">
        <v>1853</v>
      </c>
    </row>
    <row r="508">
      <c r="A508" s="2" t="s">
        <v>1144</v>
      </c>
      <c r="B508" s="1" t="s">
        <v>1145</v>
      </c>
      <c r="C508" s="2" t="s">
        <v>2033</v>
      </c>
      <c r="D508" s="1" t="s">
        <v>2034</v>
      </c>
      <c r="E508" s="6" t="s">
        <v>1846</v>
      </c>
    </row>
    <row r="509">
      <c r="A509" s="2" t="s">
        <v>1128</v>
      </c>
      <c r="B509" s="1" t="s">
        <v>1129</v>
      </c>
      <c r="C509" s="2" t="s">
        <v>1849</v>
      </c>
      <c r="D509" s="1" t="s">
        <v>1850</v>
      </c>
      <c r="E509" s="6" t="s">
        <v>1846</v>
      </c>
    </row>
    <row r="510">
      <c r="A510" s="2" t="s">
        <v>1108</v>
      </c>
      <c r="B510" s="1" t="s">
        <v>1109</v>
      </c>
      <c r="C510" s="2" t="s">
        <v>1895</v>
      </c>
      <c r="D510" s="1" t="s">
        <v>1896</v>
      </c>
      <c r="E510" s="6" t="s">
        <v>1846</v>
      </c>
    </row>
    <row r="511">
      <c r="A511" s="2" t="s">
        <v>1468</v>
      </c>
      <c r="B511" s="1" t="s">
        <v>1469</v>
      </c>
      <c r="C511" s="2" t="s">
        <v>1977</v>
      </c>
      <c r="D511" s="1" t="s">
        <v>1978</v>
      </c>
      <c r="E511" s="6" t="s">
        <v>1853</v>
      </c>
    </row>
    <row r="512">
      <c r="A512" s="2" t="s">
        <v>1423</v>
      </c>
      <c r="B512" s="1" t="s">
        <v>1424</v>
      </c>
      <c r="C512" s="2" t="s">
        <v>1867</v>
      </c>
      <c r="D512" s="1" t="s">
        <v>1868</v>
      </c>
      <c r="E512" s="6" t="s">
        <v>1853</v>
      </c>
    </row>
    <row r="513">
      <c r="A513" s="2" t="s">
        <v>1074</v>
      </c>
      <c r="B513" s="1" t="s">
        <v>1075</v>
      </c>
      <c r="C513" s="2" t="s">
        <v>2099</v>
      </c>
      <c r="D513" s="1" t="s">
        <v>2100</v>
      </c>
      <c r="E513" s="6" t="s">
        <v>1846</v>
      </c>
    </row>
    <row r="514">
      <c r="A514" s="2" t="s">
        <v>1504</v>
      </c>
      <c r="B514" s="1" t="s">
        <v>1505</v>
      </c>
      <c r="C514" s="2" t="s">
        <v>2033</v>
      </c>
      <c r="D514" s="1" t="s">
        <v>2034</v>
      </c>
      <c r="E514" s="6" t="s">
        <v>1846</v>
      </c>
    </row>
    <row r="515">
      <c r="A515" s="2" t="s">
        <v>1604</v>
      </c>
      <c r="B515" s="1" t="s">
        <v>1605</v>
      </c>
      <c r="C515" s="2" t="s">
        <v>1849</v>
      </c>
      <c r="D515" s="1" t="s">
        <v>1850</v>
      </c>
      <c r="E515" s="6" t="s">
        <v>1846</v>
      </c>
    </row>
    <row r="516">
      <c r="A516" s="2" t="s">
        <v>1516</v>
      </c>
      <c r="B516" s="1" t="s">
        <v>1517</v>
      </c>
      <c r="C516" s="2" t="s">
        <v>1901</v>
      </c>
      <c r="D516" s="1" t="s">
        <v>1902</v>
      </c>
      <c r="E516" s="6" t="s">
        <v>1862</v>
      </c>
    </row>
    <row r="517">
      <c r="A517" s="2" t="s">
        <v>1219</v>
      </c>
      <c r="B517" s="1" t="s">
        <v>1220</v>
      </c>
      <c r="C517" s="2" t="s">
        <v>2181</v>
      </c>
      <c r="D517" s="1" t="s">
        <v>2182</v>
      </c>
      <c r="E517" s="6" t="s">
        <v>1846</v>
      </c>
    </row>
    <row r="518">
      <c r="A518" s="2" t="s">
        <v>1076</v>
      </c>
      <c r="B518" s="1" t="s">
        <v>1077</v>
      </c>
      <c r="C518" s="2" t="s">
        <v>2183</v>
      </c>
      <c r="D518" s="1" t="s">
        <v>2184</v>
      </c>
      <c r="E518" s="6" t="s">
        <v>1846</v>
      </c>
    </row>
    <row r="519">
      <c r="A519" s="2" t="s">
        <v>1516</v>
      </c>
      <c r="B519" s="1" t="s">
        <v>1517</v>
      </c>
      <c r="C519" s="2" t="s">
        <v>2185</v>
      </c>
      <c r="D519" s="1" t="s">
        <v>2186</v>
      </c>
      <c r="E519" s="6" t="s">
        <v>1846</v>
      </c>
    </row>
    <row r="520">
      <c r="A520" s="2" t="s">
        <v>1468</v>
      </c>
      <c r="B520" s="1" t="s">
        <v>1469</v>
      </c>
      <c r="C520" s="2" t="s">
        <v>2187</v>
      </c>
      <c r="D520" s="1" t="s">
        <v>2188</v>
      </c>
      <c r="E520" s="6" t="s">
        <v>1846</v>
      </c>
    </row>
    <row r="521">
      <c r="A521" s="2" t="s">
        <v>1454</v>
      </c>
      <c r="B521" s="1" t="s">
        <v>1455</v>
      </c>
      <c r="C521" s="2" t="s">
        <v>2097</v>
      </c>
      <c r="D521" s="1" t="s">
        <v>2098</v>
      </c>
      <c r="E521" s="6" t="s">
        <v>1846</v>
      </c>
    </row>
    <row r="522">
      <c r="A522" s="2" t="s">
        <v>1423</v>
      </c>
      <c r="B522" s="1" t="s">
        <v>1424</v>
      </c>
      <c r="C522" s="2" t="s">
        <v>1877</v>
      </c>
      <c r="D522" s="1" t="s">
        <v>1878</v>
      </c>
      <c r="E522" s="6" t="s">
        <v>1862</v>
      </c>
    </row>
    <row r="523">
      <c r="A523" s="2" t="s">
        <v>1095</v>
      </c>
      <c r="B523" s="1" t="s">
        <v>1096</v>
      </c>
      <c r="C523" s="2" t="s">
        <v>1851</v>
      </c>
      <c r="D523" s="1" t="s">
        <v>1852</v>
      </c>
      <c r="E523" s="6" t="s">
        <v>1853</v>
      </c>
    </row>
    <row r="524">
      <c r="A524" s="2" t="s">
        <v>1604</v>
      </c>
      <c r="B524" s="1" t="s">
        <v>1605</v>
      </c>
      <c r="C524" s="2" t="s">
        <v>2089</v>
      </c>
      <c r="D524" s="1" t="s">
        <v>2090</v>
      </c>
      <c r="E524" s="6" t="s">
        <v>1846</v>
      </c>
    </row>
    <row r="525">
      <c r="A525" s="2" t="s">
        <v>1470</v>
      </c>
      <c r="B525" s="1" t="s">
        <v>1471</v>
      </c>
      <c r="C525" s="2" t="s">
        <v>2033</v>
      </c>
      <c r="D525" s="1" t="s">
        <v>2034</v>
      </c>
      <c r="E525" s="6" t="s">
        <v>1846</v>
      </c>
    </row>
    <row r="526">
      <c r="A526" s="2" t="s">
        <v>1423</v>
      </c>
      <c r="B526" s="1" t="s">
        <v>1424</v>
      </c>
      <c r="C526" s="2" t="s">
        <v>1887</v>
      </c>
      <c r="D526" s="1" t="s">
        <v>1888</v>
      </c>
      <c r="E526" s="6" t="s">
        <v>1853</v>
      </c>
    </row>
    <row r="527">
      <c r="A527" s="2" t="s">
        <v>1076</v>
      </c>
      <c r="B527" s="1" t="s">
        <v>1077</v>
      </c>
      <c r="C527" s="2" t="s">
        <v>2189</v>
      </c>
      <c r="D527" s="1" t="s">
        <v>2190</v>
      </c>
      <c r="E527" s="6" t="s">
        <v>1846</v>
      </c>
    </row>
    <row r="528">
      <c r="A528" s="2" t="s">
        <v>943</v>
      </c>
      <c r="B528" s="1" t="s">
        <v>944</v>
      </c>
      <c r="C528" s="2" t="s">
        <v>1905</v>
      </c>
      <c r="D528" s="1" t="s">
        <v>1906</v>
      </c>
      <c r="E528" s="6" t="s">
        <v>1862</v>
      </c>
    </row>
    <row r="529">
      <c r="A529" s="2" t="s">
        <v>1522</v>
      </c>
      <c r="B529" s="1" t="s">
        <v>1523</v>
      </c>
      <c r="C529" s="2" t="s">
        <v>2191</v>
      </c>
      <c r="D529" s="1" t="s">
        <v>2192</v>
      </c>
      <c r="E529" s="6" t="s">
        <v>1862</v>
      </c>
    </row>
    <row r="530">
      <c r="A530" s="2" t="s">
        <v>1450</v>
      </c>
      <c r="B530" s="1" t="s">
        <v>1451</v>
      </c>
      <c r="C530" s="2" t="s">
        <v>1849</v>
      </c>
      <c r="D530" s="1" t="s">
        <v>1850</v>
      </c>
      <c r="E530" s="6" t="s">
        <v>1853</v>
      </c>
    </row>
    <row r="531">
      <c r="A531" s="2" t="s">
        <v>1074</v>
      </c>
      <c r="B531" s="1" t="s">
        <v>1075</v>
      </c>
      <c r="C531" s="2" t="s">
        <v>1875</v>
      </c>
      <c r="D531" s="1" t="s">
        <v>1876</v>
      </c>
      <c r="E531" s="6" t="s">
        <v>1846</v>
      </c>
    </row>
    <row r="532">
      <c r="A532" s="2" t="s">
        <v>1600</v>
      </c>
      <c r="B532" s="1" t="s">
        <v>1601</v>
      </c>
      <c r="C532" s="2" t="s">
        <v>2193</v>
      </c>
      <c r="D532" s="1" t="s">
        <v>2194</v>
      </c>
      <c r="E532" s="6" t="s">
        <v>1853</v>
      </c>
    </row>
    <row r="533">
      <c r="A533" s="2" t="s">
        <v>1194</v>
      </c>
      <c r="B533" s="1" t="s">
        <v>1195</v>
      </c>
      <c r="C533" s="2" t="s">
        <v>1867</v>
      </c>
      <c r="D533" s="1" t="s">
        <v>1868</v>
      </c>
      <c r="E533" s="6" t="s">
        <v>1853</v>
      </c>
    </row>
    <row r="534">
      <c r="A534" s="2" t="s">
        <v>1518</v>
      </c>
      <c r="B534" s="1" t="s">
        <v>1519</v>
      </c>
      <c r="C534" s="2" t="s">
        <v>1901</v>
      </c>
      <c r="D534" s="1" t="s">
        <v>1902</v>
      </c>
      <c r="E534" s="6" t="s">
        <v>1862</v>
      </c>
    </row>
    <row r="535">
      <c r="A535" s="2" t="s">
        <v>1454</v>
      </c>
      <c r="B535" s="1" t="s">
        <v>1455</v>
      </c>
      <c r="C535" s="2" t="s">
        <v>1905</v>
      </c>
      <c r="D535" s="1" t="s">
        <v>1906</v>
      </c>
      <c r="E535" s="6" t="s">
        <v>1862</v>
      </c>
    </row>
    <row r="536">
      <c r="A536" s="2" t="s">
        <v>1470</v>
      </c>
      <c r="B536" s="1" t="s">
        <v>1471</v>
      </c>
      <c r="C536" s="2" t="s">
        <v>1869</v>
      </c>
      <c r="D536" s="1" t="s">
        <v>1870</v>
      </c>
      <c r="E536" s="6" t="s">
        <v>1846</v>
      </c>
    </row>
    <row r="537">
      <c r="A537" s="2" t="s">
        <v>1620</v>
      </c>
      <c r="B537" s="1" t="s">
        <v>1621</v>
      </c>
      <c r="C537" s="2" t="s">
        <v>1849</v>
      </c>
      <c r="D537" s="1" t="s">
        <v>1850</v>
      </c>
      <c r="E537" s="6" t="s">
        <v>1853</v>
      </c>
    </row>
    <row r="538">
      <c r="A538" s="2" t="s">
        <v>943</v>
      </c>
      <c r="B538" s="1" t="s">
        <v>944</v>
      </c>
      <c r="C538" s="2" t="s">
        <v>2063</v>
      </c>
      <c r="D538" s="1" t="s">
        <v>2064</v>
      </c>
      <c r="E538" s="6" t="s">
        <v>1862</v>
      </c>
    </row>
    <row r="539">
      <c r="A539" s="2" t="s">
        <v>1406</v>
      </c>
      <c r="B539" s="1" t="s">
        <v>1407</v>
      </c>
      <c r="C539" s="2" t="s">
        <v>2065</v>
      </c>
      <c r="D539" s="1" t="s">
        <v>2066</v>
      </c>
      <c r="E539" s="6" t="s">
        <v>1853</v>
      </c>
    </row>
    <row r="540">
      <c r="A540" s="2" t="s">
        <v>1423</v>
      </c>
      <c r="B540" s="1" t="s">
        <v>1424</v>
      </c>
      <c r="C540" s="2" t="s">
        <v>1849</v>
      </c>
      <c r="D540" s="1" t="s">
        <v>1850</v>
      </c>
      <c r="E540" s="6" t="s">
        <v>1853</v>
      </c>
    </row>
    <row r="541">
      <c r="A541" s="2" t="s">
        <v>1516</v>
      </c>
      <c r="B541" s="1" t="s">
        <v>1517</v>
      </c>
      <c r="C541" s="2" t="s">
        <v>2041</v>
      </c>
      <c r="D541" s="1" t="s">
        <v>2042</v>
      </c>
      <c r="E541" s="6" t="s">
        <v>1846</v>
      </c>
    </row>
    <row r="542">
      <c r="A542" s="2" t="s">
        <v>1470</v>
      </c>
      <c r="B542" s="1" t="s">
        <v>1471</v>
      </c>
      <c r="C542" s="2" t="s">
        <v>1875</v>
      </c>
      <c r="D542" s="1" t="s">
        <v>1876</v>
      </c>
      <c r="E542" s="6" t="s">
        <v>1846</v>
      </c>
    </row>
    <row r="543">
      <c r="A543" s="2" t="s">
        <v>1514</v>
      </c>
      <c r="B543" s="1" t="s">
        <v>1515</v>
      </c>
      <c r="C543" s="2" t="s">
        <v>2195</v>
      </c>
      <c r="D543" s="1" t="s">
        <v>2196</v>
      </c>
      <c r="E543" s="6" t="s">
        <v>1853</v>
      </c>
    </row>
    <row r="544">
      <c r="A544" s="2" t="s">
        <v>1406</v>
      </c>
      <c r="B544" s="1" t="s">
        <v>1407</v>
      </c>
      <c r="C544" s="2" t="s">
        <v>1913</v>
      </c>
      <c r="D544" s="1" t="s">
        <v>1914</v>
      </c>
      <c r="E544" s="6" t="s">
        <v>1862</v>
      </c>
    </row>
    <row r="545">
      <c r="A545" s="2" t="s">
        <v>1546</v>
      </c>
      <c r="B545" s="1" t="s">
        <v>1547</v>
      </c>
      <c r="C545" s="2" t="s">
        <v>1849</v>
      </c>
      <c r="D545" s="1" t="s">
        <v>1850</v>
      </c>
      <c r="E545" s="6" t="s">
        <v>1853</v>
      </c>
    </row>
    <row r="546">
      <c r="A546" s="2" t="s">
        <v>1219</v>
      </c>
      <c r="B546" s="1" t="s">
        <v>1220</v>
      </c>
      <c r="C546" s="2" t="s">
        <v>1875</v>
      </c>
      <c r="D546" s="1" t="s">
        <v>1876</v>
      </c>
      <c r="E546" s="6" t="s">
        <v>1846</v>
      </c>
    </row>
    <row r="547">
      <c r="A547" s="2" t="s">
        <v>943</v>
      </c>
      <c r="B547" s="1" t="s">
        <v>944</v>
      </c>
      <c r="C547" s="2" t="s">
        <v>2197</v>
      </c>
      <c r="D547" s="1" t="s">
        <v>2198</v>
      </c>
      <c r="E547" s="6" t="s">
        <v>1862</v>
      </c>
    </row>
    <row r="548">
      <c r="A548" s="2" t="s">
        <v>1423</v>
      </c>
      <c r="B548" s="1" t="s">
        <v>1424</v>
      </c>
      <c r="C548" s="2" t="s">
        <v>1875</v>
      </c>
      <c r="D548" s="1" t="s">
        <v>1876</v>
      </c>
      <c r="E548" s="6" t="s">
        <v>1853</v>
      </c>
    </row>
    <row r="549">
      <c r="A549" s="2" t="s">
        <v>1600</v>
      </c>
      <c r="B549" s="1" t="s">
        <v>1601</v>
      </c>
      <c r="C549" s="2" t="s">
        <v>2199</v>
      </c>
      <c r="D549" s="1" t="s">
        <v>2200</v>
      </c>
      <c r="E549" s="6" t="s">
        <v>1846</v>
      </c>
    </row>
    <row r="550">
      <c r="A550" s="2" t="s">
        <v>1504</v>
      </c>
      <c r="B550" s="1" t="s">
        <v>1505</v>
      </c>
      <c r="C550" s="2" t="s">
        <v>2201</v>
      </c>
      <c r="D550" s="1" t="s">
        <v>2202</v>
      </c>
      <c r="E550" s="6" t="s">
        <v>1846</v>
      </c>
    </row>
    <row r="551">
      <c r="A551" s="2" t="s">
        <v>1423</v>
      </c>
      <c r="B551" s="1" t="s">
        <v>1424</v>
      </c>
      <c r="C551" s="2" t="s">
        <v>2089</v>
      </c>
      <c r="D551" s="1" t="s">
        <v>2090</v>
      </c>
      <c r="E551" s="6" t="s">
        <v>1846</v>
      </c>
    </row>
    <row r="552">
      <c r="A552" s="2" t="s">
        <v>1522</v>
      </c>
      <c r="B552" s="1" t="s">
        <v>1523</v>
      </c>
      <c r="C552" s="2" t="s">
        <v>1875</v>
      </c>
      <c r="D552" s="1" t="s">
        <v>1876</v>
      </c>
      <c r="E552" s="6" t="s">
        <v>1853</v>
      </c>
    </row>
    <row r="553">
      <c r="A553" s="2" t="s">
        <v>1600</v>
      </c>
      <c r="B553" s="1" t="s">
        <v>1601</v>
      </c>
      <c r="C553" s="2" t="s">
        <v>2172</v>
      </c>
      <c r="D553" s="1" t="s">
        <v>1870</v>
      </c>
      <c r="E553" s="6" t="s">
        <v>1853</v>
      </c>
    </row>
    <row r="554">
      <c r="A554" s="2" t="s">
        <v>1540</v>
      </c>
      <c r="B554" s="1" t="s">
        <v>1541</v>
      </c>
      <c r="C554" s="2" t="s">
        <v>1849</v>
      </c>
      <c r="D554" s="1" t="s">
        <v>1850</v>
      </c>
      <c r="E554" s="6" t="s">
        <v>1853</v>
      </c>
    </row>
    <row r="555">
      <c r="A555" s="2" t="s">
        <v>1450</v>
      </c>
      <c r="B555" s="1" t="s">
        <v>1451</v>
      </c>
      <c r="C555" s="2" t="s">
        <v>1851</v>
      </c>
      <c r="D555" s="1" t="s">
        <v>1852</v>
      </c>
      <c r="E555" s="6" t="s">
        <v>1853</v>
      </c>
    </row>
    <row r="556">
      <c r="A556" s="2" t="s">
        <v>1450</v>
      </c>
      <c r="B556" s="1" t="s">
        <v>1451</v>
      </c>
      <c r="C556" s="2" t="s">
        <v>1851</v>
      </c>
      <c r="D556" s="1" t="s">
        <v>1852</v>
      </c>
      <c r="E556" s="6" t="s">
        <v>1846</v>
      </c>
    </row>
    <row r="557">
      <c r="A557" s="2" t="s">
        <v>1423</v>
      </c>
      <c r="B557" s="1" t="s">
        <v>1424</v>
      </c>
      <c r="C557" s="2" t="s">
        <v>1885</v>
      </c>
      <c r="D557" s="1" t="s">
        <v>1886</v>
      </c>
      <c r="E557" s="6" t="s">
        <v>1853</v>
      </c>
    </row>
    <row r="558">
      <c r="A558" s="2" t="s">
        <v>957</v>
      </c>
      <c r="B558" s="1" t="s">
        <v>958</v>
      </c>
      <c r="C558" s="2" t="s">
        <v>2035</v>
      </c>
      <c r="D558" s="1" t="s">
        <v>2036</v>
      </c>
      <c r="E558" s="6" t="s">
        <v>1862</v>
      </c>
    </row>
    <row r="559">
      <c r="A559" s="2" t="s">
        <v>1087</v>
      </c>
      <c r="B559" s="1" t="s">
        <v>1088</v>
      </c>
      <c r="C559" s="2" t="s">
        <v>1849</v>
      </c>
      <c r="D559" s="1" t="s">
        <v>1850</v>
      </c>
      <c r="E559" s="6" t="s">
        <v>1846</v>
      </c>
    </row>
    <row r="560">
      <c r="A560" s="2" t="s">
        <v>1095</v>
      </c>
      <c r="B560" s="1" t="s">
        <v>1096</v>
      </c>
      <c r="C560" s="2" t="s">
        <v>2033</v>
      </c>
      <c r="D560" s="1" t="s">
        <v>2034</v>
      </c>
      <c r="E560" s="6" t="s">
        <v>1846</v>
      </c>
    </row>
    <row r="561">
      <c r="A561" s="2" t="s">
        <v>1516</v>
      </c>
      <c r="B561" s="1" t="s">
        <v>1517</v>
      </c>
      <c r="C561" s="2" t="s">
        <v>2063</v>
      </c>
      <c r="D561" s="1" t="s">
        <v>2064</v>
      </c>
      <c r="E561" s="6" t="s">
        <v>1862</v>
      </c>
    </row>
    <row r="562">
      <c r="A562" s="2" t="s">
        <v>1470</v>
      </c>
      <c r="B562" s="1" t="s">
        <v>1471</v>
      </c>
      <c r="C562" s="2" t="s">
        <v>1895</v>
      </c>
      <c r="D562" s="1" t="s">
        <v>1896</v>
      </c>
      <c r="E562" s="6" t="s">
        <v>1846</v>
      </c>
    </row>
    <row r="563">
      <c r="A563" s="2" t="s">
        <v>1620</v>
      </c>
      <c r="B563" s="1" t="s">
        <v>1621</v>
      </c>
      <c r="C563" s="2" t="s">
        <v>2203</v>
      </c>
      <c r="D563" s="1" t="s">
        <v>2204</v>
      </c>
      <c r="E563" s="6" t="s">
        <v>1853</v>
      </c>
    </row>
    <row r="564">
      <c r="A564" s="2" t="s">
        <v>1540</v>
      </c>
      <c r="B564" s="1" t="s">
        <v>1541</v>
      </c>
      <c r="C564" s="2" t="s">
        <v>1860</v>
      </c>
      <c r="D564" s="1" t="s">
        <v>1861</v>
      </c>
      <c r="E564" s="6" t="s">
        <v>1862</v>
      </c>
    </row>
    <row r="565">
      <c r="A565" s="2" t="s">
        <v>1468</v>
      </c>
      <c r="B565" s="1" t="s">
        <v>1469</v>
      </c>
      <c r="C565" s="2" t="s">
        <v>2041</v>
      </c>
      <c r="D565" s="1" t="s">
        <v>2042</v>
      </c>
      <c r="E565" s="6" t="s">
        <v>1846</v>
      </c>
    </row>
    <row r="566">
      <c r="A566" s="2" t="s">
        <v>1458</v>
      </c>
      <c r="B566" s="1" t="s">
        <v>1459</v>
      </c>
      <c r="C566" s="2" t="s">
        <v>1885</v>
      </c>
      <c r="D566" s="1" t="s">
        <v>1886</v>
      </c>
      <c r="E566" s="6" t="s">
        <v>1853</v>
      </c>
    </row>
    <row r="567">
      <c r="A567" s="2" t="s">
        <v>1542</v>
      </c>
      <c r="B567" s="1" t="s">
        <v>1543</v>
      </c>
      <c r="C567" s="2" t="s">
        <v>1844</v>
      </c>
      <c r="D567" s="1" t="s">
        <v>1845</v>
      </c>
      <c r="E567" s="6" t="s">
        <v>1846</v>
      </c>
    </row>
    <row r="568">
      <c r="A568" s="2" t="s">
        <v>1514</v>
      </c>
      <c r="B568" s="1" t="s">
        <v>1515</v>
      </c>
      <c r="C568" s="2" t="s">
        <v>2205</v>
      </c>
      <c r="D568" s="1" t="s">
        <v>2206</v>
      </c>
      <c r="E568" s="6" t="s">
        <v>1853</v>
      </c>
    </row>
    <row r="569">
      <c r="A569" s="2" t="s">
        <v>1470</v>
      </c>
      <c r="B569" s="1" t="s">
        <v>1471</v>
      </c>
      <c r="C569" s="2" t="s">
        <v>2207</v>
      </c>
      <c r="D569" s="1" t="s">
        <v>2208</v>
      </c>
      <c r="E569" s="6" t="s">
        <v>1846</v>
      </c>
    </row>
    <row r="570">
      <c r="A570" s="2" t="s">
        <v>1514</v>
      </c>
      <c r="B570" s="1" t="s">
        <v>1515</v>
      </c>
      <c r="C570" s="2" t="s">
        <v>2209</v>
      </c>
      <c r="D570" s="1" t="s">
        <v>2210</v>
      </c>
      <c r="E570" s="6" t="s">
        <v>1853</v>
      </c>
    </row>
    <row r="571">
      <c r="A571" s="2" t="s">
        <v>1458</v>
      </c>
      <c r="B571" s="1" t="s">
        <v>1459</v>
      </c>
      <c r="C571" s="2" t="s">
        <v>2203</v>
      </c>
      <c r="D571" s="1" t="s">
        <v>2204</v>
      </c>
      <c r="E571" s="6" t="s">
        <v>1853</v>
      </c>
    </row>
    <row r="572">
      <c r="A572" s="2" t="s">
        <v>1470</v>
      </c>
      <c r="B572" s="1" t="s">
        <v>1471</v>
      </c>
      <c r="C572" s="2" t="s">
        <v>2211</v>
      </c>
      <c r="D572" s="1" t="s">
        <v>2212</v>
      </c>
      <c r="E572" s="6" t="s">
        <v>1846</v>
      </c>
    </row>
    <row r="573">
      <c r="A573" s="2" t="s">
        <v>957</v>
      </c>
      <c r="B573" s="1" t="s">
        <v>958</v>
      </c>
      <c r="C573" s="2" t="s">
        <v>1849</v>
      </c>
      <c r="D573" s="1" t="s">
        <v>1850</v>
      </c>
      <c r="E573" s="6" t="s">
        <v>1853</v>
      </c>
    </row>
    <row r="574">
      <c r="A574" s="2" t="s">
        <v>1082</v>
      </c>
      <c r="B574" s="1" t="s">
        <v>1083</v>
      </c>
      <c r="C574" s="2" t="s">
        <v>1849</v>
      </c>
      <c r="D574" s="1" t="s">
        <v>1850</v>
      </c>
      <c r="E574" s="6" t="s">
        <v>1853</v>
      </c>
    </row>
    <row r="575">
      <c r="A575" s="2" t="s">
        <v>1458</v>
      </c>
      <c r="B575" s="1" t="s">
        <v>1459</v>
      </c>
      <c r="C575" s="2" t="s">
        <v>1895</v>
      </c>
      <c r="D575" s="1" t="s">
        <v>1896</v>
      </c>
      <c r="E575" s="6" t="s">
        <v>1853</v>
      </c>
    </row>
    <row r="576">
      <c r="A576" s="2" t="s">
        <v>1074</v>
      </c>
      <c r="B576" s="1" t="s">
        <v>1075</v>
      </c>
      <c r="C576" s="2" t="s">
        <v>2097</v>
      </c>
      <c r="D576" s="1" t="s">
        <v>2098</v>
      </c>
      <c r="E576" s="6" t="s">
        <v>1846</v>
      </c>
    </row>
    <row r="577">
      <c r="A577" s="2" t="s">
        <v>1546</v>
      </c>
      <c r="B577" s="1" t="s">
        <v>1547</v>
      </c>
      <c r="C577" s="2" t="s">
        <v>1851</v>
      </c>
      <c r="D577" s="1" t="s">
        <v>1852</v>
      </c>
      <c r="E577" s="6" t="s">
        <v>1853</v>
      </c>
    </row>
    <row r="578">
      <c r="A578" s="2" t="s">
        <v>1087</v>
      </c>
      <c r="B578" s="1" t="s">
        <v>1088</v>
      </c>
      <c r="C578" s="2" t="s">
        <v>1885</v>
      </c>
      <c r="D578" s="1" t="s">
        <v>1886</v>
      </c>
      <c r="E578" s="6" t="s">
        <v>1846</v>
      </c>
    </row>
    <row r="579">
      <c r="A579" s="2" t="s">
        <v>1076</v>
      </c>
      <c r="B579" s="1" t="s">
        <v>1077</v>
      </c>
      <c r="C579" s="2" t="s">
        <v>2213</v>
      </c>
      <c r="D579" s="1" t="s">
        <v>2214</v>
      </c>
      <c r="E579" s="6" t="s">
        <v>1846</v>
      </c>
    </row>
    <row r="580">
      <c r="A580" s="2" t="s">
        <v>1219</v>
      </c>
      <c r="B580" s="1" t="s">
        <v>1220</v>
      </c>
      <c r="C580" s="2" t="s">
        <v>2215</v>
      </c>
      <c r="D580" s="1" t="s">
        <v>2216</v>
      </c>
      <c r="E580" s="6" t="s">
        <v>1846</v>
      </c>
    </row>
    <row r="581">
      <c r="A581" s="2" t="s">
        <v>897</v>
      </c>
      <c r="B581" s="1" t="s">
        <v>898</v>
      </c>
      <c r="C581" s="2" t="s">
        <v>1851</v>
      </c>
      <c r="D581" s="1" t="s">
        <v>1852</v>
      </c>
      <c r="E581" s="6" t="s">
        <v>1853</v>
      </c>
    </row>
    <row r="582">
      <c r="A582" s="2" t="s">
        <v>1095</v>
      </c>
      <c r="B582" s="1" t="s">
        <v>1096</v>
      </c>
      <c r="C582" s="2" t="s">
        <v>1875</v>
      </c>
      <c r="D582" s="1" t="s">
        <v>1876</v>
      </c>
      <c r="E582" s="6" t="s">
        <v>1846</v>
      </c>
    </row>
    <row r="583">
      <c r="A583" s="2" t="s">
        <v>1660</v>
      </c>
      <c r="B583" s="1" t="s">
        <v>1661</v>
      </c>
      <c r="C583" s="2" t="s">
        <v>1913</v>
      </c>
      <c r="D583" s="1" t="s">
        <v>1914</v>
      </c>
      <c r="E583" s="6" t="s">
        <v>1862</v>
      </c>
    </row>
    <row r="584">
      <c r="A584" s="2" t="s">
        <v>617</v>
      </c>
      <c r="B584" s="1" t="s">
        <v>618</v>
      </c>
      <c r="C584" s="2" t="s">
        <v>1849</v>
      </c>
      <c r="D584" s="1" t="s">
        <v>1850</v>
      </c>
      <c r="E584" s="6" t="s">
        <v>1853</v>
      </c>
    </row>
    <row r="585">
      <c r="A585" s="2" t="s">
        <v>719</v>
      </c>
      <c r="B585" s="1" t="s">
        <v>720</v>
      </c>
      <c r="C585" s="2" t="s">
        <v>1875</v>
      </c>
      <c r="D585" s="1" t="s">
        <v>1876</v>
      </c>
      <c r="E585" s="6" t="s">
        <v>1846</v>
      </c>
    </row>
    <row r="586">
      <c r="A586" s="2" t="s">
        <v>549</v>
      </c>
      <c r="B586" s="1" t="s">
        <v>550</v>
      </c>
      <c r="C586" s="2" t="s">
        <v>1938</v>
      </c>
      <c r="D586" s="1" t="s">
        <v>1939</v>
      </c>
      <c r="E586" s="6" t="s">
        <v>1853</v>
      </c>
    </row>
    <row r="587">
      <c r="A587" s="2" t="s">
        <v>207</v>
      </c>
      <c r="B587" s="1" t="s">
        <v>208</v>
      </c>
      <c r="C587" s="2" t="s">
        <v>1913</v>
      </c>
      <c r="D587" s="1" t="s">
        <v>1914</v>
      </c>
      <c r="E587" s="6" t="s">
        <v>1862</v>
      </c>
    </row>
    <row r="588">
      <c r="A588" s="2" t="s">
        <v>989</v>
      </c>
      <c r="B588" s="1" t="s">
        <v>990</v>
      </c>
      <c r="C588" s="2" t="s">
        <v>1944</v>
      </c>
      <c r="D588" s="1" t="s">
        <v>1945</v>
      </c>
      <c r="E588" s="6" t="s">
        <v>1862</v>
      </c>
    </row>
    <row r="589">
      <c r="A589" s="2" t="s">
        <v>709</v>
      </c>
      <c r="B589" s="1" t="s">
        <v>710</v>
      </c>
      <c r="C589" s="2" t="s">
        <v>2217</v>
      </c>
      <c r="D589" s="1" t="s">
        <v>2218</v>
      </c>
      <c r="E589" s="6" t="s">
        <v>1846</v>
      </c>
    </row>
    <row r="590">
      <c r="A590" s="2" t="s">
        <v>617</v>
      </c>
      <c r="B590" s="1" t="s">
        <v>618</v>
      </c>
      <c r="C590" s="2" t="s">
        <v>1860</v>
      </c>
      <c r="D590" s="1" t="s">
        <v>1861</v>
      </c>
      <c r="E590" s="6" t="s">
        <v>1862</v>
      </c>
    </row>
    <row r="591">
      <c r="A591" s="2" t="s">
        <v>106</v>
      </c>
      <c r="B591" s="1" t="s">
        <v>107</v>
      </c>
      <c r="C591" s="2" t="s">
        <v>2219</v>
      </c>
      <c r="D591" s="1" t="s">
        <v>2220</v>
      </c>
      <c r="E591" s="6" t="s">
        <v>1846</v>
      </c>
    </row>
    <row r="592">
      <c r="A592" s="2" t="s">
        <v>184</v>
      </c>
      <c r="B592" s="1" t="s">
        <v>185</v>
      </c>
      <c r="C592" s="2" t="s">
        <v>2037</v>
      </c>
      <c r="D592" s="1" t="s">
        <v>2038</v>
      </c>
      <c r="E592" s="6" t="s">
        <v>1853</v>
      </c>
    </row>
    <row r="593">
      <c r="A593" s="2" t="s">
        <v>611</v>
      </c>
      <c r="B593" s="1" t="s">
        <v>612</v>
      </c>
      <c r="C593" s="2" t="s">
        <v>1875</v>
      </c>
      <c r="D593" s="1" t="s">
        <v>1876</v>
      </c>
      <c r="E593" s="6" t="s">
        <v>1846</v>
      </c>
    </row>
    <row r="594">
      <c r="A594" s="2" t="s">
        <v>207</v>
      </c>
      <c r="B594" s="1" t="s">
        <v>208</v>
      </c>
      <c r="C594" s="2" t="s">
        <v>2221</v>
      </c>
      <c r="D594" s="1" t="s">
        <v>2222</v>
      </c>
      <c r="E594" s="6" t="s">
        <v>1862</v>
      </c>
    </row>
    <row r="595">
      <c r="A595" s="2" t="s">
        <v>154</v>
      </c>
      <c r="B595" s="1" t="s">
        <v>155</v>
      </c>
      <c r="C595" s="2" t="s">
        <v>2223</v>
      </c>
      <c r="D595" s="1" t="s">
        <v>2224</v>
      </c>
      <c r="E595" s="6" t="s">
        <v>1853</v>
      </c>
    </row>
    <row r="596">
      <c r="A596" s="2" t="s">
        <v>154</v>
      </c>
      <c r="B596" s="1" t="s">
        <v>155</v>
      </c>
      <c r="C596" s="2" t="s">
        <v>2223</v>
      </c>
      <c r="D596" s="1" t="s">
        <v>2224</v>
      </c>
      <c r="E596" s="6" t="s">
        <v>1846</v>
      </c>
    </row>
    <row r="597">
      <c r="A597" s="2" t="s">
        <v>1744</v>
      </c>
      <c r="B597" s="1" t="s">
        <v>1745</v>
      </c>
      <c r="C597" s="2" t="s">
        <v>1849</v>
      </c>
      <c r="D597" s="1" t="s">
        <v>1850</v>
      </c>
      <c r="E597" s="6" t="s">
        <v>1853</v>
      </c>
    </row>
    <row r="598">
      <c r="A598" s="2" t="s">
        <v>1660</v>
      </c>
      <c r="B598" s="1" t="s">
        <v>1661</v>
      </c>
      <c r="C598" s="2" t="s">
        <v>1851</v>
      </c>
      <c r="D598" s="1" t="s">
        <v>1852</v>
      </c>
      <c r="E598" s="6" t="s">
        <v>1846</v>
      </c>
    </row>
    <row r="599">
      <c r="A599" s="2" t="s">
        <v>39</v>
      </c>
      <c r="B599" s="1" t="s">
        <v>40</v>
      </c>
      <c r="C599" s="2" t="s">
        <v>1899</v>
      </c>
      <c r="D599" s="1" t="s">
        <v>1900</v>
      </c>
      <c r="E599" s="6" t="s">
        <v>1846</v>
      </c>
    </row>
    <row r="600">
      <c r="A600" s="2" t="s">
        <v>284</v>
      </c>
      <c r="B600" s="1" t="s">
        <v>285</v>
      </c>
      <c r="C600" s="2" t="s">
        <v>1849</v>
      </c>
      <c r="D600" s="1" t="s">
        <v>1850</v>
      </c>
      <c r="E600" s="6" t="s">
        <v>1853</v>
      </c>
    </row>
    <row r="601">
      <c r="A601" s="2" t="s">
        <v>611</v>
      </c>
      <c r="B601" s="1" t="s">
        <v>612</v>
      </c>
      <c r="C601" s="2" t="s">
        <v>1885</v>
      </c>
      <c r="D601" s="1" t="s">
        <v>1886</v>
      </c>
      <c r="E601" s="6" t="s">
        <v>1853</v>
      </c>
    </row>
    <row r="602">
      <c r="A602" s="2" t="s">
        <v>343</v>
      </c>
      <c r="B602" s="1" t="s">
        <v>344</v>
      </c>
      <c r="C602" s="2" t="s">
        <v>1995</v>
      </c>
      <c r="D602" s="1" t="s">
        <v>1996</v>
      </c>
      <c r="E602" s="6" t="s">
        <v>1862</v>
      </c>
    </row>
    <row r="603">
      <c r="A603" s="2" t="s">
        <v>154</v>
      </c>
      <c r="B603" s="1" t="s">
        <v>155</v>
      </c>
      <c r="C603" s="2" t="s">
        <v>2225</v>
      </c>
      <c r="D603" s="1" t="s">
        <v>2226</v>
      </c>
      <c r="E603" s="6" t="s">
        <v>1846</v>
      </c>
    </row>
    <row r="604">
      <c r="A604" s="2" t="s">
        <v>198</v>
      </c>
      <c r="B604" s="1" t="s">
        <v>199</v>
      </c>
      <c r="C604" s="2" t="s">
        <v>2122</v>
      </c>
      <c r="D604" s="1" t="s">
        <v>2123</v>
      </c>
      <c r="E604" s="6" t="s">
        <v>1846</v>
      </c>
    </row>
    <row r="605">
      <c r="A605" s="2" t="s">
        <v>330</v>
      </c>
      <c r="B605" s="1" t="s">
        <v>331</v>
      </c>
      <c r="C605" s="2" t="s">
        <v>1849</v>
      </c>
      <c r="D605" s="1" t="s">
        <v>1850</v>
      </c>
      <c r="E605" s="6" t="s">
        <v>1853</v>
      </c>
    </row>
    <row r="606">
      <c r="A606" s="2" t="s">
        <v>198</v>
      </c>
      <c r="B606" s="1" t="s">
        <v>199</v>
      </c>
      <c r="C606" s="2" t="s">
        <v>1887</v>
      </c>
      <c r="D606" s="1" t="s">
        <v>1888</v>
      </c>
      <c r="E606" s="6" t="s">
        <v>1846</v>
      </c>
    </row>
    <row r="607">
      <c r="A607" s="2" t="s">
        <v>330</v>
      </c>
      <c r="B607" s="1" t="s">
        <v>331</v>
      </c>
      <c r="C607" s="2" t="s">
        <v>2073</v>
      </c>
      <c r="D607" s="1" t="s">
        <v>2074</v>
      </c>
      <c r="E607" s="6" t="s">
        <v>1853</v>
      </c>
    </row>
    <row r="608">
      <c r="A608" s="2" t="s">
        <v>39</v>
      </c>
      <c r="B608" s="1" t="s">
        <v>40</v>
      </c>
      <c r="C608" s="2" t="s">
        <v>2227</v>
      </c>
      <c r="D608" s="1" t="s">
        <v>2228</v>
      </c>
      <c r="E608" s="6" t="s">
        <v>1846</v>
      </c>
    </row>
    <row r="609">
      <c r="A609" s="2" t="s">
        <v>539</v>
      </c>
      <c r="B609" s="1" t="s">
        <v>540</v>
      </c>
      <c r="C609" s="2" t="s">
        <v>1851</v>
      </c>
      <c r="D609" s="1" t="s">
        <v>1852</v>
      </c>
      <c r="E609" s="6" t="s">
        <v>1853</v>
      </c>
    </row>
    <row r="610">
      <c r="A610" s="2" t="s">
        <v>611</v>
      </c>
      <c r="B610" s="1" t="s">
        <v>612</v>
      </c>
      <c r="C610" s="2" t="s">
        <v>1895</v>
      </c>
      <c r="D610" s="1" t="s">
        <v>1896</v>
      </c>
      <c r="E610" s="6" t="s">
        <v>1853</v>
      </c>
    </row>
    <row r="611">
      <c r="A611" s="2" t="s">
        <v>611</v>
      </c>
      <c r="B611" s="1" t="s">
        <v>612</v>
      </c>
      <c r="C611" s="2" t="s">
        <v>1895</v>
      </c>
      <c r="D611" s="1" t="s">
        <v>1896</v>
      </c>
      <c r="E611" s="6" t="s">
        <v>1846</v>
      </c>
    </row>
    <row r="612">
      <c r="A612" s="2" t="s">
        <v>198</v>
      </c>
      <c r="B612" s="1" t="s">
        <v>199</v>
      </c>
      <c r="C612" s="2" t="s">
        <v>1905</v>
      </c>
      <c r="D612" s="1" t="s">
        <v>1906</v>
      </c>
      <c r="E612" s="6" t="s">
        <v>1862</v>
      </c>
    </row>
    <row r="613">
      <c r="A613" s="2" t="s">
        <v>330</v>
      </c>
      <c r="B613" s="1" t="s">
        <v>331</v>
      </c>
      <c r="C613" s="2" t="s">
        <v>1929</v>
      </c>
      <c r="D613" s="1" t="s">
        <v>1930</v>
      </c>
      <c r="E613" s="6" t="s">
        <v>1853</v>
      </c>
    </row>
    <row r="614">
      <c r="A614" s="2" t="s">
        <v>330</v>
      </c>
      <c r="B614" s="1" t="s">
        <v>331</v>
      </c>
      <c r="C614" s="2" t="s">
        <v>1929</v>
      </c>
      <c r="D614" s="1" t="s">
        <v>1930</v>
      </c>
      <c r="E614" s="6" t="s">
        <v>1846</v>
      </c>
    </row>
    <row r="615">
      <c r="A615" s="2" t="s">
        <v>71</v>
      </c>
      <c r="B615" s="1" t="s">
        <v>72</v>
      </c>
      <c r="C615" s="2" t="s">
        <v>2229</v>
      </c>
      <c r="D615" s="1" t="s">
        <v>2230</v>
      </c>
      <c r="E615" s="6" t="s">
        <v>1846</v>
      </c>
    </row>
    <row r="616">
      <c r="A616" s="2" t="s">
        <v>1755</v>
      </c>
      <c r="B616" s="1" t="s">
        <v>1756</v>
      </c>
      <c r="C616" s="2" t="s">
        <v>2203</v>
      </c>
      <c r="D616" s="1" t="s">
        <v>2204</v>
      </c>
      <c r="E616" s="6" t="s">
        <v>1853</v>
      </c>
    </row>
    <row r="617">
      <c r="A617" s="2" t="s">
        <v>989</v>
      </c>
      <c r="B617" s="1" t="s">
        <v>990</v>
      </c>
      <c r="C617" s="2" t="s">
        <v>2231</v>
      </c>
      <c r="D617" s="1" t="s">
        <v>2232</v>
      </c>
      <c r="E617" s="6" t="s">
        <v>1862</v>
      </c>
    </row>
    <row r="618">
      <c r="A618" s="2" t="s">
        <v>472</v>
      </c>
      <c r="B618" s="1" t="s">
        <v>473</v>
      </c>
      <c r="C618" s="2" t="s">
        <v>1995</v>
      </c>
      <c r="D618" s="1" t="s">
        <v>1996</v>
      </c>
      <c r="E618" s="6" t="s">
        <v>1862</v>
      </c>
    </row>
    <row r="619">
      <c r="A619" s="2" t="s">
        <v>537</v>
      </c>
      <c r="B619" s="1" t="s">
        <v>538</v>
      </c>
      <c r="C619" s="2" t="s">
        <v>1851</v>
      </c>
      <c r="D619" s="1" t="s">
        <v>1852</v>
      </c>
      <c r="E619" s="6" t="s">
        <v>1853</v>
      </c>
    </row>
    <row r="620">
      <c r="A620" s="2" t="s">
        <v>571</v>
      </c>
      <c r="B620" s="1" t="s">
        <v>572</v>
      </c>
      <c r="C620" s="2" t="s">
        <v>2035</v>
      </c>
      <c r="D620" s="1" t="s">
        <v>2036</v>
      </c>
      <c r="E620" s="6" t="s">
        <v>1862</v>
      </c>
    </row>
    <row r="621">
      <c r="A621" s="2" t="s">
        <v>71</v>
      </c>
      <c r="B621" s="1" t="s">
        <v>72</v>
      </c>
      <c r="C621" s="2" t="s">
        <v>1885</v>
      </c>
      <c r="D621" s="1" t="s">
        <v>1886</v>
      </c>
      <c r="E621" s="6" t="s">
        <v>1846</v>
      </c>
    </row>
    <row r="622">
      <c r="A622" s="2" t="s">
        <v>537</v>
      </c>
      <c r="B622" s="1" t="s">
        <v>538</v>
      </c>
      <c r="C622" s="2" t="s">
        <v>1933</v>
      </c>
      <c r="D622" s="1" t="s">
        <v>1900</v>
      </c>
      <c r="E622" s="6" t="s">
        <v>1853</v>
      </c>
    </row>
    <row r="623">
      <c r="A623" s="2" t="s">
        <v>189</v>
      </c>
      <c r="B623" s="1" t="s">
        <v>190</v>
      </c>
      <c r="C623" s="2" t="s">
        <v>1913</v>
      </c>
      <c r="D623" s="1" t="s">
        <v>1914</v>
      </c>
      <c r="E623" s="6" t="s">
        <v>1862</v>
      </c>
    </row>
    <row r="624">
      <c r="A624" s="2" t="s">
        <v>330</v>
      </c>
      <c r="B624" s="1" t="s">
        <v>331</v>
      </c>
      <c r="C624" s="2" t="s">
        <v>2233</v>
      </c>
      <c r="D624" s="1" t="s">
        <v>2234</v>
      </c>
      <c r="E624" s="6" t="s">
        <v>1853</v>
      </c>
    </row>
    <row r="625">
      <c r="A625" s="2" t="s">
        <v>33</v>
      </c>
      <c r="B625" s="1" t="s">
        <v>34</v>
      </c>
      <c r="C625" s="2" t="s">
        <v>1849</v>
      </c>
      <c r="D625" s="1" t="s">
        <v>1850</v>
      </c>
      <c r="E625" s="6" t="s">
        <v>1853</v>
      </c>
    </row>
    <row r="626">
      <c r="A626" s="2" t="s">
        <v>472</v>
      </c>
      <c r="B626" s="1" t="s">
        <v>473</v>
      </c>
      <c r="C626" s="2" t="s">
        <v>2235</v>
      </c>
      <c r="D626" s="1" t="s">
        <v>2236</v>
      </c>
      <c r="E626" s="6" t="s">
        <v>1846</v>
      </c>
    </row>
    <row r="627">
      <c r="A627" s="2" t="s">
        <v>184</v>
      </c>
      <c r="B627" s="1" t="s">
        <v>185</v>
      </c>
      <c r="C627" s="2" t="s">
        <v>1929</v>
      </c>
      <c r="D627" s="1" t="s">
        <v>1930</v>
      </c>
      <c r="E627" s="6" t="s">
        <v>1853</v>
      </c>
    </row>
    <row r="628">
      <c r="A628" s="2" t="s">
        <v>643</v>
      </c>
      <c r="B628" s="1" t="s">
        <v>644</v>
      </c>
      <c r="C628" s="2" t="s">
        <v>1875</v>
      </c>
      <c r="D628" s="1" t="s">
        <v>1876</v>
      </c>
      <c r="E628" s="6" t="s">
        <v>1853</v>
      </c>
    </row>
    <row r="629">
      <c r="A629" s="2" t="s">
        <v>204</v>
      </c>
      <c r="B629" s="1" t="s">
        <v>205</v>
      </c>
      <c r="C629" s="2" t="s">
        <v>1881</v>
      </c>
      <c r="D629" s="1" t="s">
        <v>1882</v>
      </c>
      <c r="E629" s="6" t="s">
        <v>1853</v>
      </c>
    </row>
    <row r="630">
      <c r="A630" s="2" t="s">
        <v>343</v>
      </c>
      <c r="B630" s="1" t="s">
        <v>344</v>
      </c>
      <c r="C630" s="2" t="s">
        <v>1929</v>
      </c>
      <c r="D630" s="1" t="s">
        <v>1930</v>
      </c>
      <c r="E630" s="6" t="s">
        <v>1853</v>
      </c>
    </row>
    <row r="631">
      <c r="A631" s="2" t="s">
        <v>106</v>
      </c>
      <c r="B631" s="1" t="s">
        <v>107</v>
      </c>
      <c r="C631" s="2" t="s">
        <v>2237</v>
      </c>
      <c r="D631" s="1" t="s">
        <v>2238</v>
      </c>
      <c r="E631" s="6" t="s">
        <v>1846</v>
      </c>
    </row>
    <row r="632">
      <c r="A632" s="2" t="s">
        <v>71</v>
      </c>
      <c r="B632" s="1" t="s">
        <v>72</v>
      </c>
      <c r="C632" s="2" t="s">
        <v>1851</v>
      </c>
      <c r="D632" s="1" t="s">
        <v>1852</v>
      </c>
      <c r="E632" s="6" t="s">
        <v>1853</v>
      </c>
    </row>
    <row r="633">
      <c r="A633" s="2" t="s">
        <v>749</v>
      </c>
      <c r="B633" s="1" t="s">
        <v>750</v>
      </c>
      <c r="C633" s="2" t="s">
        <v>1873</v>
      </c>
      <c r="D633" s="1" t="s">
        <v>1874</v>
      </c>
      <c r="E633" s="6" t="s">
        <v>1853</v>
      </c>
    </row>
    <row r="634">
      <c r="A634" s="2" t="s">
        <v>709</v>
      </c>
      <c r="B634" s="1" t="s">
        <v>710</v>
      </c>
      <c r="C634" s="2" t="s">
        <v>2239</v>
      </c>
      <c r="D634" s="1" t="s">
        <v>2240</v>
      </c>
      <c r="E634" s="6" t="s">
        <v>1846</v>
      </c>
    </row>
    <row r="635">
      <c r="A635" s="2" t="s">
        <v>198</v>
      </c>
      <c r="B635" s="1" t="s">
        <v>199</v>
      </c>
      <c r="C635" s="2" t="s">
        <v>2065</v>
      </c>
      <c r="D635" s="1" t="s">
        <v>2066</v>
      </c>
      <c r="E635" s="6" t="s">
        <v>1846</v>
      </c>
    </row>
    <row r="636">
      <c r="A636" s="2" t="s">
        <v>207</v>
      </c>
      <c r="B636" s="1" t="s">
        <v>208</v>
      </c>
      <c r="C636" s="2" t="s">
        <v>2237</v>
      </c>
      <c r="D636" s="1" t="s">
        <v>2238</v>
      </c>
      <c r="E636" s="6" t="s">
        <v>1846</v>
      </c>
    </row>
    <row r="637">
      <c r="A637" s="2" t="s">
        <v>549</v>
      </c>
      <c r="B637" s="1" t="s">
        <v>550</v>
      </c>
      <c r="C637" s="2" t="s">
        <v>1905</v>
      </c>
      <c r="D637" s="1" t="s">
        <v>1906</v>
      </c>
      <c r="E637" s="6" t="s">
        <v>1862</v>
      </c>
    </row>
    <row r="638">
      <c r="A638" s="2" t="s">
        <v>1660</v>
      </c>
      <c r="B638" s="1" t="s">
        <v>1661</v>
      </c>
      <c r="C638" s="2" t="s">
        <v>1887</v>
      </c>
      <c r="D638" s="1" t="s">
        <v>1888</v>
      </c>
      <c r="E638" s="6" t="s">
        <v>1853</v>
      </c>
    </row>
    <row r="639">
      <c r="A639" s="2" t="s">
        <v>1660</v>
      </c>
      <c r="B639" s="1" t="s">
        <v>1661</v>
      </c>
      <c r="C639" s="2" t="s">
        <v>2241</v>
      </c>
      <c r="D639" s="1" t="s">
        <v>2242</v>
      </c>
      <c r="E639" s="6" t="s">
        <v>1846</v>
      </c>
    </row>
    <row r="640">
      <c r="A640" s="2" t="s">
        <v>719</v>
      </c>
      <c r="B640" s="1" t="s">
        <v>720</v>
      </c>
      <c r="C640" s="2" t="s">
        <v>1844</v>
      </c>
      <c r="D640" s="1" t="s">
        <v>1845</v>
      </c>
      <c r="E640" s="6" t="s">
        <v>1846</v>
      </c>
    </row>
    <row r="641">
      <c r="A641" s="2" t="s">
        <v>204</v>
      </c>
      <c r="B641" s="1" t="s">
        <v>205</v>
      </c>
      <c r="C641" s="2" t="s">
        <v>2243</v>
      </c>
      <c r="D641" s="1" t="s">
        <v>2244</v>
      </c>
      <c r="E641" s="6" t="s">
        <v>1862</v>
      </c>
    </row>
    <row r="642">
      <c r="A642" s="2" t="s">
        <v>268</v>
      </c>
      <c r="B642" s="1" t="s">
        <v>269</v>
      </c>
      <c r="C642" s="2" t="s">
        <v>2245</v>
      </c>
      <c r="D642" s="1" t="s">
        <v>2246</v>
      </c>
      <c r="E642" s="6" t="s">
        <v>1846</v>
      </c>
    </row>
    <row r="643">
      <c r="A643" s="2" t="s">
        <v>268</v>
      </c>
      <c r="B643" s="1" t="s">
        <v>269</v>
      </c>
      <c r="C643" s="2" t="s">
        <v>1965</v>
      </c>
      <c r="D643" s="1" t="s">
        <v>1966</v>
      </c>
      <c r="E643" s="6" t="s">
        <v>1846</v>
      </c>
    </row>
    <row r="644">
      <c r="A644" s="2" t="s">
        <v>204</v>
      </c>
      <c r="B644" s="1" t="s">
        <v>205</v>
      </c>
      <c r="C644" s="2" t="s">
        <v>1849</v>
      </c>
      <c r="D644" s="1" t="s">
        <v>1850</v>
      </c>
      <c r="E644" s="6" t="s">
        <v>1853</v>
      </c>
    </row>
    <row r="645">
      <c r="A645" s="2" t="s">
        <v>309</v>
      </c>
      <c r="B645" s="1" t="s">
        <v>310</v>
      </c>
      <c r="C645" s="2" t="s">
        <v>1875</v>
      </c>
      <c r="D645" s="1" t="s">
        <v>1876</v>
      </c>
      <c r="E645" s="6" t="s">
        <v>1853</v>
      </c>
    </row>
    <row r="646">
      <c r="A646" s="2" t="s">
        <v>989</v>
      </c>
      <c r="B646" s="1" t="s">
        <v>990</v>
      </c>
      <c r="C646" s="2" t="s">
        <v>1929</v>
      </c>
      <c r="D646" s="1" t="s">
        <v>1930</v>
      </c>
      <c r="E646" s="6" t="s">
        <v>1853</v>
      </c>
    </row>
    <row r="647">
      <c r="A647" s="2" t="s">
        <v>571</v>
      </c>
      <c r="B647" s="1" t="s">
        <v>572</v>
      </c>
      <c r="C647" s="2" t="s">
        <v>1875</v>
      </c>
      <c r="D647" s="1" t="s">
        <v>1876</v>
      </c>
      <c r="E647" s="6" t="s">
        <v>1846</v>
      </c>
    </row>
    <row r="648">
      <c r="A648" s="2" t="s">
        <v>309</v>
      </c>
      <c r="B648" s="1" t="s">
        <v>310</v>
      </c>
      <c r="C648" s="2" t="s">
        <v>2247</v>
      </c>
      <c r="D648" s="1" t="s">
        <v>2248</v>
      </c>
      <c r="E648" s="6" t="s">
        <v>1862</v>
      </c>
    </row>
    <row r="649">
      <c r="A649" s="2" t="s">
        <v>154</v>
      </c>
      <c r="B649" s="1" t="s">
        <v>155</v>
      </c>
      <c r="C649" s="2" t="s">
        <v>2249</v>
      </c>
      <c r="D649" s="1" t="s">
        <v>2250</v>
      </c>
      <c r="E649" s="6" t="s">
        <v>1862</v>
      </c>
    </row>
    <row r="650">
      <c r="A650" s="2" t="s">
        <v>189</v>
      </c>
      <c r="B650" s="1" t="s">
        <v>190</v>
      </c>
      <c r="C650" s="2" t="s">
        <v>2185</v>
      </c>
      <c r="D650" s="1" t="s">
        <v>2186</v>
      </c>
      <c r="E650" s="6" t="s">
        <v>1846</v>
      </c>
    </row>
    <row r="651">
      <c r="A651" s="2" t="s">
        <v>189</v>
      </c>
      <c r="B651" s="1" t="s">
        <v>190</v>
      </c>
      <c r="C651" s="2" t="s">
        <v>2251</v>
      </c>
      <c r="D651" s="1" t="s">
        <v>2252</v>
      </c>
      <c r="E651" s="6" t="s">
        <v>1853</v>
      </c>
    </row>
    <row r="652">
      <c r="A652" s="2" t="s">
        <v>343</v>
      </c>
      <c r="B652" s="1" t="s">
        <v>344</v>
      </c>
      <c r="C652" s="2" t="s">
        <v>1947</v>
      </c>
      <c r="D652" s="1" t="s">
        <v>1948</v>
      </c>
      <c r="E652" s="6" t="s">
        <v>1853</v>
      </c>
    </row>
    <row r="653">
      <c r="A653" s="2" t="s">
        <v>989</v>
      </c>
      <c r="B653" s="1" t="s">
        <v>990</v>
      </c>
      <c r="C653" s="2" t="s">
        <v>1913</v>
      </c>
      <c r="D653" s="1" t="s">
        <v>1914</v>
      </c>
      <c r="E653" s="6" t="s">
        <v>1862</v>
      </c>
    </row>
    <row r="654">
      <c r="A654" s="2" t="s">
        <v>989</v>
      </c>
      <c r="B654" s="1" t="s">
        <v>990</v>
      </c>
      <c r="C654" s="2" t="s">
        <v>2253</v>
      </c>
      <c r="D654" s="1" t="s">
        <v>2254</v>
      </c>
      <c r="E654" s="6" t="s">
        <v>1862</v>
      </c>
    </row>
    <row r="655">
      <c r="A655" s="2" t="s">
        <v>330</v>
      </c>
      <c r="B655" s="1" t="s">
        <v>331</v>
      </c>
      <c r="C655" s="2" t="s">
        <v>2029</v>
      </c>
      <c r="D655" s="1" t="s">
        <v>2030</v>
      </c>
      <c r="E655" s="6" t="s">
        <v>1862</v>
      </c>
    </row>
    <row r="656">
      <c r="A656" s="2" t="s">
        <v>472</v>
      </c>
      <c r="B656" s="1" t="s">
        <v>473</v>
      </c>
      <c r="C656" s="2" t="s">
        <v>1913</v>
      </c>
      <c r="D656" s="1" t="s">
        <v>1914</v>
      </c>
      <c r="E656" s="6" t="s">
        <v>1862</v>
      </c>
    </row>
    <row r="657">
      <c r="A657" s="2" t="s">
        <v>33</v>
      </c>
      <c r="B657" s="1" t="s">
        <v>34</v>
      </c>
      <c r="C657" s="2" t="s">
        <v>1851</v>
      </c>
      <c r="D657" s="1" t="s">
        <v>1852</v>
      </c>
      <c r="E657" s="6" t="s">
        <v>1853</v>
      </c>
    </row>
    <row r="658">
      <c r="A658" s="2" t="s">
        <v>472</v>
      </c>
      <c r="B658" s="1" t="s">
        <v>473</v>
      </c>
      <c r="C658" s="2" t="s">
        <v>2255</v>
      </c>
      <c r="D658" s="1" t="s">
        <v>2256</v>
      </c>
      <c r="E658" s="6" t="s">
        <v>1846</v>
      </c>
    </row>
    <row r="659">
      <c r="A659" s="2" t="s">
        <v>245</v>
      </c>
      <c r="B659" s="1" t="s">
        <v>246</v>
      </c>
      <c r="C659" s="2" t="s">
        <v>1936</v>
      </c>
      <c r="D659" s="1" t="s">
        <v>1937</v>
      </c>
      <c r="E659" s="6" t="s">
        <v>1853</v>
      </c>
    </row>
    <row r="660">
      <c r="A660" s="2" t="s">
        <v>989</v>
      </c>
      <c r="B660" s="1" t="s">
        <v>990</v>
      </c>
      <c r="C660" s="2" t="s">
        <v>1938</v>
      </c>
      <c r="D660" s="1" t="s">
        <v>1939</v>
      </c>
      <c r="E660" s="6" t="s">
        <v>1853</v>
      </c>
    </row>
    <row r="661">
      <c r="A661" s="2" t="s">
        <v>33</v>
      </c>
      <c r="B661" s="1" t="s">
        <v>34</v>
      </c>
      <c r="C661" s="2" t="s">
        <v>1899</v>
      </c>
      <c r="D661" s="1" t="s">
        <v>1900</v>
      </c>
      <c r="E661" s="6" t="s">
        <v>1853</v>
      </c>
    </row>
    <row r="662">
      <c r="A662" s="2" t="s">
        <v>749</v>
      </c>
      <c r="B662" s="1" t="s">
        <v>750</v>
      </c>
      <c r="C662" s="2" t="s">
        <v>1849</v>
      </c>
      <c r="D662" s="1" t="s">
        <v>1850</v>
      </c>
      <c r="E662" s="6" t="s">
        <v>1853</v>
      </c>
    </row>
    <row r="663">
      <c r="A663" s="2" t="s">
        <v>204</v>
      </c>
      <c r="B663" s="1" t="s">
        <v>205</v>
      </c>
      <c r="C663" s="2" t="s">
        <v>1885</v>
      </c>
      <c r="D663" s="1" t="s">
        <v>1886</v>
      </c>
      <c r="E663" s="6" t="s">
        <v>1853</v>
      </c>
    </row>
    <row r="664">
      <c r="A664" s="2" t="s">
        <v>1660</v>
      </c>
      <c r="B664" s="1" t="s">
        <v>1661</v>
      </c>
      <c r="C664" s="2" t="s">
        <v>1936</v>
      </c>
      <c r="D664" s="1" t="s">
        <v>1937</v>
      </c>
      <c r="E664" s="6" t="s">
        <v>1853</v>
      </c>
    </row>
    <row r="665">
      <c r="A665" s="2" t="s">
        <v>741</v>
      </c>
      <c r="B665" s="1" t="s">
        <v>742</v>
      </c>
      <c r="C665" s="2" t="s">
        <v>2257</v>
      </c>
      <c r="D665" s="1" t="s">
        <v>2258</v>
      </c>
      <c r="E665" s="6" t="s">
        <v>1846</v>
      </c>
    </row>
    <row r="666">
      <c r="A666" s="2" t="s">
        <v>731</v>
      </c>
      <c r="B666" s="1" t="s">
        <v>732</v>
      </c>
      <c r="C666" s="2" t="s">
        <v>2259</v>
      </c>
      <c r="D666" s="1" t="s">
        <v>2260</v>
      </c>
      <c r="E666" s="6" t="s">
        <v>1853</v>
      </c>
    </row>
    <row r="667">
      <c r="A667" s="2" t="s">
        <v>1660</v>
      </c>
      <c r="B667" s="1" t="s">
        <v>1661</v>
      </c>
      <c r="C667" s="2" t="s">
        <v>2073</v>
      </c>
      <c r="D667" s="1" t="s">
        <v>2074</v>
      </c>
      <c r="E667" s="6" t="s">
        <v>1853</v>
      </c>
    </row>
    <row r="668">
      <c r="A668" s="2" t="s">
        <v>1198</v>
      </c>
      <c r="B668" s="1" t="s">
        <v>1199</v>
      </c>
      <c r="C668" s="2" t="s">
        <v>1985</v>
      </c>
      <c r="D668" s="1" t="s">
        <v>1986</v>
      </c>
      <c r="E668" s="6" t="s">
        <v>1862</v>
      </c>
    </row>
    <row r="669">
      <c r="A669" s="2" t="s">
        <v>549</v>
      </c>
      <c r="B669" s="1" t="s">
        <v>550</v>
      </c>
      <c r="C669" s="2" t="s">
        <v>1929</v>
      </c>
      <c r="D669" s="1" t="s">
        <v>1930</v>
      </c>
      <c r="E669" s="6" t="s">
        <v>1853</v>
      </c>
    </row>
    <row r="670">
      <c r="A670" s="2" t="s">
        <v>1660</v>
      </c>
      <c r="B670" s="1" t="s">
        <v>1661</v>
      </c>
      <c r="C670" s="2" t="s">
        <v>2261</v>
      </c>
      <c r="D670" s="1" t="s">
        <v>2262</v>
      </c>
      <c r="E670" s="6" t="s">
        <v>1853</v>
      </c>
    </row>
    <row r="671">
      <c r="A671" s="2" t="s">
        <v>106</v>
      </c>
      <c r="B671" s="1" t="s">
        <v>107</v>
      </c>
      <c r="C671" s="2" t="s">
        <v>2065</v>
      </c>
      <c r="D671" s="1" t="s">
        <v>2066</v>
      </c>
      <c r="E671" s="6" t="s">
        <v>1853</v>
      </c>
    </row>
    <row r="672">
      <c r="A672" s="2" t="s">
        <v>130</v>
      </c>
      <c r="B672" s="1" t="s">
        <v>131</v>
      </c>
      <c r="C672" s="2" t="s">
        <v>1849</v>
      </c>
      <c r="D672" s="1" t="s">
        <v>1850</v>
      </c>
      <c r="E672" s="6" t="s">
        <v>1853</v>
      </c>
    </row>
    <row r="673">
      <c r="A673" s="2" t="s">
        <v>749</v>
      </c>
      <c r="B673" s="1" t="s">
        <v>750</v>
      </c>
      <c r="C673" s="2" t="s">
        <v>1860</v>
      </c>
      <c r="D673" s="1" t="s">
        <v>1861</v>
      </c>
      <c r="E673" s="6" t="s">
        <v>1862</v>
      </c>
    </row>
    <row r="674">
      <c r="A674" s="2" t="s">
        <v>1660</v>
      </c>
      <c r="B674" s="1" t="s">
        <v>1661</v>
      </c>
      <c r="C674" s="2" t="s">
        <v>1929</v>
      </c>
      <c r="D674" s="1" t="s">
        <v>1930</v>
      </c>
      <c r="E674" s="6" t="s">
        <v>1853</v>
      </c>
    </row>
    <row r="675">
      <c r="A675" s="2" t="s">
        <v>245</v>
      </c>
      <c r="B675" s="1" t="s">
        <v>246</v>
      </c>
      <c r="C675" s="2" t="s">
        <v>2263</v>
      </c>
      <c r="D675" s="1" t="s">
        <v>2264</v>
      </c>
      <c r="E675" s="6" t="s">
        <v>1853</v>
      </c>
    </row>
    <row r="676">
      <c r="A676" s="2" t="s">
        <v>245</v>
      </c>
      <c r="B676" s="1" t="s">
        <v>246</v>
      </c>
      <c r="C676" s="2" t="s">
        <v>1913</v>
      </c>
      <c r="D676" s="1" t="s">
        <v>1914</v>
      </c>
      <c r="E676" s="6" t="s">
        <v>1862</v>
      </c>
    </row>
    <row r="677">
      <c r="A677" s="2" t="s">
        <v>106</v>
      </c>
      <c r="B677" s="1" t="s">
        <v>107</v>
      </c>
      <c r="C677" s="2" t="s">
        <v>1913</v>
      </c>
      <c r="D677" s="1" t="s">
        <v>1914</v>
      </c>
      <c r="E677" s="6" t="s">
        <v>1862</v>
      </c>
    </row>
    <row r="678">
      <c r="A678" s="2" t="s">
        <v>437</v>
      </c>
      <c r="B678" s="1" t="s">
        <v>438</v>
      </c>
      <c r="C678" s="2" t="s">
        <v>1851</v>
      </c>
      <c r="D678" s="1" t="s">
        <v>1852</v>
      </c>
      <c r="E678" s="6" t="s">
        <v>1853</v>
      </c>
    </row>
    <row r="679">
      <c r="A679" s="2" t="s">
        <v>1259</v>
      </c>
      <c r="B679" s="1" t="s">
        <v>1260</v>
      </c>
      <c r="C679" s="2" t="s">
        <v>1993</v>
      </c>
      <c r="D679" s="1" t="s">
        <v>1994</v>
      </c>
      <c r="E679" s="6" t="s">
        <v>1862</v>
      </c>
    </row>
    <row r="680">
      <c r="A680" s="2" t="s">
        <v>1057</v>
      </c>
      <c r="B680" s="1" t="s">
        <v>1058</v>
      </c>
      <c r="C680" s="2" t="s">
        <v>2265</v>
      </c>
      <c r="D680" s="1" t="s">
        <v>2266</v>
      </c>
      <c r="E680" s="6" t="s">
        <v>1846</v>
      </c>
    </row>
    <row r="681">
      <c r="A681" s="2" t="s">
        <v>1057</v>
      </c>
      <c r="B681" s="1" t="s">
        <v>1058</v>
      </c>
      <c r="C681" s="2" t="s">
        <v>2267</v>
      </c>
      <c r="D681" s="1" t="s">
        <v>2268</v>
      </c>
      <c r="E681" s="6" t="s">
        <v>1846</v>
      </c>
    </row>
    <row r="682">
      <c r="A682" s="2" t="s">
        <v>5</v>
      </c>
      <c r="B682" s="1" t="s">
        <v>6</v>
      </c>
      <c r="C682" s="2" t="s">
        <v>1851</v>
      </c>
      <c r="D682" s="1" t="s">
        <v>1852</v>
      </c>
      <c r="E682" s="6" t="s">
        <v>1853</v>
      </c>
    </row>
    <row r="683">
      <c r="A683" s="2" t="s">
        <v>1259</v>
      </c>
      <c r="B683" s="1" t="s">
        <v>1260</v>
      </c>
      <c r="C683" s="2" t="s">
        <v>1901</v>
      </c>
      <c r="D683" s="1" t="s">
        <v>1902</v>
      </c>
      <c r="E683" s="6" t="s">
        <v>1862</v>
      </c>
    </row>
    <row r="684">
      <c r="A684" s="2" t="s">
        <v>1253</v>
      </c>
      <c r="B684" s="1" t="s">
        <v>1254</v>
      </c>
      <c r="C684" s="2" t="s">
        <v>1871</v>
      </c>
      <c r="D684" s="1" t="s">
        <v>1872</v>
      </c>
      <c r="E684" s="6" t="s">
        <v>1846</v>
      </c>
    </row>
    <row r="685">
      <c r="A685" s="2" t="s">
        <v>950</v>
      </c>
      <c r="B685" s="1" t="s">
        <v>951</v>
      </c>
      <c r="C685" s="2" t="s">
        <v>2251</v>
      </c>
      <c r="D685" s="1" t="s">
        <v>2252</v>
      </c>
      <c r="E685" s="6" t="s">
        <v>1853</v>
      </c>
    </row>
    <row r="686">
      <c r="A686" s="2" t="s">
        <v>1444</v>
      </c>
      <c r="B686" s="1" t="s">
        <v>1445</v>
      </c>
      <c r="C686" s="2" t="s">
        <v>2269</v>
      </c>
      <c r="D686" s="1" t="s">
        <v>2270</v>
      </c>
      <c r="E686" s="6" t="s">
        <v>1853</v>
      </c>
    </row>
    <row r="687">
      <c r="A687" s="2" t="s">
        <v>950</v>
      </c>
      <c r="B687" s="1" t="s">
        <v>951</v>
      </c>
      <c r="C687" s="2" t="s">
        <v>2271</v>
      </c>
      <c r="D687" s="1" t="s">
        <v>2272</v>
      </c>
      <c r="E687" s="6" t="s">
        <v>1846</v>
      </c>
    </row>
    <row r="688">
      <c r="A688" s="2" t="s">
        <v>1636</v>
      </c>
      <c r="B688" s="1" t="s">
        <v>1637</v>
      </c>
      <c r="C688" s="2" t="s">
        <v>2273</v>
      </c>
      <c r="D688" s="1" t="s">
        <v>2274</v>
      </c>
      <c r="E688" s="6" t="s">
        <v>1846</v>
      </c>
    </row>
    <row r="689">
      <c r="A689" s="2" t="s">
        <v>1665</v>
      </c>
      <c r="B689" s="1" t="s">
        <v>1666</v>
      </c>
      <c r="C689" s="2" t="s">
        <v>1911</v>
      </c>
      <c r="D689" s="1" t="s">
        <v>1912</v>
      </c>
      <c r="E689" s="6" t="s">
        <v>1862</v>
      </c>
    </row>
    <row r="690">
      <c r="A690" s="2" t="s">
        <v>1636</v>
      </c>
      <c r="B690" s="1" t="s">
        <v>1637</v>
      </c>
      <c r="C690" s="2" t="s">
        <v>1849</v>
      </c>
      <c r="D690" s="1" t="s">
        <v>1850</v>
      </c>
      <c r="E690" s="6" t="s">
        <v>1853</v>
      </c>
    </row>
    <row r="691">
      <c r="A691" s="2" t="s">
        <v>1636</v>
      </c>
      <c r="B691" s="1" t="s">
        <v>1637</v>
      </c>
      <c r="C691" s="2" t="s">
        <v>1849</v>
      </c>
      <c r="D691" s="1" t="s">
        <v>1850</v>
      </c>
      <c r="E691" s="6" t="s">
        <v>1846</v>
      </c>
    </row>
    <row r="692">
      <c r="A692" s="2" t="s">
        <v>1057</v>
      </c>
      <c r="B692" s="1" t="s">
        <v>1058</v>
      </c>
      <c r="C692" s="2" t="s">
        <v>1877</v>
      </c>
      <c r="D692" s="1" t="s">
        <v>1878</v>
      </c>
      <c r="E692" s="6" t="s">
        <v>1862</v>
      </c>
    </row>
    <row r="693">
      <c r="A693" s="2" t="s">
        <v>908</v>
      </c>
      <c r="B693" s="1" t="s">
        <v>909</v>
      </c>
      <c r="C693" s="2" t="s">
        <v>1929</v>
      </c>
      <c r="D693" s="1" t="s">
        <v>1930</v>
      </c>
      <c r="E693" s="6" t="s">
        <v>1853</v>
      </c>
    </row>
    <row r="694">
      <c r="A694" s="2" t="s">
        <v>908</v>
      </c>
      <c r="B694" s="1" t="s">
        <v>909</v>
      </c>
      <c r="C694" s="2" t="s">
        <v>1929</v>
      </c>
      <c r="D694" s="1" t="s">
        <v>1930</v>
      </c>
      <c r="E694" s="6" t="s">
        <v>1846</v>
      </c>
    </row>
    <row r="695">
      <c r="A695" s="2" t="s">
        <v>1057</v>
      </c>
      <c r="B695" s="1" t="s">
        <v>1058</v>
      </c>
      <c r="C695" s="2" t="s">
        <v>1847</v>
      </c>
      <c r="D695" s="1" t="s">
        <v>1848</v>
      </c>
      <c r="E695" s="6" t="s">
        <v>1846</v>
      </c>
    </row>
    <row r="696">
      <c r="A696" s="2" t="s">
        <v>913</v>
      </c>
      <c r="B696" s="1" t="s">
        <v>914</v>
      </c>
      <c r="C696" s="2" t="s">
        <v>1913</v>
      </c>
      <c r="D696" s="1" t="s">
        <v>1914</v>
      </c>
      <c r="E696" s="6" t="s">
        <v>1862</v>
      </c>
    </row>
    <row r="697">
      <c r="A697" s="2" t="s">
        <v>980</v>
      </c>
      <c r="B697" s="1" t="s">
        <v>981</v>
      </c>
      <c r="C697" s="2" t="s">
        <v>1885</v>
      </c>
      <c r="D697" s="1" t="s">
        <v>1886</v>
      </c>
      <c r="E697" s="6" t="s">
        <v>1853</v>
      </c>
    </row>
    <row r="698">
      <c r="A698" s="2" t="s">
        <v>1636</v>
      </c>
      <c r="B698" s="1" t="s">
        <v>1637</v>
      </c>
      <c r="C698" s="2" t="s">
        <v>1875</v>
      </c>
      <c r="D698" s="1" t="s">
        <v>1876</v>
      </c>
      <c r="E698" s="6" t="s">
        <v>1853</v>
      </c>
    </row>
    <row r="699">
      <c r="A699" s="2" t="s">
        <v>382</v>
      </c>
      <c r="B699" s="1" t="s">
        <v>383</v>
      </c>
      <c r="C699" s="2" t="s">
        <v>1851</v>
      </c>
      <c r="D699" s="1" t="s">
        <v>1852</v>
      </c>
      <c r="E699" s="6" t="s">
        <v>1853</v>
      </c>
    </row>
    <row r="700">
      <c r="A700" s="2" t="s">
        <v>922</v>
      </c>
      <c r="B700" s="1" t="s">
        <v>923</v>
      </c>
      <c r="C700" s="2" t="s">
        <v>1931</v>
      </c>
      <c r="D700" s="1" t="s">
        <v>1932</v>
      </c>
      <c r="E700" s="6" t="s">
        <v>1853</v>
      </c>
    </row>
    <row r="701">
      <c r="A701" s="2" t="s">
        <v>1618</v>
      </c>
      <c r="B701" s="1" t="s">
        <v>1619</v>
      </c>
      <c r="C701" s="2" t="s">
        <v>1844</v>
      </c>
      <c r="D701" s="1" t="s">
        <v>1845</v>
      </c>
      <c r="E701" s="6" t="s">
        <v>1846</v>
      </c>
    </row>
    <row r="702">
      <c r="A702" s="2" t="s">
        <v>1259</v>
      </c>
      <c r="B702" s="1" t="s">
        <v>1260</v>
      </c>
      <c r="C702" s="2" t="s">
        <v>1877</v>
      </c>
      <c r="D702" s="1" t="s">
        <v>1878</v>
      </c>
      <c r="E702" s="6" t="s">
        <v>1862</v>
      </c>
    </row>
    <row r="703">
      <c r="A703" s="2" t="s">
        <v>908</v>
      </c>
      <c r="B703" s="1" t="s">
        <v>909</v>
      </c>
      <c r="C703" s="2" t="s">
        <v>1913</v>
      </c>
      <c r="D703" s="1" t="s">
        <v>1914</v>
      </c>
      <c r="E703" s="6" t="s">
        <v>1862</v>
      </c>
    </row>
    <row r="704">
      <c r="A704" s="2" t="s">
        <v>1630</v>
      </c>
      <c r="B704" s="1" t="s">
        <v>1631</v>
      </c>
      <c r="C704" s="2" t="s">
        <v>2085</v>
      </c>
      <c r="D704" s="1" t="s">
        <v>2086</v>
      </c>
      <c r="E704" s="6" t="s">
        <v>1853</v>
      </c>
    </row>
    <row r="705">
      <c r="A705" s="2" t="s">
        <v>908</v>
      </c>
      <c r="B705" s="1" t="s">
        <v>909</v>
      </c>
      <c r="C705" s="2" t="s">
        <v>2275</v>
      </c>
      <c r="D705" s="1" t="s">
        <v>2276</v>
      </c>
      <c r="E705" s="6" t="s">
        <v>1846</v>
      </c>
    </row>
    <row r="706">
      <c r="A706" s="2" t="s">
        <v>922</v>
      </c>
      <c r="B706" s="1" t="s">
        <v>923</v>
      </c>
      <c r="C706" s="2" t="s">
        <v>1929</v>
      </c>
      <c r="D706" s="1" t="s">
        <v>1930</v>
      </c>
      <c r="E706" s="6" t="s">
        <v>1853</v>
      </c>
    </row>
    <row r="707">
      <c r="A707" s="2" t="s">
        <v>1636</v>
      </c>
      <c r="B707" s="1" t="s">
        <v>1637</v>
      </c>
      <c r="C707" s="2" t="s">
        <v>1885</v>
      </c>
      <c r="D707" s="1" t="s">
        <v>1886</v>
      </c>
      <c r="E707" s="6" t="s">
        <v>1853</v>
      </c>
    </row>
    <row r="708">
      <c r="A708" s="2" t="s">
        <v>908</v>
      </c>
      <c r="B708" s="1" t="s">
        <v>909</v>
      </c>
      <c r="C708" s="2" t="s">
        <v>1938</v>
      </c>
      <c r="D708" s="1" t="s">
        <v>1939</v>
      </c>
      <c r="E708" s="6" t="s">
        <v>1853</v>
      </c>
    </row>
    <row r="709">
      <c r="A709" s="2" t="s">
        <v>1444</v>
      </c>
      <c r="B709" s="1" t="s">
        <v>1445</v>
      </c>
      <c r="C709" s="2" t="s">
        <v>2277</v>
      </c>
      <c r="D709" s="1" t="s">
        <v>2278</v>
      </c>
      <c r="E709" s="6" t="s">
        <v>1862</v>
      </c>
    </row>
    <row r="710">
      <c r="A710" s="2" t="s">
        <v>1665</v>
      </c>
      <c r="B710" s="1" t="s">
        <v>1666</v>
      </c>
      <c r="C710" s="2" t="s">
        <v>1936</v>
      </c>
      <c r="D710" s="1" t="s">
        <v>1937</v>
      </c>
      <c r="E710" s="6" t="s">
        <v>1853</v>
      </c>
    </row>
    <row r="711">
      <c r="A711" s="2" t="s">
        <v>1665</v>
      </c>
      <c r="B711" s="1" t="s">
        <v>1666</v>
      </c>
      <c r="C711" s="2" t="s">
        <v>1936</v>
      </c>
      <c r="D711" s="1" t="s">
        <v>1937</v>
      </c>
      <c r="E711" s="6" t="s">
        <v>1846</v>
      </c>
    </row>
    <row r="712">
      <c r="A712" s="2" t="s">
        <v>1618</v>
      </c>
      <c r="B712" s="1" t="s">
        <v>1619</v>
      </c>
      <c r="C712" s="2" t="s">
        <v>2033</v>
      </c>
      <c r="D712" s="1" t="s">
        <v>2034</v>
      </c>
      <c r="E712" s="6" t="s">
        <v>1846</v>
      </c>
    </row>
    <row r="713">
      <c r="A713" s="2" t="s">
        <v>1808</v>
      </c>
      <c r="B713" s="1" t="s">
        <v>1809</v>
      </c>
      <c r="C713" s="2" t="s">
        <v>1851</v>
      </c>
      <c r="D713" s="1" t="s">
        <v>1852</v>
      </c>
      <c r="E713" s="6" t="s">
        <v>1853</v>
      </c>
    </row>
    <row r="714">
      <c r="A714" s="2" t="s">
        <v>1444</v>
      </c>
      <c r="B714" s="1" t="s">
        <v>1445</v>
      </c>
      <c r="C714" s="2" t="s">
        <v>2279</v>
      </c>
      <c r="D714" s="1" t="s">
        <v>2280</v>
      </c>
      <c r="E714" s="6" t="s">
        <v>1862</v>
      </c>
    </row>
    <row r="715">
      <c r="A715" s="2" t="s">
        <v>908</v>
      </c>
      <c r="B715" s="1" t="s">
        <v>909</v>
      </c>
      <c r="C715" s="2" t="s">
        <v>2281</v>
      </c>
      <c r="D715" s="1" t="s">
        <v>2282</v>
      </c>
      <c r="E715" s="6" t="s">
        <v>1862</v>
      </c>
    </row>
    <row r="716">
      <c r="A716" s="2" t="s">
        <v>1636</v>
      </c>
      <c r="B716" s="1" t="s">
        <v>1637</v>
      </c>
      <c r="C716" s="2" t="s">
        <v>1895</v>
      </c>
      <c r="D716" s="1" t="s">
        <v>1896</v>
      </c>
      <c r="E716" s="6" t="s">
        <v>1846</v>
      </c>
    </row>
    <row r="717">
      <c r="A717" s="2" t="s">
        <v>1444</v>
      </c>
      <c r="B717" s="1" t="s">
        <v>1445</v>
      </c>
      <c r="C717" s="2" t="s">
        <v>2283</v>
      </c>
      <c r="D717" s="1" t="s">
        <v>2284</v>
      </c>
      <c r="E717" s="6" t="s">
        <v>1862</v>
      </c>
    </row>
    <row r="718">
      <c r="A718" s="2" t="s">
        <v>1624</v>
      </c>
      <c r="B718" s="1" t="s">
        <v>1625</v>
      </c>
      <c r="C718" s="2" t="s">
        <v>2285</v>
      </c>
      <c r="D718" s="1" t="s">
        <v>2286</v>
      </c>
      <c r="E718" s="6" t="s">
        <v>1846</v>
      </c>
    </row>
    <row r="719">
      <c r="A719" s="2" t="s">
        <v>1634</v>
      </c>
      <c r="B719" s="1" t="s">
        <v>1635</v>
      </c>
      <c r="C719" s="2" t="s">
        <v>1849</v>
      </c>
      <c r="D719" s="1" t="s">
        <v>1850</v>
      </c>
      <c r="E719" s="6" t="s">
        <v>1853</v>
      </c>
    </row>
    <row r="720">
      <c r="A720" s="2" t="s">
        <v>1665</v>
      </c>
      <c r="B720" s="1" t="s">
        <v>1666</v>
      </c>
      <c r="C720" s="2" t="s">
        <v>2263</v>
      </c>
      <c r="D720" s="1" t="s">
        <v>2264</v>
      </c>
      <c r="E720" s="6" t="s">
        <v>1846</v>
      </c>
    </row>
    <row r="721">
      <c r="A721" s="2" t="s">
        <v>1057</v>
      </c>
      <c r="B721" s="1" t="s">
        <v>1058</v>
      </c>
      <c r="C721" s="2" t="s">
        <v>1869</v>
      </c>
      <c r="D721" s="1" t="s">
        <v>1870</v>
      </c>
      <c r="E721" s="6" t="s">
        <v>1846</v>
      </c>
    </row>
    <row r="722">
      <c r="A722" s="2" t="s">
        <v>1665</v>
      </c>
      <c r="B722" s="1" t="s">
        <v>1666</v>
      </c>
      <c r="C722" s="2" t="s">
        <v>1913</v>
      </c>
      <c r="D722" s="1" t="s">
        <v>1914</v>
      </c>
      <c r="E722" s="6" t="s">
        <v>1862</v>
      </c>
    </row>
    <row r="723">
      <c r="A723" s="2" t="s">
        <v>1057</v>
      </c>
      <c r="B723" s="1" t="s">
        <v>1058</v>
      </c>
      <c r="C723" s="2" t="s">
        <v>1985</v>
      </c>
      <c r="D723" s="1" t="s">
        <v>1986</v>
      </c>
      <c r="E723" s="6" t="s">
        <v>1862</v>
      </c>
    </row>
    <row r="724">
      <c r="A724" s="2" t="s">
        <v>1630</v>
      </c>
      <c r="B724" s="1" t="s">
        <v>1631</v>
      </c>
      <c r="C724" s="2" t="s">
        <v>2011</v>
      </c>
      <c r="D724" s="1" t="s">
        <v>2012</v>
      </c>
      <c r="E724" s="6" t="s">
        <v>1846</v>
      </c>
    </row>
    <row r="725">
      <c r="A725" s="2" t="s">
        <v>372</v>
      </c>
      <c r="B725" s="1" t="s">
        <v>373</v>
      </c>
      <c r="C725" s="2" t="s">
        <v>2287</v>
      </c>
      <c r="D725" s="1" t="s">
        <v>2288</v>
      </c>
      <c r="E725" s="6" t="s">
        <v>1846</v>
      </c>
    </row>
    <row r="726">
      <c r="A726" s="2" t="s">
        <v>1122</v>
      </c>
      <c r="B726" s="1" t="s">
        <v>1123</v>
      </c>
      <c r="C726" s="2" t="s">
        <v>1885</v>
      </c>
      <c r="D726" s="1" t="s">
        <v>1886</v>
      </c>
      <c r="E726" s="6" t="s">
        <v>1853</v>
      </c>
    </row>
    <row r="727">
      <c r="A727" s="2" t="s">
        <v>372</v>
      </c>
      <c r="B727" s="1" t="s">
        <v>373</v>
      </c>
      <c r="C727" s="2" t="s">
        <v>2037</v>
      </c>
      <c r="D727" s="1" t="s">
        <v>2038</v>
      </c>
      <c r="E727" s="6" t="s">
        <v>1853</v>
      </c>
    </row>
    <row r="728">
      <c r="A728" s="2" t="s">
        <v>372</v>
      </c>
      <c r="B728" s="1" t="s">
        <v>373</v>
      </c>
      <c r="C728" s="2" t="s">
        <v>2037</v>
      </c>
      <c r="D728" s="1" t="s">
        <v>2038</v>
      </c>
      <c r="E728" s="6" t="s">
        <v>1846</v>
      </c>
    </row>
    <row r="729">
      <c r="A729" s="2" t="s">
        <v>1634</v>
      </c>
      <c r="B729" s="1" t="s">
        <v>1635</v>
      </c>
      <c r="C729" s="2" t="s">
        <v>1875</v>
      </c>
      <c r="D729" s="1" t="s">
        <v>1876</v>
      </c>
      <c r="E729" s="6" t="s">
        <v>1853</v>
      </c>
    </row>
    <row r="730">
      <c r="A730" s="2" t="s">
        <v>922</v>
      </c>
      <c r="B730" s="1" t="s">
        <v>923</v>
      </c>
      <c r="C730" s="2" t="s">
        <v>1851</v>
      </c>
      <c r="D730" s="1" t="s">
        <v>1852</v>
      </c>
      <c r="E730" s="6" t="s">
        <v>1853</v>
      </c>
    </row>
    <row r="731">
      <c r="A731" s="2" t="s">
        <v>437</v>
      </c>
      <c r="B731" s="1" t="s">
        <v>438</v>
      </c>
      <c r="C731" s="2" t="s">
        <v>1849</v>
      </c>
      <c r="D731" s="1" t="s">
        <v>1850</v>
      </c>
      <c r="E731" s="6" t="s">
        <v>1853</v>
      </c>
    </row>
    <row r="732">
      <c r="A732" s="2" t="s">
        <v>922</v>
      </c>
      <c r="B732" s="1" t="s">
        <v>923</v>
      </c>
      <c r="C732" s="2" t="s">
        <v>1901</v>
      </c>
      <c r="D732" s="1" t="s">
        <v>1902</v>
      </c>
      <c r="E732" s="6" t="s">
        <v>1862</v>
      </c>
    </row>
    <row r="733">
      <c r="A733" s="2" t="s">
        <v>372</v>
      </c>
      <c r="B733" s="1" t="s">
        <v>373</v>
      </c>
      <c r="C733" s="2" t="s">
        <v>2047</v>
      </c>
      <c r="D733" s="1" t="s">
        <v>2048</v>
      </c>
      <c r="E733" s="6" t="s">
        <v>1862</v>
      </c>
    </row>
    <row r="734">
      <c r="A734" s="2" t="s">
        <v>1122</v>
      </c>
      <c r="B734" s="1" t="s">
        <v>1123</v>
      </c>
      <c r="C734" s="2" t="s">
        <v>1895</v>
      </c>
      <c r="D734" s="1" t="s">
        <v>1896</v>
      </c>
      <c r="E734" s="6" t="s">
        <v>1846</v>
      </c>
    </row>
    <row r="735">
      <c r="A735" s="2" t="s">
        <v>1444</v>
      </c>
      <c r="B735" s="1" t="s">
        <v>1445</v>
      </c>
      <c r="C735" s="2" t="s">
        <v>2289</v>
      </c>
      <c r="D735" s="1" t="s">
        <v>2290</v>
      </c>
      <c r="E735" s="6" t="s">
        <v>1862</v>
      </c>
    </row>
    <row r="736">
      <c r="A736" s="2" t="s">
        <v>437</v>
      </c>
      <c r="B736" s="1" t="s">
        <v>438</v>
      </c>
      <c r="C736" s="2" t="s">
        <v>1875</v>
      </c>
      <c r="D736" s="1" t="s">
        <v>1876</v>
      </c>
      <c r="E736" s="6" t="s">
        <v>1846</v>
      </c>
    </row>
    <row r="737">
      <c r="A737" s="2" t="s">
        <v>1093</v>
      </c>
      <c r="B737" s="1" t="s">
        <v>1094</v>
      </c>
      <c r="C737" s="2" t="s">
        <v>2089</v>
      </c>
      <c r="D737" s="1" t="s">
        <v>2090</v>
      </c>
      <c r="E737" s="6" t="s">
        <v>1846</v>
      </c>
    </row>
    <row r="738">
      <c r="A738" s="2" t="s">
        <v>940</v>
      </c>
      <c r="B738" s="1" t="s">
        <v>941</v>
      </c>
      <c r="C738" s="2" t="s">
        <v>1851</v>
      </c>
      <c r="D738" s="1" t="s">
        <v>1852</v>
      </c>
      <c r="E738" s="6" t="s">
        <v>1853</v>
      </c>
    </row>
    <row r="739">
      <c r="A739" s="2" t="s">
        <v>950</v>
      </c>
      <c r="B739" s="1" t="s">
        <v>951</v>
      </c>
      <c r="C739" s="2" t="s">
        <v>1913</v>
      </c>
      <c r="D739" s="1" t="s">
        <v>1914</v>
      </c>
      <c r="E739" s="6" t="s">
        <v>1862</v>
      </c>
    </row>
    <row r="740">
      <c r="A740" s="2" t="s">
        <v>980</v>
      </c>
      <c r="B740" s="1" t="s">
        <v>981</v>
      </c>
      <c r="C740" s="2" t="s">
        <v>1844</v>
      </c>
      <c r="D740" s="1" t="s">
        <v>1845</v>
      </c>
      <c r="E740" s="6" t="s">
        <v>1853</v>
      </c>
    </row>
    <row r="741">
      <c r="A741" s="2" t="s">
        <v>1122</v>
      </c>
      <c r="B741" s="1" t="s">
        <v>1123</v>
      </c>
      <c r="C741" s="2" t="s">
        <v>1965</v>
      </c>
      <c r="D741" s="1" t="s">
        <v>1966</v>
      </c>
      <c r="E741" s="6" t="s">
        <v>1846</v>
      </c>
    </row>
    <row r="742">
      <c r="A742" s="2" t="s">
        <v>913</v>
      </c>
      <c r="B742" s="1" t="s">
        <v>914</v>
      </c>
      <c r="C742" s="2" t="s">
        <v>2291</v>
      </c>
      <c r="D742" s="1" t="s">
        <v>2292</v>
      </c>
      <c r="E742" s="6" t="s">
        <v>1862</v>
      </c>
    </row>
    <row r="743">
      <c r="A743" s="2" t="s">
        <v>1057</v>
      </c>
      <c r="B743" s="1" t="s">
        <v>1058</v>
      </c>
      <c r="C743" s="2" t="s">
        <v>1933</v>
      </c>
      <c r="D743" s="1" t="s">
        <v>1900</v>
      </c>
      <c r="E743" s="6" t="s">
        <v>1846</v>
      </c>
    </row>
    <row r="744">
      <c r="A744" s="2" t="s">
        <v>1444</v>
      </c>
      <c r="B744" s="1" t="s">
        <v>1445</v>
      </c>
      <c r="C744" s="2" t="s">
        <v>2293</v>
      </c>
      <c r="D744" s="1" t="s">
        <v>2294</v>
      </c>
      <c r="E744" s="6" t="s">
        <v>1862</v>
      </c>
    </row>
    <row r="745">
      <c r="A745" s="2" t="s">
        <v>922</v>
      </c>
      <c r="B745" s="1" t="s">
        <v>923</v>
      </c>
      <c r="C745" s="2" t="s">
        <v>2295</v>
      </c>
      <c r="D745" s="1" t="s">
        <v>2296</v>
      </c>
      <c r="E745" s="6" t="s">
        <v>1862</v>
      </c>
    </row>
    <row r="746">
      <c r="A746" s="2" t="s">
        <v>428</v>
      </c>
      <c r="B746" s="1" t="s">
        <v>429</v>
      </c>
      <c r="C746" s="2" t="s">
        <v>1851</v>
      </c>
      <c r="D746" s="1" t="s">
        <v>1852</v>
      </c>
      <c r="E746" s="6" t="s">
        <v>1853</v>
      </c>
    </row>
    <row r="747">
      <c r="A747" s="2" t="s">
        <v>797</v>
      </c>
      <c r="B747" s="1" t="s">
        <v>798</v>
      </c>
      <c r="C747" s="2" t="s">
        <v>2297</v>
      </c>
      <c r="D747" s="1" t="s">
        <v>2298</v>
      </c>
      <c r="E747" s="6" t="s">
        <v>1846</v>
      </c>
    </row>
    <row r="748">
      <c r="A748" s="2" t="s">
        <v>584</v>
      </c>
      <c r="B748" s="1" t="s">
        <v>585</v>
      </c>
      <c r="C748" s="2" t="s">
        <v>1851</v>
      </c>
      <c r="D748" s="1" t="s">
        <v>1852</v>
      </c>
      <c r="E748" s="6" t="s">
        <v>1853</v>
      </c>
    </row>
    <row r="749">
      <c r="A749" s="2" t="s">
        <v>1334</v>
      </c>
      <c r="B749" s="1" t="s">
        <v>1335</v>
      </c>
      <c r="C749" s="2" t="s">
        <v>1851</v>
      </c>
      <c r="D749" s="1" t="s">
        <v>1852</v>
      </c>
      <c r="E749" s="6" t="s">
        <v>1853</v>
      </c>
    </row>
    <row r="750">
      <c r="A750" s="2" t="s">
        <v>1700</v>
      </c>
      <c r="B750" s="1" t="s">
        <v>1701</v>
      </c>
      <c r="C750" s="2" t="s">
        <v>1849</v>
      </c>
      <c r="D750" s="1" t="s">
        <v>1850</v>
      </c>
      <c r="E750" s="6" t="s">
        <v>1853</v>
      </c>
    </row>
    <row r="751">
      <c r="A751" s="2" t="s">
        <v>874</v>
      </c>
      <c r="B751" s="1" t="s">
        <v>875</v>
      </c>
      <c r="C751" s="2" t="s">
        <v>1899</v>
      </c>
      <c r="D751" s="1" t="s">
        <v>1900</v>
      </c>
      <c r="E751" s="6" t="s">
        <v>1846</v>
      </c>
    </row>
    <row r="752">
      <c r="A752" s="2" t="s">
        <v>1148</v>
      </c>
      <c r="B752" s="1" t="s">
        <v>1149</v>
      </c>
      <c r="C752" s="2" t="s">
        <v>1933</v>
      </c>
      <c r="D752" s="1" t="s">
        <v>1900</v>
      </c>
      <c r="E752" s="6" t="s">
        <v>1846</v>
      </c>
    </row>
    <row r="753">
      <c r="A753" s="2" t="s">
        <v>976</v>
      </c>
      <c r="B753" s="1" t="s">
        <v>977</v>
      </c>
      <c r="C753" s="2" t="s">
        <v>1895</v>
      </c>
      <c r="D753" s="1" t="s">
        <v>1896</v>
      </c>
      <c r="E753" s="6" t="s">
        <v>1846</v>
      </c>
    </row>
    <row r="754">
      <c r="A754" s="2" t="s">
        <v>398</v>
      </c>
      <c r="B754" s="1" t="s">
        <v>399</v>
      </c>
      <c r="C754" s="2" t="s">
        <v>1849</v>
      </c>
      <c r="D754" s="1" t="s">
        <v>1850</v>
      </c>
      <c r="E754" s="6" t="s">
        <v>1853</v>
      </c>
    </row>
    <row r="755">
      <c r="A755" s="2" t="s">
        <v>1148</v>
      </c>
      <c r="B755" s="1" t="s">
        <v>1149</v>
      </c>
      <c r="C755" s="2" t="s">
        <v>1901</v>
      </c>
      <c r="D755" s="1" t="s">
        <v>1902</v>
      </c>
      <c r="E755" s="6" t="s">
        <v>1862</v>
      </c>
    </row>
    <row r="756">
      <c r="A756" s="2" t="s">
        <v>1166</v>
      </c>
      <c r="B756" s="1" t="s">
        <v>1167</v>
      </c>
      <c r="C756" s="2" t="s">
        <v>1977</v>
      </c>
      <c r="D756" s="1" t="s">
        <v>1978</v>
      </c>
      <c r="E756" s="6" t="s">
        <v>1853</v>
      </c>
    </row>
    <row r="757">
      <c r="A757" s="2" t="s">
        <v>398</v>
      </c>
      <c r="B757" s="1" t="s">
        <v>399</v>
      </c>
      <c r="C757" s="2" t="s">
        <v>1875</v>
      </c>
      <c r="D757" s="1" t="s">
        <v>1876</v>
      </c>
      <c r="E757" s="6" t="s">
        <v>1853</v>
      </c>
    </row>
    <row r="758">
      <c r="A758" s="2" t="s">
        <v>398</v>
      </c>
      <c r="B758" s="1" t="s">
        <v>399</v>
      </c>
      <c r="C758" s="2" t="s">
        <v>1913</v>
      </c>
      <c r="D758" s="1" t="s">
        <v>1914</v>
      </c>
      <c r="E758" s="6" t="s">
        <v>1862</v>
      </c>
    </row>
    <row r="759">
      <c r="A759" s="2" t="s">
        <v>1330</v>
      </c>
      <c r="B759" s="1" t="s">
        <v>1331</v>
      </c>
      <c r="C759" s="2" t="s">
        <v>1901</v>
      </c>
      <c r="D759" s="1" t="s">
        <v>1902</v>
      </c>
      <c r="E759" s="6" t="s">
        <v>1862</v>
      </c>
    </row>
    <row r="760">
      <c r="A760" s="2" t="s">
        <v>412</v>
      </c>
      <c r="B760" s="1" t="s">
        <v>413</v>
      </c>
      <c r="C760" s="2" t="s">
        <v>1875</v>
      </c>
      <c r="D760" s="1" t="s">
        <v>1876</v>
      </c>
      <c r="E760" s="6" t="s">
        <v>1853</v>
      </c>
    </row>
    <row r="761">
      <c r="A761" s="2" t="s">
        <v>1311</v>
      </c>
      <c r="B761" s="1" t="s">
        <v>1312</v>
      </c>
      <c r="C761" s="2" t="s">
        <v>1875</v>
      </c>
      <c r="D761" s="1" t="s">
        <v>1876</v>
      </c>
      <c r="E761" s="6" t="s">
        <v>1853</v>
      </c>
    </row>
    <row r="762">
      <c r="A762" s="2" t="s">
        <v>857</v>
      </c>
      <c r="B762" s="1" t="s">
        <v>858</v>
      </c>
      <c r="C762" s="2" t="s">
        <v>1849</v>
      </c>
      <c r="D762" s="1" t="s">
        <v>1850</v>
      </c>
      <c r="E762" s="6" t="s">
        <v>1853</v>
      </c>
    </row>
    <row r="763">
      <c r="A763" s="2" t="s">
        <v>1039</v>
      </c>
      <c r="B763" s="1" t="s">
        <v>1040</v>
      </c>
      <c r="C763" s="2" t="s">
        <v>1929</v>
      </c>
      <c r="D763" s="1" t="s">
        <v>1930</v>
      </c>
      <c r="E763" s="6" t="s">
        <v>1853</v>
      </c>
    </row>
    <row r="764">
      <c r="A764" s="2" t="s">
        <v>1166</v>
      </c>
      <c r="B764" s="1" t="s">
        <v>1167</v>
      </c>
      <c r="C764" s="2" t="s">
        <v>2299</v>
      </c>
      <c r="D764" s="1" t="s">
        <v>2300</v>
      </c>
      <c r="E764" s="6" t="s">
        <v>1846</v>
      </c>
    </row>
    <row r="765">
      <c r="A765" s="2" t="s">
        <v>834</v>
      </c>
      <c r="B765" s="1" t="s">
        <v>835</v>
      </c>
      <c r="C765" s="2" t="s">
        <v>2301</v>
      </c>
      <c r="D765" s="1" t="s">
        <v>2302</v>
      </c>
      <c r="E765" s="6" t="s">
        <v>1853</v>
      </c>
    </row>
    <row r="766">
      <c r="A766" s="2" t="s">
        <v>968</v>
      </c>
      <c r="B766" s="1" t="s">
        <v>969</v>
      </c>
      <c r="C766" s="2" t="s">
        <v>2113</v>
      </c>
      <c r="D766" s="1" t="s">
        <v>2114</v>
      </c>
      <c r="E766" s="6" t="s">
        <v>1853</v>
      </c>
    </row>
    <row r="767">
      <c r="A767" s="2" t="s">
        <v>584</v>
      </c>
      <c r="B767" s="1" t="s">
        <v>585</v>
      </c>
      <c r="C767" s="2" t="s">
        <v>2291</v>
      </c>
      <c r="D767" s="1" t="s">
        <v>2292</v>
      </c>
      <c r="E767" s="6" t="s">
        <v>1862</v>
      </c>
    </row>
    <row r="768">
      <c r="A768" s="2" t="s">
        <v>1006</v>
      </c>
      <c r="B768" s="1" t="s">
        <v>1007</v>
      </c>
      <c r="C768" s="2" t="s">
        <v>1849</v>
      </c>
      <c r="D768" s="1" t="s">
        <v>1850</v>
      </c>
      <c r="E768" s="6" t="s">
        <v>1853</v>
      </c>
    </row>
    <row r="769">
      <c r="A769" s="2" t="s">
        <v>1006</v>
      </c>
      <c r="B769" s="1" t="s">
        <v>1007</v>
      </c>
      <c r="C769" s="2" t="s">
        <v>1849</v>
      </c>
      <c r="D769" s="1" t="s">
        <v>1850</v>
      </c>
      <c r="E769" s="6" t="s">
        <v>1846</v>
      </c>
    </row>
    <row r="770">
      <c r="A770" s="2" t="s">
        <v>1334</v>
      </c>
      <c r="B770" s="1" t="s">
        <v>1335</v>
      </c>
      <c r="C770" s="2" t="s">
        <v>2303</v>
      </c>
      <c r="D770" s="1" t="s">
        <v>2304</v>
      </c>
      <c r="E770" s="6" t="s">
        <v>1853</v>
      </c>
    </row>
    <row r="771">
      <c r="A771" s="2" t="s">
        <v>1362</v>
      </c>
      <c r="B771" s="1" t="s">
        <v>1363</v>
      </c>
      <c r="C771" s="2" t="s">
        <v>1849</v>
      </c>
      <c r="D771" s="1" t="s">
        <v>1850</v>
      </c>
      <c r="E771" s="6" t="s">
        <v>1853</v>
      </c>
    </row>
    <row r="772">
      <c r="A772" s="2" t="s">
        <v>1006</v>
      </c>
      <c r="B772" s="1" t="s">
        <v>1007</v>
      </c>
      <c r="C772" s="2" t="s">
        <v>1885</v>
      </c>
      <c r="D772" s="1" t="s">
        <v>1886</v>
      </c>
      <c r="E772" s="6" t="s">
        <v>1846</v>
      </c>
    </row>
    <row r="773">
      <c r="A773" s="2" t="s">
        <v>1295</v>
      </c>
      <c r="B773" s="1" t="s">
        <v>1296</v>
      </c>
      <c r="C773" s="2" t="s">
        <v>2305</v>
      </c>
      <c r="D773" s="1" t="s">
        <v>2306</v>
      </c>
      <c r="E773" s="6" t="s">
        <v>1853</v>
      </c>
    </row>
    <row r="774">
      <c r="A774" s="2" t="s">
        <v>398</v>
      </c>
      <c r="B774" s="1" t="s">
        <v>399</v>
      </c>
      <c r="C774" s="2" t="s">
        <v>2307</v>
      </c>
      <c r="D774" s="1" t="s">
        <v>2308</v>
      </c>
      <c r="E774" s="6" t="s">
        <v>1846</v>
      </c>
    </row>
    <row r="775">
      <c r="A775" s="2" t="s">
        <v>1348</v>
      </c>
      <c r="B775" s="1" t="s">
        <v>1349</v>
      </c>
      <c r="C775" s="2" t="s">
        <v>1849</v>
      </c>
      <c r="D775" s="1" t="s">
        <v>1850</v>
      </c>
      <c r="E775" s="6" t="s">
        <v>1853</v>
      </c>
    </row>
    <row r="776">
      <c r="A776" s="2" t="s">
        <v>1318</v>
      </c>
      <c r="B776" s="1" t="s">
        <v>1319</v>
      </c>
      <c r="C776" s="2" t="s">
        <v>1851</v>
      </c>
      <c r="D776" s="1" t="s">
        <v>1852</v>
      </c>
      <c r="E776" s="6" t="s">
        <v>1853</v>
      </c>
    </row>
    <row r="777">
      <c r="A777" s="2" t="s">
        <v>1166</v>
      </c>
      <c r="B777" s="1" t="s">
        <v>1167</v>
      </c>
      <c r="C777" s="2" t="s">
        <v>2172</v>
      </c>
      <c r="D777" s="1" t="s">
        <v>1870</v>
      </c>
      <c r="E777" s="6" t="s">
        <v>1853</v>
      </c>
    </row>
    <row r="778">
      <c r="A778" s="2" t="s">
        <v>1295</v>
      </c>
      <c r="B778" s="1" t="s">
        <v>1296</v>
      </c>
      <c r="C778" s="2" t="s">
        <v>1875</v>
      </c>
      <c r="D778" s="1" t="s">
        <v>1876</v>
      </c>
      <c r="E778" s="6" t="s">
        <v>1853</v>
      </c>
    </row>
    <row r="779">
      <c r="A779" s="2" t="s">
        <v>1148</v>
      </c>
      <c r="B779" s="1" t="s">
        <v>1149</v>
      </c>
      <c r="C779" s="2" t="s">
        <v>1849</v>
      </c>
      <c r="D779" s="1" t="s">
        <v>1850</v>
      </c>
      <c r="E779" s="6" t="s">
        <v>1846</v>
      </c>
    </row>
    <row r="780">
      <c r="A780" s="2" t="s">
        <v>541</v>
      </c>
      <c r="B780" s="1" t="s">
        <v>542</v>
      </c>
      <c r="C780" s="2" t="s">
        <v>2045</v>
      </c>
      <c r="D780" s="1" t="s">
        <v>2046</v>
      </c>
      <c r="E780" s="6" t="s">
        <v>1846</v>
      </c>
    </row>
    <row r="781">
      <c r="A781" s="2" t="s">
        <v>1348</v>
      </c>
      <c r="B781" s="1" t="s">
        <v>1349</v>
      </c>
      <c r="C781" s="2" t="s">
        <v>1860</v>
      </c>
      <c r="D781" s="1" t="s">
        <v>1861</v>
      </c>
      <c r="E781" s="6" t="s">
        <v>1862</v>
      </c>
    </row>
    <row r="782">
      <c r="A782" s="2" t="s">
        <v>834</v>
      </c>
      <c r="B782" s="1" t="s">
        <v>835</v>
      </c>
      <c r="C782" s="2" t="s">
        <v>2309</v>
      </c>
      <c r="D782" s="1" t="s">
        <v>2310</v>
      </c>
      <c r="E782" s="6" t="s">
        <v>1853</v>
      </c>
    </row>
    <row r="783">
      <c r="A783" s="2" t="s">
        <v>1148</v>
      </c>
      <c r="B783" s="1" t="s">
        <v>1149</v>
      </c>
      <c r="C783" s="2" t="s">
        <v>1875</v>
      </c>
      <c r="D783" s="1" t="s">
        <v>1876</v>
      </c>
      <c r="E783" s="6" t="s">
        <v>1846</v>
      </c>
    </row>
    <row r="784">
      <c r="A784" s="2" t="s">
        <v>1372</v>
      </c>
      <c r="B784" s="1" t="s">
        <v>1373</v>
      </c>
      <c r="C784" s="2" t="s">
        <v>1867</v>
      </c>
      <c r="D784" s="1" t="s">
        <v>1868</v>
      </c>
      <c r="E784" s="6" t="s">
        <v>1846</v>
      </c>
    </row>
    <row r="785">
      <c r="A785" s="2" t="s">
        <v>874</v>
      </c>
      <c r="B785" s="1" t="s">
        <v>875</v>
      </c>
      <c r="C785" s="2" t="s">
        <v>1860</v>
      </c>
      <c r="D785" s="1" t="s">
        <v>1861</v>
      </c>
      <c r="E785" s="6" t="s">
        <v>1862</v>
      </c>
    </row>
    <row r="786">
      <c r="A786" s="2" t="s">
        <v>584</v>
      </c>
      <c r="B786" s="1" t="s">
        <v>585</v>
      </c>
      <c r="C786" s="2" t="s">
        <v>1913</v>
      </c>
      <c r="D786" s="1" t="s">
        <v>1914</v>
      </c>
      <c r="E786" s="6" t="s">
        <v>1862</v>
      </c>
    </row>
    <row r="787">
      <c r="A787" s="2" t="s">
        <v>1006</v>
      </c>
      <c r="B787" s="1" t="s">
        <v>1007</v>
      </c>
      <c r="C787" s="2" t="s">
        <v>2311</v>
      </c>
      <c r="D787" s="1" t="s">
        <v>2312</v>
      </c>
      <c r="E787" s="6" t="s">
        <v>1846</v>
      </c>
    </row>
    <row r="788">
      <c r="A788" s="2" t="s">
        <v>1166</v>
      </c>
      <c r="B788" s="1" t="s">
        <v>1167</v>
      </c>
      <c r="C788" s="2" t="s">
        <v>2041</v>
      </c>
      <c r="D788" s="1" t="s">
        <v>2042</v>
      </c>
      <c r="E788" s="6" t="s">
        <v>1853</v>
      </c>
    </row>
    <row r="789">
      <c r="A789" s="2" t="s">
        <v>834</v>
      </c>
      <c r="B789" s="1" t="s">
        <v>835</v>
      </c>
      <c r="C789" s="2" t="s">
        <v>1849</v>
      </c>
      <c r="D789" s="1" t="s">
        <v>1850</v>
      </c>
      <c r="E789" s="6" t="s">
        <v>1853</v>
      </c>
    </row>
    <row r="790">
      <c r="A790" s="2" t="s">
        <v>1352</v>
      </c>
      <c r="B790" s="1" t="s">
        <v>1353</v>
      </c>
      <c r="C790" s="2" t="s">
        <v>2313</v>
      </c>
      <c r="D790" s="1" t="s">
        <v>2314</v>
      </c>
      <c r="E790" s="6" t="s">
        <v>1846</v>
      </c>
    </row>
    <row r="791">
      <c r="A791" s="2" t="s">
        <v>1352</v>
      </c>
      <c r="B791" s="1" t="s">
        <v>1353</v>
      </c>
      <c r="C791" s="2" t="s">
        <v>1895</v>
      </c>
      <c r="D791" s="1" t="s">
        <v>1896</v>
      </c>
      <c r="E791" s="6" t="s">
        <v>1846</v>
      </c>
    </row>
    <row r="792">
      <c r="A792" s="2" t="s">
        <v>1311</v>
      </c>
      <c r="B792" s="1" t="s">
        <v>1312</v>
      </c>
      <c r="C792" s="2" t="s">
        <v>1844</v>
      </c>
      <c r="D792" s="1" t="s">
        <v>1845</v>
      </c>
      <c r="E792" s="6" t="s">
        <v>1853</v>
      </c>
    </row>
    <row r="793">
      <c r="A793" s="2" t="s">
        <v>1805</v>
      </c>
      <c r="B793" s="1" t="s">
        <v>1806</v>
      </c>
      <c r="C793" s="2" t="s">
        <v>1977</v>
      </c>
      <c r="D793" s="1" t="s">
        <v>1978</v>
      </c>
      <c r="E793" s="6" t="s">
        <v>1853</v>
      </c>
    </row>
    <row r="794">
      <c r="A794" s="2" t="s">
        <v>403</v>
      </c>
      <c r="B794" s="1" t="s">
        <v>404</v>
      </c>
      <c r="C794" s="2" t="s">
        <v>2315</v>
      </c>
      <c r="D794" s="1" t="s">
        <v>2316</v>
      </c>
      <c r="E794" s="6" t="s">
        <v>1846</v>
      </c>
    </row>
    <row r="795">
      <c r="A795" s="2" t="s">
        <v>1814</v>
      </c>
      <c r="B795" s="1" t="s">
        <v>1815</v>
      </c>
      <c r="C795" s="2" t="s">
        <v>1933</v>
      </c>
      <c r="D795" s="1" t="s">
        <v>1900</v>
      </c>
      <c r="E795" s="6" t="s">
        <v>1853</v>
      </c>
    </row>
    <row r="796">
      <c r="A796" s="2" t="s">
        <v>51</v>
      </c>
      <c r="B796" s="1" t="s">
        <v>52</v>
      </c>
      <c r="C796" s="2" t="s">
        <v>1867</v>
      </c>
      <c r="D796" s="1" t="s">
        <v>1868</v>
      </c>
      <c r="E796" s="6" t="s">
        <v>1853</v>
      </c>
    </row>
    <row r="797">
      <c r="A797" s="2" t="s">
        <v>368</v>
      </c>
      <c r="B797" s="1" t="s">
        <v>369</v>
      </c>
      <c r="C797" s="2" t="s">
        <v>1885</v>
      </c>
      <c r="D797" s="1" t="s">
        <v>1886</v>
      </c>
      <c r="E797" s="6" t="s">
        <v>1853</v>
      </c>
    </row>
    <row r="798">
      <c r="A798" s="2" t="s">
        <v>5</v>
      </c>
      <c r="B798" s="1" t="s">
        <v>6</v>
      </c>
      <c r="C798" s="2" t="s">
        <v>2311</v>
      </c>
      <c r="D798" s="1" t="s">
        <v>2312</v>
      </c>
      <c r="E798" s="6" t="s">
        <v>1846</v>
      </c>
    </row>
    <row r="799">
      <c r="A799" s="2" t="s">
        <v>573</v>
      </c>
      <c r="B799" s="1" t="s">
        <v>574</v>
      </c>
      <c r="C799" s="2" t="s">
        <v>2189</v>
      </c>
      <c r="D799" s="1" t="s">
        <v>2190</v>
      </c>
      <c r="E799" s="6" t="s">
        <v>1853</v>
      </c>
    </row>
    <row r="800">
      <c r="A800" s="2" t="s">
        <v>573</v>
      </c>
      <c r="B800" s="1" t="s">
        <v>574</v>
      </c>
      <c r="C800" s="2" t="s">
        <v>2317</v>
      </c>
      <c r="D800" s="1" t="s">
        <v>2318</v>
      </c>
      <c r="E800" s="6" t="s">
        <v>1862</v>
      </c>
    </row>
    <row r="801">
      <c r="A801" s="2" t="s">
        <v>403</v>
      </c>
      <c r="B801" s="1" t="s">
        <v>404</v>
      </c>
      <c r="C801" s="2" t="s">
        <v>2319</v>
      </c>
      <c r="D801" s="1" t="s">
        <v>2320</v>
      </c>
      <c r="E801" s="6" t="s">
        <v>1846</v>
      </c>
    </row>
    <row r="802">
      <c r="A802" s="2" t="s">
        <v>375</v>
      </c>
      <c r="B802" s="1" t="s">
        <v>376</v>
      </c>
      <c r="C802" s="2" t="s">
        <v>2047</v>
      </c>
      <c r="D802" s="1" t="s">
        <v>2048</v>
      </c>
      <c r="E802" s="6" t="s">
        <v>1862</v>
      </c>
    </row>
    <row r="803">
      <c r="A803" s="2" t="s">
        <v>573</v>
      </c>
      <c r="B803" s="1" t="s">
        <v>574</v>
      </c>
      <c r="C803" s="2" t="s">
        <v>2321</v>
      </c>
      <c r="D803" s="1" t="s">
        <v>2322</v>
      </c>
      <c r="E803" s="6" t="s">
        <v>1853</v>
      </c>
    </row>
    <row r="804">
      <c r="A804" s="2" t="s">
        <v>1805</v>
      </c>
      <c r="B804" s="1" t="s">
        <v>1806</v>
      </c>
      <c r="C804" s="2" t="s">
        <v>1851</v>
      </c>
      <c r="D804" s="1" t="s">
        <v>1852</v>
      </c>
      <c r="E804" s="6" t="s">
        <v>1853</v>
      </c>
    </row>
    <row r="805">
      <c r="A805" s="2" t="s">
        <v>1805</v>
      </c>
      <c r="B805" s="1" t="s">
        <v>1806</v>
      </c>
      <c r="C805" s="2" t="s">
        <v>1851</v>
      </c>
      <c r="D805" s="1" t="s">
        <v>1852</v>
      </c>
      <c r="E805" s="6" t="s">
        <v>1846</v>
      </c>
    </row>
    <row r="806">
      <c r="A806" s="2" t="s">
        <v>403</v>
      </c>
      <c r="B806" s="1" t="s">
        <v>404</v>
      </c>
      <c r="C806" s="2" t="s">
        <v>2323</v>
      </c>
      <c r="D806" s="1" t="s">
        <v>2324</v>
      </c>
      <c r="E806" s="6" t="s">
        <v>1846</v>
      </c>
    </row>
    <row r="807">
      <c r="A807" s="2" t="s">
        <v>375</v>
      </c>
      <c r="B807" s="1" t="s">
        <v>376</v>
      </c>
      <c r="C807" s="2" t="s">
        <v>2325</v>
      </c>
      <c r="D807" s="1" t="s">
        <v>2326</v>
      </c>
      <c r="E807" s="6" t="s">
        <v>1846</v>
      </c>
    </row>
    <row r="808">
      <c r="A808" s="2" t="s">
        <v>357</v>
      </c>
      <c r="B808" s="1" t="s">
        <v>358</v>
      </c>
      <c r="C808" s="2" t="s">
        <v>2327</v>
      </c>
      <c r="D808" s="1" t="s">
        <v>2328</v>
      </c>
      <c r="E808" s="6" t="s">
        <v>1846</v>
      </c>
    </row>
    <row r="809">
      <c r="A809" s="2" t="s">
        <v>357</v>
      </c>
      <c r="B809" s="1" t="s">
        <v>358</v>
      </c>
      <c r="C809" s="2" t="s">
        <v>1953</v>
      </c>
      <c r="D809" s="1" t="s">
        <v>1954</v>
      </c>
      <c r="E809" s="6" t="s">
        <v>1862</v>
      </c>
    </row>
    <row r="810">
      <c r="A810" s="2" t="s">
        <v>51</v>
      </c>
      <c r="B810" s="1" t="s">
        <v>52</v>
      </c>
      <c r="C810" s="2" t="s">
        <v>1849</v>
      </c>
      <c r="D810" s="1" t="s">
        <v>1850</v>
      </c>
      <c r="E810" s="6" t="s">
        <v>1853</v>
      </c>
    </row>
    <row r="811">
      <c r="A811" s="2" t="s">
        <v>1814</v>
      </c>
      <c r="B811" s="1" t="s">
        <v>1815</v>
      </c>
      <c r="C811" s="2" t="s">
        <v>2035</v>
      </c>
      <c r="D811" s="1" t="s">
        <v>2036</v>
      </c>
      <c r="E811" s="6" t="s">
        <v>1862</v>
      </c>
    </row>
    <row r="812">
      <c r="A812" s="2" t="s">
        <v>375</v>
      </c>
      <c r="B812" s="1" t="s">
        <v>376</v>
      </c>
      <c r="C812" s="2" t="s">
        <v>2065</v>
      </c>
      <c r="D812" s="1" t="s">
        <v>2066</v>
      </c>
      <c r="E812" s="6" t="s">
        <v>1853</v>
      </c>
    </row>
    <row r="813">
      <c r="A813" s="2" t="s">
        <v>375</v>
      </c>
      <c r="B813" s="1" t="s">
        <v>376</v>
      </c>
      <c r="C813" s="2" t="s">
        <v>2065</v>
      </c>
      <c r="D813" s="1" t="s">
        <v>2066</v>
      </c>
      <c r="E813" s="6" t="s">
        <v>1846</v>
      </c>
    </row>
    <row r="814">
      <c r="A814" s="2" t="s">
        <v>375</v>
      </c>
      <c r="B814" s="1" t="s">
        <v>376</v>
      </c>
      <c r="C814" s="2" t="s">
        <v>2329</v>
      </c>
      <c r="D814" s="1" t="s">
        <v>2330</v>
      </c>
      <c r="E814" s="6" t="s">
        <v>1862</v>
      </c>
    </row>
    <row r="815">
      <c r="A815" s="2" t="s">
        <v>375</v>
      </c>
      <c r="B815" s="1" t="s">
        <v>376</v>
      </c>
      <c r="C815" s="2" t="s">
        <v>1913</v>
      </c>
      <c r="D815" s="1" t="s">
        <v>1914</v>
      </c>
      <c r="E815" s="6" t="s">
        <v>1862</v>
      </c>
    </row>
    <row r="816">
      <c r="A816" s="2" t="s">
        <v>51</v>
      </c>
      <c r="B816" s="1" t="s">
        <v>52</v>
      </c>
      <c r="C816" s="2" t="s">
        <v>2331</v>
      </c>
      <c r="D816" s="1" t="s">
        <v>2332</v>
      </c>
      <c r="E816" s="6" t="s">
        <v>1846</v>
      </c>
    </row>
    <row r="817">
      <c r="A817" s="2" t="s">
        <v>51</v>
      </c>
      <c r="B817" s="1" t="s">
        <v>52</v>
      </c>
      <c r="C817" s="2" t="s">
        <v>1885</v>
      </c>
      <c r="D817" s="1" t="s">
        <v>1886</v>
      </c>
      <c r="E817" s="6" t="s">
        <v>1853</v>
      </c>
    </row>
    <row r="818">
      <c r="A818" s="2" t="s">
        <v>51</v>
      </c>
      <c r="B818" s="1" t="s">
        <v>52</v>
      </c>
      <c r="C818" s="2" t="s">
        <v>1885</v>
      </c>
      <c r="D818" s="1" t="s">
        <v>1886</v>
      </c>
      <c r="E818" s="6" t="s">
        <v>1846</v>
      </c>
    </row>
    <row r="819">
      <c r="A819" s="2" t="s">
        <v>375</v>
      </c>
      <c r="B819" s="1" t="s">
        <v>376</v>
      </c>
      <c r="C819" s="2" t="s">
        <v>1938</v>
      </c>
      <c r="D819" s="1" t="s">
        <v>1939</v>
      </c>
      <c r="E819" s="6" t="s">
        <v>1846</v>
      </c>
    </row>
    <row r="820">
      <c r="A820" s="2" t="s">
        <v>1814</v>
      </c>
      <c r="B820" s="1" t="s">
        <v>1815</v>
      </c>
      <c r="C820" s="2" t="s">
        <v>1849</v>
      </c>
      <c r="D820" s="1" t="s">
        <v>1850</v>
      </c>
      <c r="E820" s="6" t="s">
        <v>1853</v>
      </c>
    </row>
    <row r="821">
      <c r="A821" s="2" t="s">
        <v>1814</v>
      </c>
      <c r="B821" s="1" t="s">
        <v>1815</v>
      </c>
      <c r="C821" s="2" t="s">
        <v>2071</v>
      </c>
      <c r="D821" s="1" t="s">
        <v>2072</v>
      </c>
      <c r="E821" s="6" t="s">
        <v>1853</v>
      </c>
    </row>
    <row r="822">
      <c r="A822" s="2" t="s">
        <v>5</v>
      </c>
      <c r="B822" s="1" t="s">
        <v>6</v>
      </c>
      <c r="C822" s="2" t="s">
        <v>1849</v>
      </c>
      <c r="D822" s="1" t="s">
        <v>1850</v>
      </c>
      <c r="E822" s="6" t="s">
        <v>1846</v>
      </c>
    </row>
    <row r="823">
      <c r="A823" s="2" t="s">
        <v>1805</v>
      </c>
      <c r="B823" s="1" t="s">
        <v>1806</v>
      </c>
      <c r="C823" s="2" t="s">
        <v>2041</v>
      </c>
      <c r="D823" s="1" t="s">
        <v>2042</v>
      </c>
      <c r="E823" s="6" t="s">
        <v>1846</v>
      </c>
    </row>
    <row r="824">
      <c r="A824" s="2" t="s">
        <v>357</v>
      </c>
      <c r="B824" s="1" t="s">
        <v>358</v>
      </c>
      <c r="C824" s="2" t="s">
        <v>1913</v>
      </c>
      <c r="D824" s="1" t="s">
        <v>1914</v>
      </c>
      <c r="E824" s="6" t="s">
        <v>1862</v>
      </c>
    </row>
    <row r="825">
      <c r="A825" s="2" t="s">
        <v>51</v>
      </c>
      <c r="B825" s="1" t="s">
        <v>52</v>
      </c>
      <c r="C825" s="2" t="s">
        <v>1851</v>
      </c>
      <c r="D825" s="1" t="s">
        <v>1852</v>
      </c>
      <c r="E825" s="6" t="s">
        <v>1853</v>
      </c>
    </row>
    <row r="826">
      <c r="A826" s="2" t="s">
        <v>368</v>
      </c>
      <c r="B826" s="1" t="s">
        <v>369</v>
      </c>
      <c r="C826" s="2" t="s">
        <v>1849</v>
      </c>
      <c r="D826" s="1" t="s">
        <v>1850</v>
      </c>
      <c r="E826" s="6" t="s">
        <v>1853</v>
      </c>
    </row>
    <row r="827">
      <c r="A827" s="2" t="s">
        <v>1814</v>
      </c>
      <c r="B827" s="1" t="s">
        <v>1815</v>
      </c>
      <c r="C827" s="2" t="s">
        <v>1885</v>
      </c>
      <c r="D827" s="1" t="s">
        <v>1886</v>
      </c>
      <c r="E827" s="6" t="s">
        <v>1853</v>
      </c>
    </row>
    <row r="828">
      <c r="A828" s="2" t="s">
        <v>5</v>
      </c>
      <c r="B828" s="1" t="s">
        <v>6</v>
      </c>
      <c r="C828" s="2" t="s">
        <v>1885</v>
      </c>
      <c r="D828" s="1" t="s">
        <v>1886</v>
      </c>
      <c r="E828" s="6" t="s">
        <v>1846</v>
      </c>
    </row>
    <row r="829">
      <c r="A829" s="2" t="s">
        <v>403</v>
      </c>
      <c r="B829" s="1" t="s">
        <v>404</v>
      </c>
      <c r="C829" s="2" t="s">
        <v>2065</v>
      </c>
      <c r="D829" s="1" t="s">
        <v>2066</v>
      </c>
      <c r="E829" s="6" t="s">
        <v>1853</v>
      </c>
    </row>
    <row r="830">
      <c r="A830" s="2" t="s">
        <v>375</v>
      </c>
      <c r="B830" s="1" t="s">
        <v>376</v>
      </c>
      <c r="C830" s="2" t="s">
        <v>1944</v>
      </c>
      <c r="D830" s="1" t="s">
        <v>1945</v>
      </c>
      <c r="E830" s="6" t="s">
        <v>1862</v>
      </c>
    </row>
    <row r="831">
      <c r="A831" s="2" t="s">
        <v>403</v>
      </c>
      <c r="B831" s="1" t="s">
        <v>404</v>
      </c>
      <c r="C831" s="2" t="s">
        <v>2138</v>
      </c>
      <c r="D831" s="1" t="s">
        <v>2139</v>
      </c>
      <c r="E831" s="6" t="s">
        <v>1846</v>
      </c>
    </row>
    <row r="832">
      <c r="A832" s="2" t="s">
        <v>368</v>
      </c>
      <c r="B832" s="1" t="s">
        <v>369</v>
      </c>
      <c r="C832" s="2" t="s">
        <v>1875</v>
      </c>
      <c r="D832" s="1" t="s">
        <v>1876</v>
      </c>
      <c r="E832" s="6" t="s">
        <v>1853</v>
      </c>
    </row>
    <row r="833">
      <c r="A833" s="2" t="s">
        <v>368</v>
      </c>
      <c r="B833" s="1" t="s">
        <v>369</v>
      </c>
      <c r="C833" s="2" t="s">
        <v>1875</v>
      </c>
      <c r="D833" s="1" t="s">
        <v>1876</v>
      </c>
      <c r="E833" s="6" t="s">
        <v>1846</v>
      </c>
    </row>
    <row r="834">
      <c r="A834" s="2" t="s">
        <v>375</v>
      </c>
      <c r="B834" s="1" t="s">
        <v>376</v>
      </c>
      <c r="C834" s="2" t="s">
        <v>2027</v>
      </c>
      <c r="D834" s="1" t="s">
        <v>2028</v>
      </c>
      <c r="E834" s="6" t="s">
        <v>1853</v>
      </c>
    </row>
    <row r="835">
      <c r="A835" s="2" t="s">
        <v>1805</v>
      </c>
      <c r="B835" s="1" t="s">
        <v>1806</v>
      </c>
      <c r="C835" s="2" t="s">
        <v>2065</v>
      </c>
      <c r="D835" s="1" t="s">
        <v>2066</v>
      </c>
      <c r="E835" s="6" t="s">
        <v>1846</v>
      </c>
    </row>
    <row r="836">
      <c r="A836" s="2" t="s">
        <v>419</v>
      </c>
      <c r="B836" s="1" t="s">
        <v>420</v>
      </c>
      <c r="C836" s="2" t="s">
        <v>2005</v>
      </c>
      <c r="D836" s="1" t="s">
        <v>2006</v>
      </c>
      <c r="E836" s="6" t="s">
        <v>1862</v>
      </c>
    </row>
    <row r="837">
      <c r="A837" s="2" t="s">
        <v>861</v>
      </c>
      <c r="B837" s="1" t="s">
        <v>862</v>
      </c>
      <c r="C837" s="2" t="s">
        <v>1849</v>
      </c>
      <c r="D837" s="1" t="s">
        <v>1850</v>
      </c>
      <c r="E837" s="6" t="s">
        <v>1853</v>
      </c>
    </row>
    <row r="838">
      <c r="A838" s="2" t="s">
        <v>419</v>
      </c>
      <c r="B838" s="1" t="s">
        <v>420</v>
      </c>
      <c r="C838" s="2" t="s">
        <v>1913</v>
      </c>
      <c r="D838" s="1" t="s">
        <v>1914</v>
      </c>
      <c r="E838" s="6" t="s">
        <v>1862</v>
      </c>
    </row>
    <row r="839">
      <c r="A839" s="2" t="s">
        <v>1291</v>
      </c>
      <c r="B839" s="1" t="s">
        <v>1292</v>
      </c>
      <c r="C839" s="2" t="s">
        <v>2333</v>
      </c>
      <c r="D839" s="1" t="s">
        <v>2334</v>
      </c>
      <c r="E839" s="6" t="s">
        <v>1853</v>
      </c>
    </row>
    <row r="840">
      <c r="A840" s="2" t="s">
        <v>1805</v>
      </c>
      <c r="B840" s="1" t="s">
        <v>1806</v>
      </c>
      <c r="C840" s="2" t="s">
        <v>2335</v>
      </c>
      <c r="D840" s="1" t="s">
        <v>2336</v>
      </c>
      <c r="E840" s="6" t="s">
        <v>1846</v>
      </c>
    </row>
    <row r="841">
      <c r="A841" s="2" t="s">
        <v>1291</v>
      </c>
      <c r="B841" s="1" t="s">
        <v>1292</v>
      </c>
      <c r="C841" s="2" t="s">
        <v>2337</v>
      </c>
      <c r="D841" s="1" t="s">
        <v>2338</v>
      </c>
      <c r="E841" s="6" t="s">
        <v>1853</v>
      </c>
    </row>
    <row r="842">
      <c r="A842" s="2" t="s">
        <v>385</v>
      </c>
      <c r="B842" s="1" t="s">
        <v>386</v>
      </c>
      <c r="C842" s="2" t="s">
        <v>2057</v>
      </c>
      <c r="D842" s="1" t="s">
        <v>2058</v>
      </c>
      <c r="E842" s="6" t="s">
        <v>1862</v>
      </c>
    </row>
    <row r="843">
      <c r="A843" s="2" t="s">
        <v>1227</v>
      </c>
      <c r="B843" s="1" t="s">
        <v>1228</v>
      </c>
      <c r="C843" s="2" t="s">
        <v>2053</v>
      </c>
      <c r="D843" s="1" t="s">
        <v>2054</v>
      </c>
      <c r="E843" s="6" t="s">
        <v>1853</v>
      </c>
    </row>
    <row r="844">
      <c r="A844" s="2" t="s">
        <v>1227</v>
      </c>
      <c r="B844" s="1" t="s">
        <v>1228</v>
      </c>
      <c r="C844" s="2" t="s">
        <v>2053</v>
      </c>
      <c r="D844" s="1" t="s">
        <v>2054</v>
      </c>
      <c r="E844" s="6" t="s">
        <v>1846</v>
      </c>
    </row>
    <row r="845">
      <c r="A845" s="2" t="s">
        <v>1830</v>
      </c>
      <c r="B845" s="1" t="s">
        <v>1831</v>
      </c>
      <c r="C845" s="2" t="s">
        <v>2033</v>
      </c>
      <c r="D845" s="1" t="s">
        <v>2034</v>
      </c>
      <c r="E845" s="6" t="s">
        <v>1846</v>
      </c>
    </row>
    <row r="846">
      <c r="A846" s="2" t="s">
        <v>524</v>
      </c>
      <c r="B846" s="1" t="s">
        <v>525</v>
      </c>
      <c r="C846" s="2" t="s">
        <v>1913</v>
      </c>
      <c r="D846" s="1" t="s">
        <v>1914</v>
      </c>
      <c r="E846" s="6" t="s">
        <v>1862</v>
      </c>
    </row>
    <row r="847">
      <c r="A847" s="2" t="s">
        <v>385</v>
      </c>
      <c r="B847" s="1" t="s">
        <v>386</v>
      </c>
      <c r="C847" s="2" t="s">
        <v>1905</v>
      </c>
      <c r="D847" s="1" t="s">
        <v>1906</v>
      </c>
      <c r="E847" s="6" t="s">
        <v>1862</v>
      </c>
    </row>
    <row r="848">
      <c r="A848" s="2" t="s">
        <v>419</v>
      </c>
      <c r="B848" s="1" t="s">
        <v>420</v>
      </c>
      <c r="C848" s="2" t="s">
        <v>1851</v>
      </c>
      <c r="D848" s="1" t="s">
        <v>1852</v>
      </c>
      <c r="E848" s="6" t="s">
        <v>1853</v>
      </c>
    </row>
    <row r="849">
      <c r="A849" s="2" t="s">
        <v>419</v>
      </c>
      <c r="B849" s="1" t="s">
        <v>420</v>
      </c>
      <c r="C849" s="2" t="s">
        <v>2339</v>
      </c>
      <c r="D849" s="1" t="s">
        <v>2340</v>
      </c>
      <c r="E849" s="6" t="s">
        <v>1862</v>
      </c>
    </row>
    <row r="850">
      <c r="A850" s="2" t="s">
        <v>1830</v>
      </c>
      <c r="B850" s="1" t="s">
        <v>1831</v>
      </c>
      <c r="C850" s="2" t="s">
        <v>2341</v>
      </c>
      <c r="D850" s="1" t="s">
        <v>2342</v>
      </c>
      <c r="E850" s="6" t="s">
        <v>1846</v>
      </c>
    </row>
    <row r="851">
      <c r="A851" s="2" t="s">
        <v>861</v>
      </c>
      <c r="B851" s="1" t="s">
        <v>862</v>
      </c>
      <c r="C851" s="2" t="s">
        <v>1851</v>
      </c>
      <c r="D851" s="1" t="s">
        <v>1852</v>
      </c>
      <c r="E851" s="6" t="s">
        <v>1853</v>
      </c>
    </row>
    <row r="852">
      <c r="A852" s="2" t="s">
        <v>954</v>
      </c>
      <c r="B852" s="1" t="s">
        <v>955</v>
      </c>
      <c r="C852" s="2" t="s">
        <v>2063</v>
      </c>
      <c r="D852" s="1" t="s">
        <v>2064</v>
      </c>
      <c r="E852" s="6" t="s">
        <v>1862</v>
      </c>
    </row>
    <row r="853">
      <c r="A853" s="2" t="s">
        <v>954</v>
      </c>
      <c r="B853" s="1" t="s">
        <v>955</v>
      </c>
      <c r="C853" s="2" t="s">
        <v>1849</v>
      </c>
      <c r="D853" s="1" t="s">
        <v>1850</v>
      </c>
      <c r="E853" s="6" t="s">
        <v>1853</v>
      </c>
    </row>
    <row r="854">
      <c r="A854" s="2" t="s">
        <v>524</v>
      </c>
      <c r="B854" s="1" t="s">
        <v>525</v>
      </c>
      <c r="C854" s="2" t="s">
        <v>2343</v>
      </c>
      <c r="D854" s="1" t="s">
        <v>2344</v>
      </c>
      <c r="E854" s="6" t="s">
        <v>1846</v>
      </c>
    </row>
    <row r="855">
      <c r="A855" s="2" t="s">
        <v>954</v>
      </c>
      <c r="B855" s="1" t="s">
        <v>955</v>
      </c>
      <c r="C855" s="2" t="s">
        <v>1929</v>
      </c>
      <c r="D855" s="1" t="s">
        <v>1930</v>
      </c>
      <c r="E855" s="6" t="s">
        <v>1853</v>
      </c>
    </row>
    <row r="856">
      <c r="A856" s="2" t="s">
        <v>954</v>
      </c>
      <c r="B856" s="1" t="s">
        <v>955</v>
      </c>
      <c r="C856" s="2" t="s">
        <v>1913</v>
      </c>
      <c r="D856" s="1" t="s">
        <v>1914</v>
      </c>
      <c r="E856" s="6" t="s">
        <v>1862</v>
      </c>
    </row>
    <row r="857">
      <c r="A857" s="2" t="s">
        <v>419</v>
      </c>
      <c r="B857" s="1" t="s">
        <v>420</v>
      </c>
      <c r="C857" s="2" t="s">
        <v>1905</v>
      </c>
      <c r="D857" s="1" t="s">
        <v>1906</v>
      </c>
      <c r="E857" s="6" t="s">
        <v>1862</v>
      </c>
    </row>
    <row r="858">
      <c r="A858" s="2" t="s">
        <v>1227</v>
      </c>
      <c r="B858" s="1" t="s">
        <v>1228</v>
      </c>
      <c r="C858" s="2" t="s">
        <v>2345</v>
      </c>
      <c r="D858" s="1" t="s">
        <v>2346</v>
      </c>
      <c r="E858" s="6" t="s">
        <v>1846</v>
      </c>
    </row>
    <row r="859">
      <c r="A859" s="2" t="s">
        <v>1227</v>
      </c>
      <c r="B859" s="1" t="s">
        <v>1228</v>
      </c>
      <c r="C859" s="2" t="s">
        <v>2347</v>
      </c>
      <c r="D859" s="1" t="s">
        <v>2348</v>
      </c>
      <c r="E859" s="6" t="s">
        <v>1846</v>
      </c>
    </row>
    <row r="860">
      <c r="A860" s="2" t="s">
        <v>1830</v>
      </c>
      <c r="B860" s="1" t="s">
        <v>1831</v>
      </c>
      <c r="C860" s="2" t="s">
        <v>1965</v>
      </c>
      <c r="D860" s="1" t="s">
        <v>1966</v>
      </c>
      <c r="E860" s="6" t="s">
        <v>1846</v>
      </c>
    </row>
    <row r="861">
      <c r="A861" s="2" t="s">
        <v>954</v>
      </c>
      <c r="B861" s="1" t="s">
        <v>955</v>
      </c>
      <c r="C861" s="2" t="s">
        <v>1851</v>
      </c>
      <c r="D861" s="1" t="s">
        <v>1852</v>
      </c>
      <c r="E861" s="6" t="s">
        <v>1853</v>
      </c>
    </row>
    <row r="862">
      <c r="A862" s="2" t="s">
        <v>1291</v>
      </c>
      <c r="B862" s="1" t="s">
        <v>1292</v>
      </c>
      <c r="C862" s="2" t="s">
        <v>1849</v>
      </c>
      <c r="D862" s="1" t="s">
        <v>1850</v>
      </c>
      <c r="E862" s="6" t="s">
        <v>1853</v>
      </c>
    </row>
    <row r="863">
      <c r="A863" s="2" t="s">
        <v>1805</v>
      </c>
      <c r="B863" s="1" t="s">
        <v>1806</v>
      </c>
      <c r="C863" s="2" t="s">
        <v>2349</v>
      </c>
      <c r="D863" s="1" t="s">
        <v>2350</v>
      </c>
      <c r="E863" s="6" t="s">
        <v>1846</v>
      </c>
    </row>
    <row r="864">
      <c r="A864" s="2" t="s">
        <v>803</v>
      </c>
      <c r="B864" s="1" t="s">
        <v>804</v>
      </c>
      <c r="C864" s="2" t="s">
        <v>1851</v>
      </c>
      <c r="D864" s="1" t="s">
        <v>1852</v>
      </c>
      <c r="E864" s="6" t="s">
        <v>1853</v>
      </c>
    </row>
    <row r="865">
      <c r="A865" s="2" t="s">
        <v>317</v>
      </c>
      <c r="B865" s="1" t="s">
        <v>318</v>
      </c>
      <c r="C865" s="2" t="s">
        <v>2011</v>
      </c>
      <c r="D865" s="1" t="s">
        <v>2012</v>
      </c>
      <c r="E865" s="6" t="s">
        <v>1846</v>
      </c>
    </row>
    <row r="866">
      <c r="A866" s="2" t="s">
        <v>298</v>
      </c>
      <c r="B866" s="1" t="s">
        <v>299</v>
      </c>
      <c r="C866" s="2" t="s">
        <v>2063</v>
      </c>
      <c r="D866" s="1" t="s">
        <v>2064</v>
      </c>
      <c r="E866" s="6" t="s">
        <v>1862</v>
      </c>
    </row>
    <row r="867">
      <c r="A867" s="2" t="s">
        <v>888</v>
      </c>
      <c r="B867" s="1" t="s">
        <v>889</v>
      </c>
      <c r="C867" s="2" t="s">
        <v>1849</v>
      </c>
      <c r="D867" s="1" t="s">
        <v>1850</v>
      </c>
      <c r="E867" s="6" t="s">
        <v>1853</v>
      </c>
    </row>
    <row r="868">
      <c r="A868" s="2" t="s">
        <v>557</v>
      </c>
      <c r="B868" s="1" t="s">
        <v>558</v>
      </c>
      <c r="C868" s="2" t="s">
        <v>2299</v>
      </c>
      <c r="D868" s="1" t="s">
        <v>2300</v>
      </c>
      <c r="E868" s="6" t="s">
        <v>1846</v>
      </c>
    </row>
    <row r="869">
      <c r="A869" s="2" t="s">
        <v>602</v>
      </c>
      <c r="B869" s="1" t="s">
        <v>603</v>
      </c>
      <c r="C869" s="2" t="s">
        <v>2351</v>
      </c>
      <c r="D869" s="1" t="s">
        <v>2352</v>
      </c>
      <c r="E869" s="6" t="s">
        <v>1862</v>
      </c>
    </row>
    <row r="870">
      <c r="A870" s="2" t="s">
        <v>533</v>
      </c>
      <c r="B870" s="1" t="s">
        <v>534</v>
      </c>
      <c r="C870" s="2" t="s">
        <v>1875</v>
      </c>
      <c r="D870" s="1" t="s">
        <v>1876</v>
      </c>
      <c r="E870" s="6" t="s">
        <v>1846</v>
      </c>
    </row>
    <row r="871">
      <c r="A871" s="2" t="s">
        <v>590</v>
      </c>
      <c r="B871" s="1" t="s">
        <v>591</v>
      </c>
      <c r="C871" s="2" t="s">
        <v>1849</v>
      </c>
      <c r="D871" s="1" t="s">
        <v>1850</v>
      </c>
      <c r="E871" s="6" t="s">
        <v>1853</v>
      </c>
    </row>
    <row r="872">
      <c r="A872" s="2" t="s">
        <v>67</v>
      </c>
      <c r="B872" s="1" t="s">
        <v>68</v>
      </c>
      <c r="C872" s="2" t="s">
        <v>2287</v>
      </c>
      <c r="D872" s="1" t="s">
        <v>2288</v>
      </c>
      <c r="E872" s="6" t="s">
        <v>1853</v>
      </c>
    </row>
    <row r="873">
      <c r="A873" s="2" t="s">
        <v>590</v>
      </c>
      <c r="B873" s="1" t="s">
        <v>591</v>
      </c>
      <c r="C873" s="2" t="s">
        <v>2353</v>
      </c>
      <c r="D873" s="1" t="s">
        <v>2354</v>
      </c>
      <c r="E873" s="6" t="s">
        <v>1853</v>
      </c>
    </row>
    <row r="874">
      <c r="A874" s="2" t="s">
        <v>590</v>
      </c>
      <c r="B874" s="1" t="s">
        <v>591</v>
      </c>
      <c r="C874" s="2" t="s">
        <v>2353</v>
      </c>
      <c r="D874" s="1" t="s">
        <v>2354</v>
      </c>
      <c r="E874" s="6" t="s">
        <v>1862</v>
      </c>
    </row>
    <row r="875">
      <c r="A875" s="2" t="s">
        <v>1295</v>
      </c>
      <c r="B875" s="1" t="s">
        <v>1296</v>
      </c>
      <c r="C875" s="2" t="s">
        <v>2355</v>
      </c>
      <c r="D875" s="1" t="s">
        <v>2356</v>
      </c>
      <c r="E875" s="6" t="s">
        <v>1846</v>
      </c>
    </row>
    <row r="876">
      <c r="A876" s="2" t="s">
        <v>590</v>
      </c>
      <c r="B876" s="1" t="s">
        <v>591</v>
      </c>
      <c r="C876" s="2" t="s">
        <v>1860</v>
      </c>
      <c r="D876" s="1" t="s">
        <v>1861</v>
      </c>
      <c r="E876" s="6" t="s">
        <v>1862</v>
      </c>
    </row>
    <row r="877">
      <c r="A877" s="2" t="s">
        <v>1342</v>
      </c>
      <c r="B877" s="1" t="s">
        <v>1343</v>
      </c>
      <c r="C877" s="2" t="s">
        <v>1851</v>
      </c>
      <c r="D877" s="1" t="s">
        <v>1852</v>
      </c>
      <c r="E877" s="6" t="s">
        <v>1853</v>
      </c>
    </row>
    <row r="878">
      <c r="A878" s="2" t="s">
        <v>298</v>
      </c>
      <c r="B878" s="1" t="s">
        <v>299</v>
      </c>
      <c r="C878" s="2" t="s">
        <v>1851</v>
      </c>
      <c r="D878" s="1" t="s">
        <v>1852</v>
      </c>
      <c r="E878" s="6" t="s">
        <v>1853</v>
      </c>
    </row>
    <row r="879">
      <c r="A879" s="2" t="s">
        <v>1358</v>
      </c>
      <c r="B879" s="1" t="s">
        <v>1359</v>
      </c>
      <c r="C879" s="2" t="s">
        <v>2031</v>
      </c>
      <c r="D879" s="1" t="s">
        <v>2032</v>
      </c>
      <c r="E879" s="6" t="s">
        <v>1853</v>
      </c>
    </row>
    <row r="880">
      <c r="A880" s="2" t="s">
        <v>557</v>
      </c>
      <c r="B880" s="1" t="s">
        <v>558</v>
      </c>
      <c r="C880" s="2" t="s">
        <v>2357</v>
      </c>
      <c r="D880" s="1" t="s">
        <v>2358</v>
      </c>
      <c r="E880" s="6" t="s">
        <v>1846</v>
      </c>
    </row>
    <row r="881">
      <c r="A881" s="2" t="s">
        <v>1299</v>
      </c>
      <c r="B881" s="1" t="s">
        <v>1300</v>
      </c>
      <c r="C881" s="2" t="s">
        <v>1849</v>
      </c>
      <c r="D881" s="1" t="s">
        <v>1850</v>
      </c>
      <c r="E881" s="6" t="s">
        <v>1846</v>
      </c>
    </row>
    <row r="882">
      <c r="A882" s="2" t="s">
        <v>783</v>
      </c>
      <c r="B882" s="1" t="s">
        <v>784</v>
      </c>
      <c r="C882" s="2" t="s">
        <v>1875</v>
      </c>
      <c r="D882" s="1" t="s">
        <v>1876</v>
      </c>
      <c r="E882" s="6" t="s">
        <v>1853</v>
      </c>
    </row>
    <row r="883">
      <c r="A883" s="2" t="s">
        <v>326</v>
      </c>
      <c r="B883" s="1" t="s">
        <v>327</v>
      </c>
      <c r="C883" s="2" t="s">
        <v>1885</v>
      </c>
      <c r="D883" s="1" t="s">
        <v>1886</v>
      </c>
      <c r="E883" s="6" t="s">
        <v>1846</v>
      </c>
    </row>
    <row r="884">
      <c r="A884" s="2" t="s">
        <v>803</v>
      </c>
      <c r="B884" s="1" t="s">
        <v>804</v>
      </c>
      <c r="C884" s="2" t="s">
        <v>1849</v>
      </c>
      <c r="D884" s="1" t="s">
        <v>1850</v>
      </c>
      <c r="E884" s="6" t="s">
        <v>1853</v>
      </c>
    </row>
    <row r="885">
      <c r="A885" s="2" t="s">
        <v>557</v>
      </c>
      <c r="B885" s="1" t="s">
        <v>558</v>
      </c>
      <c r="C885" s="2" t="s">
        <v>2359</v>
      </c>
      <c r="D885" s="1" t="s">
        <v>2360</v>
      </c>
      <c r="E885" s="6" t="s">
        <v>1846</v>
      </c>
    </row>
    <row r="886">
      <c r="A886" s="2" t="s">
        <v>1334</v>
      </c>
      <c r="B886" s="1" t="s">
        <v>1335</v>
      </c>
      <c r="C886" s="2" t="s">
        <v>1849</v>
      </c>
      <c r="D886" s="1" t="s">
        <v>1850</v>
      </c>
      <c r="E886" s="6" t="s">
        <v>1853</v>
      </c>
    </row>
    <row r="887">
      <c r="A887" s="2" t="s">
        <v>1299</v>
      </c>
      <c r="B887" s="1" t="s">
        <v>1300</v>
      </c>
      <c r="C887" s="2" t="s">
        <v>1885</v>
      </c>
      <c r="D887" s="1" t="s">
        <v>1886</v>
      </c>
      <c r="E887" s="6" t="s">
        <v>1846</v>
      </c>
    </row>
    <row r="888">
      <c r="A888" s="2" t="s">
        <v>557</v>
      </c>
      <c r="B888" s="1" t="s">
        <v>558</v>
      </c>
      <c r="C888" s="2" t="s">
        <v>1977</v>
      </c>
      <c r="D888" s="1" t="s">
        <v>1978</v>
      </c>
      <c r="E888" s="6" t="s">
        <v>1853</v>
      </c>
    </row>
    <row r="889">
      <c r="A889" s="2" t="s">
        <v>1295</v>
      </c>
      <c r="B889" s="1" t="s">
        <v>1296</v>
      </c>
      <c r="C889" s="2" t="s">
        <v>2361</v>
      </c>
      <c r="D889" s="1" t="s">
        <v>2362</v>
      </c>
      <c r="E889" s="6" t="s">
        <v>1846</v>
      </c>
    </row>
    <row r="890">
      <c r="A890" s="2" t="s">
        <v>67</v>
      </c>
      <c r="B890" s="1" t="s">
        <v>68</v>
      </c>
      <c r="C890" s="2" t="s">
        <v>2087</v>
      </c>
      <c r="D890" s="1" t="s">
        <v>2088</v>
      </c>
      <c r="E890" s="6" t="s">
        <v>1853</v>
      </c>
    </row>
    <row r="891">
      <c r="A891" s="2" t="s">
        <v>803</v>
      </c>
      <c r="B891" s="1" t="s">
        <v>804</v>
      </c>
      <c r="C891" s="2" t="s">
        <v>1885</v>
      </c>
      <c r="D891" s="1" t="s">
        <v>1886</v>
      </c>
      <c r="E891" s="6" t="s">
        <v>1853</v>
      </c>
    </row>
    <row r="892">
      <c r="A892" s="2" t="s">
        <v>533</v>
      </c>
      <c r="B892" s="1" t="s">
        <v>534</v>
      </c>
      <c r="C892" s="2" t="s">
        <v>2035</v>
      </c>
      <c r="D892" s="1" t="s">
        <v>2036</v>
      </c>
      <c r="E892" s="6" t="s">
        <v>1862</v>
      </c>
    </row>
    <row r="893">
      <c r="A893" s="2" t="s">
        <v>817</v>
      </c>
      <c r="B893" s="1" t="s">
        <v>818</v>
      </c>
      <c r="C893" s="2" t="s">
        <v>1877</v>
      </c>
      <c r="D893" s="1" t="s">
        <v>1878</v>
      </c>
      <c r="E893" s="6" t="s">
        <v>1862</v>
      </c>
    </row>
    <row r="894">
      <c r="A894" s="2" t="s">
        <v>632</v>
      </c>
      <c r="B894" s="1" t="s">
        <v>633</v>
      </c>
      <c r="C894" s="2" t="s">
        <v>1849</v>
      </c>
      <c r="D894" s="1" t="s">
        <v>1850</v>
      </c>
      <c r="E894" s="6" t="s">
        <v>1846</v>
      </c>
    </row>
    <row r="895">
      <c r="A895" s="2" t="s">
        <v>423</v>
      </c>
      <c r="B895" s="1" t="s">
        <v>424</v>
      </c>
      <c r="C895" s="2" t="s">
        <v>2363</v>
      </c>
      <c r="D895" s="1" t="s">
        <v>2364</v>
      </c>
      <c r="E895" s="6" t="s">
        <v>1846</v>
      </c>
    </row>
    <row r="896">
      <c r="A896" s="2" t="s">
        <v>559</v>
      </c>
      <c r="B896" s="1" t="s">
        <v>560</v>
      </c>
      <c r="C896" s="2" t="s">
        <v>2033</v>
      </c>
      <c r="D896" s="1" t="s">
        <v>2034</v>
      </c>
      <c r="E896" s="6" t="s">
        <v>1846</v>
      </c>
    </row>
    <row r="897">
      <c r="A897" s="2" t="s">
        <v>892</v>
      </c>
      <c r="B897" s="1" t="s">
        <v>893</v>
      </c>
      <c r="C897" s="2" t="s">
        <v>1967</v>
      </c>
      <c r="D897" s="1" t="s">
        <v>1968</v>
      </c>
      <c r="E897" s="6" t="s">
        <v>1853</v>
      </c>
    </row>
    <row r="898">
      <c r="A898" s="2" t="s">
        <v>892</v>
      </c>
      <c r="B898" s="1" t="s">
        <v>893</v>
      </c>
      <c r="C898" s="2" t="s">
        <v>1967</v>
      </c>
      <c r="D898" s="1" t="s">
        <v>1968</v>
      </c>
      <c r="E898" s="6" t="s">
        <v>1846</v>
      </c>
    </row>
    <row r="899">
      <c r="A899" s="2" t="s">
        <v>795</v>
      </c>
      <c r="B899" s="1" t="s">
        <v>796</v>
      </c>
      <c r="C899" s="2" t="s">
        <v>2365</v>
      </c>
      <c r="D899" s="1" t="s">
        <v>2366</v>
      </c>
      <c r="E899" s="6" t="s">
        <v>1846</v>
      </c>
    </row>
    <row r="900">
      <c r="A900" s="2" t="s">
        <v>632</v>
      </c>
      <c r="B900" s="1" t="s">
        <v>633</v>
      </c>
      <c r="C900" s="2" t="s">
        <v>1875</v>
      </c>
      <c r="D900" s="1" t="s">
        <v>1876</v>
      </c>
      <c r="E900" s="6" t="s">
        <v>1853</v>
      </c>
    </row>
    <row r="901">
      <c r="A901" s="2" t="s">
        <v>1069</v>
      </c>
      <c r="B901" s="1" t="s">
        <v>1070</v>
      </c>
      <c r="C901" s="2" t="s">
        <v>1849</v>
      </c>
      <c r="D901" s="1" t="s">
        <v>1850</v>
      </c>
      <c r="E901" s="6" t="s">
        <v>1853</v>
      </c>
    </row>
    <row r="902">
      <c r="A902" s="2" t="s">
        <v>843</v>
      </c>
      <c r="B902" s="1" t="s">
        <v>844</v>
      </c>
      <c r="C902" s="2" t="s">
        <v>1844</v>
      </c>
      <c r="D902" s="1" t="s">
        <v>1845</v>
      </c>
      <c r="E902" s="6" t="s">
        <v>1846</v>
      </c>
    </row>
    <row r="903">
      <c r="A903" s="2" t="s">
        <v>632</v>
      </c>
      <c r="B903" s="1" t="s">
        <v>633</v>
      </c>
      <c r="C903" s="2" t="s">
        <v>1885</v>
      </c>
      <c r="D903" s="1" t="s">
        <v>1886</v>
      </c>
      <c r="E903" s="6" t="s">
        <v>1846</v>
      </c>
    </row>
    <row r="904">
      <c r="A904" s="2" t="s">
        <v>639</v>
      </c>
      <c r="B904" s="1" t="s">
        <v>640</v>
      </c>
      <c r="C904" s="2" t="s">
        <v>1873</v>
      </c>
      <c r="D904" s="1" t="s">
        <v>1874</v>
      </c>
      <c r="E904" s="6" t="s">
        <v>1853</v>
      </c>
    </row>
    <row r="905">
      <c r="A905" s="2" t="s">
        <v>1764</v>
      </c>
      <c r="B905" s="1" t="s">
        <v>1765</v>
      </c>
      <c r="C905" s="2" t="s">
        <v>1851</v>
      </c>
      <c r="D905" s="1" t="s">
        <v>1852</v>
      </c>
      <c r="E905" s="6" t="s">
        <v>1853</v>
      </c>
    </row>
    <row r="906">
      <c r="A906" s="2" t="s">
        <v>1279</v>
      </c>
      <c r="B906" s="1" t="s">
        <v>1280</v>
      </c>
      <c r="C906" s="2" t="s">
        <v>2367</v>
      </c>
      <c r="D906" s="1" t="s">
        <v>2368</v>
      </c>
      <c r="E906" s="6" t="s">
        <v>1862</v>
      </c>
    </row>
    <row r="907">
      <c r="A907" s="2" t="s">
        <v>423</v>
      </c>
      <c r="B907" s="1" t="s">
        <v>424</v>
      </c>
      <c r="C907" s="2" t="s">
        <v>2369</v>
      </c>
      <c r="D907" s="1" t="s">
        <v>2370</v>
      </c>
      <c r="E907" s="6" t="s">
        <v>1853</v>
      </c>
    </row>
    <row r="908">
      <c r="A908" s="2" t="s">
        <v>423</v>
      </c>
      <c r="B908" s="1" t="s">
        <v>424</v>
      </c>
      <c r="C908" s="2" t="s">
        <v>2309</v>
      </c>
      <c r="D908" s="1" t="s">
        <v>2310</v>
      </c>
      <c r="E908" s="6" t="s">
        <v>1846</v>
      </c>
    </row>
    <row r="909">
      <c r="A909" s="2" t="s">
        <v>1069</v>
      </c>
      <c r="B909" s="1" t="s">
        <v>1070</v>
      </c>
      <c r="C909" s="2" t="s">
        <v>1851</v>
      </c>
      <c r="D909" s="1" t="s">
        <v>1852</v>
      </c>
      <c r="E909" s="6" t="s">
        <v>1853</v>
      </c>
    </row>
    <row r="910">
      <c r="A910" s="2" t="s">
        <v>639</v>
      </c>
      <c r="B910" s="1" t="s">
        <v>640</v>
      </c>
      <c r="C910" s="2" t="s">
        <v>1849</v>
      </c>
      <c r="D910" s="1" t="s">
        <v>1850</v>
      </c>
      <c r="E910" s="6" t="s">
        <v>1853</v>
      </c>
    </row>
    <row r="911">
      <c r="A911" s="2" t="s">
        <v>843</v>
      </c>
      <c r="B911" s="1" t="s">
        <v>844</v>
      </c>
      <c r="C911" s="2" t="s">
        <v>1875</v>
      </c>
      <c r="D911" s="1" t="s">
        <v>1876</v>
      </c>
      <c r="E911" s="6" t="s">
        <v>1846</v>
      </c>
    </row>
    <row r="912">
      <c r="A912" s="2" t="s">
        <v>805</v>
      </c>
      <c r="B912" s="1" t="s">
        <v>806</v>
      </c>
      <c r="C912" s="2" t="s">
        <v>2037</v>
      </c>
      <c r="D912" s="1" t="s">
        <v>2038</v>
      </c>
      <c r="E912" s="6" t="s">
        <v>1853</v>
      </c>
    </row>
    <row r="913">
      <c r="A913" s="2" t="s">
        <v>847</v>
      </c>
      <c r="B913" s="1" t="s">
        <v>848</v>
      </c>
      <c r="C913" s="2" t="s">
        <v>1849</v>
      </c>
      <c r="D913" s="1" t="s">
        <v>1850</v>
      </c>
      <c r="E913" s="6" t="s">
        <v>1853</v>
      </c>
    </row>
    <row r="914">
      <c r="A914" s="2" t="s">
        <v>1714</v>
      </c>
      <c r="B914" s="1" t="s">
        <v>1715</v>
      </c>
      <c r="C914" s="2" t="s">
        <v>1849</v>
      </c>
      <c r="D914" s="1" t="s">
        <v>1850</v>
      </c>
      <c r="E914" s="6" t="s">
        <v>1853</v>
      </c>
    </row>
    <row r="915">
      <c r="A915" s="2" t="s">
        <v>822</v>
      </c>
      <c r="B915" s="1" t="s">
        <v>823</v>
      </c>
      <c r="C915" s="2" t="s">
        <v>2011</v>
      </c>
      <c r="D915" s="1" t="s">
        <v>2012</v>
      </c>
      <c r="E915" s="6" t="s">
        <v>1846</v>
      </c>
    </row>
    <row r="916">
      <c r="A916" s="2" t="s">
        <v>639</v>
      </c>
      <c r="B916" s="1" t="s">
        <v>640</v>
      </c>
      <c r="C916" s="2" t="s">
        <v>1860</v>
      </c>
      <c r="D916" s="1" t="s">
        <v>1861</v>
      </c>
      <c r="E916" s="6" t="s">
        <v>1862</v>
      </c>
    </row>
    <row r="917">
      <c r="A917" s="2" t="s">
        <v>621</v>
      </c>
      <c r="B917" s="1" t="s">
        <v>622</v>
      </c>
      <c r="C917" s="2" t="s">
        <v>2371</v>
      </c>
      <c r="D917" s="1" t="s">
        <v>2372</v>
      </c>
      <c r="E917" s="6" t="s">
        <v>1862</v>
      </c>
    </row>
    <row r="918">
      <c r="A918" s="2" t="s">
        <v>1714</v>
      </c>
      <c r="B918" s="1" t="s">
        <v>1715</v>
      </c>
      <c r="C918" s="2" t="s">
        <v>1860</v>
      </c>
      <c r="D918" s="1" t="s">
        <v>1861</v>
      </c>
      <c r="E918" s="6" t="s">
        <v>1862</v>
      </c>
    </row>
    <row r="919">
      <c r="A919" s="2" t="s">
        <v>822</v>
      </c>
      <c r="B919" s="1" t="s">
        <v>823</v>
      </c>
      <c r="C919" s="2" t="s">
        <v>2345</v>
      </c>
      <c r="D919" s="1" t="s">
        <v>2346</v>
      </c>
      <c r="E919" s="6" t="s">
        <v>1846</v>
      </c>
    </row>
    <row r="920">
      <c r="A920" s="2" t="s">
        <v>843</v>
      </c>
      <c r="B920" s="1" t="s">
        <v>844</v>
      </c>
      <c r="C920" s="2" t="s">
        <v>1899</v>
      </c>
      <c r="D920" s="1" t="s">
        <v>1900</v>
      </c>
      <c r="E920" s="6" t="s">
        <v>1846</v>
      </c>
    </row>
    <row r="921">
      <c r="A921" s="2" t="s">
        <v>423</v>
      </c>
      <c r="B921" s="1" t="s">
        <v>424</v>
      </c>
      <c r="C921" s="2" t="s">
        <v>2373</v>
      </c>
      <c r="D921" s="1" t="s">
        <v>2374</v>
      </c>
      <c r="E921" s="6" t="s">
        <v>1853</v>
      </c>
    </row>
    <row r="922">
      <c r="A922" s="2" t="s">
        <v>531</v>
      </c>
      <c r="B922" s="1" t="s">
        <v>532</v>
      </c>
      <c r="C922" s="2" t="s">
        <v>1849</v>
      </c>
      <c r="D922" s="1" t="s">
        <v>1850</v>
      </c>
      <c r="E922" s="6" t="s">
        <v>1853</v>
      </c>
    </row>
    <row r="923">
      <c r="A923" s="2" t="s">
        <v>547</v>
      </c>
      <c r="B923" s="1" t="s">
        <v>548</v>
      </c>
      <c r="C923" s="2" t="s">
        <v>1849</v>
      </c>
      <c r="D923" s="1" t="s">
        <v>1850</v>
      </c>
      <c r="E923" s="6" t="s">
        <v>1846</v>
      </c>
    </row>
    <row r="924">
      <c r="A924" s="2" t="s">
        <v>1764</v>
      </c>
      <c r="B924" s="1" t="s">
        <v>1765</v>
      </c>
      <c r="C924" s="2" t="s">
        <v>1931</v>
      </c>
      <c r="D924" s="1" t="s">
        <v>1932</v>
      </c>
      <c r="E924" s="6" t="s">
        <v>1853</v>
      </c>
    </row>
    <row r="925">
      <c r="A925" s="2" t="s">
        <v>559</v>
      </c>
      <c r="B925" s="1" t="s">
        <v>560</v>
      </c>
      <c r="C925" s="2" t="s">
        <v>1879</v>
      </c>
      <c r="D925" s="1" t="s">
        <v>1880</v>
      </c>
      <c r="E925" s="6" t="s">
        <v>1853</v>
      </c>
    </row>
    <row r="926">
      <c r="A926" s="2" t="s">
        <v>1065</v>
      </c>
      <c r="B926" s="1" t="s">
        <v>1066</v>
      </c>
      <c r="C926" s="2" t="s">
        <v>1867</v>
      </c>
      <c r="D926" s="1" t="s">
        <v>1868</v>
      </c>
      <c r="E926" s="6" t="s">
        <v>1846</v>
      </c>
    </row>
    <row r="927">
      <c r="A927" s="2" t="s">
        <v>1265</v>
      </c>
      <c r="B927" s="1" t="s">
        <v>1266</v>
      </c>
      <c r="C927" s="2" t="s">
        <v>1851</v>
      </c>
      <c r="D927" s="1" t="s">
        <v>1852</v>
      </c>
      <c r="E927" s="6" t="s">
        <v>1853</v>
      </c>
    </row>
    <row r="928">
      <c r="A928" s="2" t="s">
        <v>1065</v>
      </c>
      <c r="B928" s="1" t="s">
        <v>1066</v>
      </c>
      <c r="C928" s="2" t="s">
        <v>1844</v>
      </c>
      <c r="D928" s="1" t="s">
        <v>1845</v>
      </c>
      <c r="E928" s="6" t="s">
        <v>1846</v>
      </c>
    </row>
    <row r="929">
      <c r="A929" s="2" t="s">
        <v>1059</v>
      </c>
      <c r="B929" s="1" t="s">
        <v>1060</v>
      </c>
      <c r="C929" s="2" t="s">
        <v>1893</v>
      </c>
      <c r="D929" s="1" t="s">
        <v>1894</v>
      </c>
      <c r="E929" s="6" t="s">
        <v>1846</v>
      </c>
    </row>
    <row r="930">
      <c r="A930" s="2" t="s">
        <v>1065</v>
      </c>
      <c r="B930" s="1" t="s">
        <v>1066</v>
      </c>
      <c r="C930" s="2" t="s">
        <v>1879</v>
      </c>
      <c r="D930" s="1" t="s">
        <v>1880</v>
      </c>
      <c r="E930" s="6" t="s">
        <v>1853</v>
      </c>
    </row>
    <row r="931">
      <c r="A931" s="2" t="s">
        <v>917</v>
      </c>
      <c r="B931" s="1" t="s">
        <v>918</v>
      </c>
      <c r="C931" s="2" t="s">
        <v>2375</v>
      </c>
      <c r="D931" s="1" t="s">
        <v>2376</v>
      </c>
      <c r="E931" s="6" t="s">
        <v>1853</v>
      </c>
    </row>
    <row r="932">
      <c r="A932" s="2" t="s">
        <v>917</v>
      </c>
      <c r="B932" s="1" t="s">
        <v>918</v>
      </c>
      <c r="C932" s="2" t="s">
        <v>2377</v>
      </c>
      <c r="D932" s="1" t="s">
        <v>2378</v>
      </c>
      <c r="E932" s="6" t="s">
        <v>1862</v>
      </c>
    </row>
    <row r="933">
      <c r="A933" s="2" t="s">
        <v>1265</v>
      </c>
      <c r="B933" s="1" t="s">
        <v>1266</v>
      </c>
      <c r="C933" s="2" t="s">
        <v>2379</v>
      </c>
      <c r="D933" s="1" t="s">
        <v>2380</v>
      </c>
      <c r="E933" s="6" t="s">
        <v>1846</v>
      </c>
    </row>
    <row r="934">
      <c r="A934" s="2" t="s">
        <v>1265</v>
      </c>
      <c r="B934" s="1" t="s">
        <v>1266</v>
      </c>
      <c r="C934" s="2" t="s">
        <v>2381</v>
      </c>
      <c r="D934" s="1" t="s">
        <v>2382</v>
      </c>
      <c r="E934" s="6" t="s">
        <v>1846</v>
      </c>
    </row>
    <row r="935">
      <c r="A935" s="2" t="s">
        <v>945</v>
      </c>
      <c r="B935" s="1" t="s">
        <v>946</v>
      </c>
      <c r="C935" s="2" t="s">
        <v>1849</v>
      </c>
      <c r="D935" s="1" t="s">
        <v>1850</v>
      </c>
      <c r="E935" s="6" t="s">
        <v>1853</v>
      </c>
    </row>
    <row r="936">
      <c r="A936" s="2" t="s">
        <v>945</v>
      </c>
      <c r="B936" s="1" t="s">
        <v>946</v>
      </c>
      <c r="C936" s="2" t="s">
        <v>1849</v>
      </c>
      <c r="D936" s="1" t="s">
        <v>1850</v>
      </c>
      <c r="E936" s="6" t="s">
        <v>1846</v>
      </c>
    </row>
    <row r="937">
      <c r="A937" s="2" t="s">
        <v>1231</v>
      </c>
      <c r="B937" s="1" t="s">
        <v>1232</v>
      </c>
      <c r="C937" s="2" t="s">
        <v>2383</v>
      </c>
      <c r="D937" s="1" t="s">
        <v>2384</v>
      </c>
      <c r="E937" s="6" t="s">
        <v>1846</v>
      </c>
    </row>
    <row r="938">
      <c r="A938" s="2" t="s">
        <v>945</v>
      </c>
      <c r="B938" s="1" t="s">
        <v>946</v>
      </c>
      <c r="C938" s="2" t="s">
        <v>1885</v>
      </c>
      <c r="D938" s="1" t="s">
        <v>1886</v>
      </c>
      <c r="E938" s="6" t="s">
        <v>1853</v>
      </c>
    </row>
    <row r="939">
      <c r="A939" s="2" t="s">
        <v>1474</v>
      </c>
      <c r="B939" s="1" t="s">
        <v>1475</v>
      </c>
      <c r="C939" s="2" t="s">
        <v>2385</v>
      </c>
      <c r="D939" s="1" t="s">
        <v>2386</v>
      </c>
      <c r="E939" s="6" t="s">
        <v>1846</v>
      </c>
    </row>
    <row r="940">
      <c r="A940" s="2" t="s">
        <v>1265</v>
      </c>
      <c r="B940" s="1" t="s">
        <v>1266</v>
      </c>
      <c r="C940" s="2" t="s">
        <v>2041</v>
      </c>
      <c r="D940" s="1" t="s">
        <v>2042</v>
      </c>
      <c r="E940" s="6" t="s">
        <v>1853</v>
      </c>
    </row>
    <row r="941">
      <c r="A941" s="2" t="s">
        <v>1474</v>
      </c>
      <c r="B941" s="1" t="s">
        <v>1475</v>
      </c>
      <c r="C941" s="2" t="s">
        <v>2387</v>
      </c>
      <c r="D941" s="1" t="s">
        <v>2388</v>
      </c>
      <c r="E941" s="6" t="s">
        <v>1846</v>
      </c>
    </row>
    <row r="942">
      <c r="A942" s="2" t="s">
        <v>1055</v>
      </c>
      <c r="B942" s="1" t="s">
        <v>1056</v>
      </c>
      <c r="C942" s="2" t="s">
        <v>1849</v>
      </c>
      <c r="D942" s="1" t="s">
        <v>1850</v>
      </c>
      <c r="E942" s="6" t="s">
        <v>1853</v>
      </c>
    </row>
    <row r="943">
      <c r="A943" s="2" t="s">
        <v>1065</v>
      </c>
      <c r="B943" s="1" t="s">
        <v>1066</v>
      </c>
      <c r="C943" s="2" t="s">
        <v>1875</v>
      </c>
      <c r="D943" s="1" t="s">
        <v>1876</v>
      </c>
      <c r="E943" s="6" t="s">
        <v>1846</v>
      </c>
    </row>
    <row r="944">
      <c r="A944" s="2" t="s">
        <v>915</v>
      </c>
      <c r="B944" s="1" t="s">
        <v>916</v>
      </c>
      <c r="C944" s="2" t="s">
        <v>1849</v>
      </c>
      <c r="D944" s="1" t="s">
        <v>1850</v>
      </c>
      <c r="E944" s="6" t="s">
        <v>1846</v>
      </c>
    </row>
    <row r="945">
      <c r="A945" s="2" t="s">
        <v>917</v>
      </c>
      <c r="B945" s="1" t="s">
        <v>918</v>
      </c>
      <c r="C945" s="2" t="s">
        <v>2389</v>
      </c>
      <c r="D945" s="1" t="s">
        <v>2390</v>
      </c>
      <c r="E945" s="6" t="s">
        <v>1853</v>
      </c>
    </row>
    <row r="946">
      <c r="A946" s="2" t="s">
        <v>917</v>
      </c>
      <c r="B946" s="1" t="s">
        <v>918</v>
      </c>
      <c r="C946" s="2" t="s">
        <v>2389</v>
      </c>
      <c r="D946" s="1" t="s">
        <v>2390</v>
      </c>
      <c r="E946" s="6" t="s">
        <v>1846</v>
      </c>
    </row>
    <row r="947">
      <c r="A947" s="2" t="s">
        <v>899</v>
      </c>
      <c r="B947" s="1" t="s">
        <v>900</v>
      </c>
      <c r="C947" s="2" t="s">
        <v>1911</v>
      </c>
      <c r="D947" s="1" t="s">
        <v>1912</v>
      </c>
      <c r="E947" s="6" t="s">
        <v>1862</v>
      </c>
    </row>
    <row r="948">
      <c r="A948" s="2" t="s">
        <v>1055</v>
      </c>
      <c r="B948" s="1" t="s">
        <v>1056</v>
      </c>
      <c r="C948" s="2" t="s">
        <v>1875</v>
      </c>
      <c r="D948" s="1" t="s">
        <v>1876</v>
      </c>
      <c r="E948" s="6" t="s">
        <v>1846</v>
      </c>
    </row>
    <row r="949">
      <c r="A949" s="2" t="s">
        <v>1055</v>
      </c>
      <c r="B949" s="1" t="s">
        <v>1056</v>
      </c>
      <c r="C949" s="2" t="s">
        <v>1860</v>
      </c>
      <c r="D949" s="1" t="s">
        <v>1861</v>
      </c>
      <c r="E949" s="6" t="s">
        <v>1862</v>
      </c>
    </row>
    <row r="950">
      <c r="A950" s="2" t="s">
        <v>945</v>
      </c>
      <c r="B950" s="1" t="s">
        <v>946</v>
      </c>
      <c r="C950" s="2" t="s">
        <v>1965</v>
      </c>
      <c r="D950" s="1" t="s">
        <v>1966</v>
      </c>
      <c r="E950" s="6" t="s">
        <v>1853</v>
      </c>
    </row>
    <row r="951">
      <c r="A951" s="2" t="s">
        <v>1474</v>
      </c>
      <c r="B951" s="1" t="s">
        <v>1475</v>
      </c>
      <c r="C951" s="2" t="s">
        <v>2391</v>
      </c>
      <c r="D951" s="1" t="s">
        <v>2392</v>
      </c>
      <c r="E951" s="6" t="s">
        <v>1846</v>
      </c>
    </row>
    <row r="952">
      <c r="A952" s="2" t="s">
        <v>915</v>
      </c>
      <c r="B952" s="1" t="s">
        <v>916</v>
      </c>
      <c r="C952" s="2" t="s">
        <v>1885</v>
      </c>
      <c r="D952" s="1" t="s">
        <v>1886</v>
      </c>
      <c r="E952" s="6" t="s">
        <v>1846</v>
      </c>
    </row>
    <row r="953">
      <c r="A953" s="2" t="s">
        <v>1265</v>
      </c>
      <c r="B953" s="1" t="s">
        <v>1266</v>
      </c>
      <c r="C953" s="2" t="s">
        <v>1977</v>
      </c>
      <c r="D953" s="1" t="s">
        <v>1978</v>
      </c>
      <c r="E953" s="6" t="s">
        <v>1853</v>
      </c>
    </row>
    <row r="954">
      <c r="A954" s="2" t="s">
        <v>1065</v>
      </c>
      <c r="B954" s="1" t="s">
        <v>1066</v>
      </c>
      <c r="C954" s="2" t="s">
        <v>1901</v>
      </c>
      <c r="D954" s="1" t="s">
        <v>1902</v>
      </c>
      <c r="E954" s="6" t="s">
        <v>1862</v>
      </c>
    </row>
    <row r="955">
      <c r="A955" s="2" t="s">
        <v>1053</v>
      </c>
      <c r="B955" s="1" t="s">
        <v>1054</v>
      </c>
      <c r="C955" s="2" t="s">
        <v>1895</v>
      </c>
      <c r="D955" s="1" t="s">
        <v>1896</v>
      </c>
      <c r="E955" s="6" t="s">
        <v>1846</v>
      </c>
    </row>
    <row r="956">
      <c r="A956" s="2" t="s">
        <v>917</v>
      </c>
      <c r="B956" s="1" t="s">
        <v>918</v>
      </c>
      <c r="C956" s="2" t="s">
        <v>2393</v>
      </c>
      <c r="D956" s="1" t="s">
        <v>2394</v>
      </c>
      <c r="E956" s="6" t="s">
        <v>1853</v>
      </c>
    </row>
    <row r="957">
      <c r="A957" s="2" t="s">
        <v>917</v>
      </c>
      <c r="B957" s="1" t="s">
        <v>918</v>
      </c>
      <c r="C957" s="2" t="s">
        <v>2395</v>
      </c>
      <c r="D957" s="1" t="s">
        <v>2396</v>
      </c>
      <c r="E957" s="6" t="s">
        <v>1853</v>
      </c>
    </row>
    <row r="958">
      <c r="A958" s="2" t="s">
        <v>1265</v>
      </c>
      <c r="B958" s="1" t="s">
        <v>1266</v>
      </c>
      <c r="C958" s="2" t="s">
        <v>2299</v>
      </c>
      <c r="D958" s="1" t="s">
        <v>2300</v>
      </c>
      <c r="E958" s="6" t="s">
        <v>1846</v>
      </c>
    </row>
    <row r="959">
      <c r="A959" s="2" t="s">
        <v>1316</v>
      </c>
      <c r="B959" s="1" t="s">
        <v>1317</v>
      </c>
      <c r="C959" s="2" t="s">
        <v>1851</v>
      </c>
      <c r="D959" s="1" t="s">
        <v>1852</v>
      </c>
      <c r="E959" s="6" t="s">
        <v>1853</v>
      </c>
    </row>
    <row r="960">
      <c r="A960" s="2" t="s">
        <v>1316</v>
      </c>
      <c r="B960" s="1" t="s">
        <v>1317</v>
      </c>
      <c r="C960" s="2" t="s">
        <v>1993</v>
      </c>
      <c r="D960" s="1" t="s">
        <v>1994</v>
      </c>
      <c r="E960" s="6" t="s">
        <v>1862</v>
      </c>
    </row>
    <row r="961">
      <c r="A961" s="2" t="s">
        <v>1164</v>
      </c>
      <c r="B961" s="1" t="s">
        <v>1165</v>
      </c>
      <c r="C961" s="2" t="s">
        <v>1965</v>
      </c>
      <c r="D961" s="1" t="s">
        <v>1966</v>
      </c>
      <c r="E961" s="6" t="s">
        <v>1846</v>
      </c>
    </row>
    <row r="962">
      <c r="A962" s="2" t="s">
        <v>1338</v>
      </c>
      <c r="B962" s="1" t="s">
        <v>1339</v>
      </c>
      <c r="C962" s="2" t="s">
        <v>2397</v>
      </c>
      <c r="D962" s="1" t="s">
        <v>2398</v>
      </c>
      <c r="E962" s="6" t="s">
        <v>1853</v>
      </c>
    </row>
    <row r="963">
      <c r="A963" s="2" t="s">
        <v>1146</v>
      </c>
      <c r="B963" s="1" t="s">
        <v>1147</v>
      </c>
      <c r="C963" s="2" t="s">
        <v>2399</v>
      </c>
      <c r="D963" s="1" t="s">
        <v>2400</v>
      </c>
      <c r="E963" s="6" t="s">
        <v>1846</v>
      </c>
    </row>
    <row r="964">
      <c r="A964" s="2" t="s">
        <v>1162</v>
      </c>
      <c r="B964" s="1" t="s">
        <v>1163</v>
      </c>
      <c r="C964" s="2" t="s">
        <v>1869</v>
      </c>
      <c r="D964" s="1" t="s">
        <v>1870</v>
      </c>
      <c r="E964" s="6" t="s">
        <v>1846</v>
      </c>
    </row>
    <row r="965">
      <c r="A965" s="2" t="s">
        <v>1344</v>
      </c>
      <c r="B965" s="1" t="s">
        <v>1345</v>
      </c>
      <c r="C965" s="2" t="s">
        <v>1860</v>
      </c>
      <c r="D965" s="1" t="s">
        <v>1861</v>
      </c>
      <c r="E965" s="6" t="s">
        <v>1862</v>
      </c>
    </row>
    <row r="966">
      <c r="A966" s="2" t="s">
        <v>1366</v>
      </c>
      <c r="B966" s="1" t="s">
        <v>1367</v>
      </c>
      <c r="C966" s="2" t="s">
        <v>1849</v>
      </c>
      <c r="D966" s="1" t="s">
        <v>1850</v>
      </c>
      <c r="E966" s="6" t="s">
        <v>1853</v>
      </c>
    </row>
    <row r="967">
      <c r="A967" s="2" t="s">
        <v>1316</v>
      </c>
      <c r="B967" s="1" t="s">
        <v>1317</v>
      </c>
      <c r="C967" s="2" t="s">
        <v>1844</v>
      </c>
      <c r="D967" s="1" t="s">
        <v>1845</v>
      </c>
      <c r="E967" s="6" t="s">
        <v>1853</v>
      </c>
    </row>
    <row r="968">
      <c r="A968" s="2" t="s">
        <v>1366</v>
      </c>
      <c r="B968" s="1" t="s">
        <v>1367</v>
      </c>
      <c r="C968" s="2" t="s">
        <v>1875</v>
      </c>
      <c r="D968" s="1" t="s">
        <v>1876</v>
      </c>
      <c r="E968" s="6" t="s">
        <v>1853</v>
      </c>
    </row>
    <row r="969">
      <c r="A969" s="2" t="s">
        <v>1162</v>
      </c>
      <c r="B969" s="1" t="s">
        <v>1163</v>
      </c>
      <c r="C969" s="2" t="s">
        <v>1895</v>
      </c>
      <c r="D969" s="1" t="s">
        <v>1896</v>
      </c>
      <c r="E969" s="6" t="s">
        <v>1846</v>
      </c>
    </row>
    <row r="970">
      <c r="A970" s="2" t="s">
        <v>1162</v>
      </c>
      <c r="B970" s="1" t="s">
        <v>1163</v>
      </c>
      <c r="C970" s="2" t="s">
        <v>2401</v>
      </c>
      <c r="D970" s="1" t="s">
        <v>2402</v>
      </c>
      <c r="E970" s="6" t="s">
        <v>1846</v>
      </c>
    </row>
    <row r="971">
      <c r="A971" s="2" t="s">
        <v>1289</v>
      </c>
      <c r="B971" s="1" t="s">
        <v>1290</v>
      </c>
      <c r="C971" s="2" t="s">
        <v>1979</v>
      </c>
      <c r="D971" s="1" t="s">
        <v>1980</v>
      </c>
      <c r="E971" s="6" t="s">
        <v>1862</v>
      </c>
    </row>
    <row r="972">
      <c r="A972" s="2" t="s">
        <v>1176</v>
      </c>
      <c r="B972" s="1" t="s">
        <v>1177</v>
      </c>
      <c r="C972" s="2" t="s">
        <v>1849</v>
      </c>
      <c r="D972" s="1" t="s">
        <v>1850</v>
      </c>
      <c r="E972" s="6" t="s">
        <v>1853</v>
      </c>
    </row>
    <row r="973">
      <c r="A973" s="2" t="s">
        <v>1176</v>
      </c>
      <c r="B973" s="1" t="s">
        <v>1177</v>
      </c>
      <c r="C973" s="2" t="s">
        <v>1849</v>
      </c>
      <c r="D973" s="1" t="s">
        <v>1850</v>
      </c>
      <c r="E973" s="6" t="s">
        <v>1846</v>
      </c>
    </row>
    <row r="974">
      <c r="A974" s="2" t="s">
        <v>1176</v>
      </c>
      <c r="B974" s="1" t="s">
        <v>1177</v>
      </c>
      <c r="C974" s="2" t="s">
        <v>1860</v>
      </c>
      <c r="D974" s="1" t="s">
        <v>1861</v>
      </c>
      <c r="E974" s="6" t="s">
        <v>1862</v>
      </c>
    </row>
    <row r="975">
      <c r="A975" s="2" t="s">
        <v>1338</v>
      </c>
      <c r="B975" s="1" t="s">
        <v>1339</v>
      </c>
      <c r="C975" s="2" t="s">
        <v>1881</v>
      </c>
      <c r="D975" s="1" t="s">
        <v>1882</v>
      </c>
      <c r="E975" s="6" t="s">
        <v>1853</v>
      </c>
    </row>
    <row r="976">
      <c r="A976" s="2" t="s">
        <v>1289</v>
      </c>
      <c r="B976" s="1" t="s">
        <v>1290</v>
      </c>
      <c r="C976" s="2" t="s">
        <v>1985</v>
      </c>
      <c r="D976" s="1" t="s">
        <v>1986</v>
      </c>
      <c r="E976" s="6" t="s">
        <v>1862</v>
      </c>
    </row>
    <row r="977">
      <c r="A977" s="2" t="s">
        <v>1160</v>
      </c>
      <c r="B977" s="1" t="s">
        <v>1161</v>
      </c>
      <c r="C977" s="2" t="s">
        <v>1877</v>
      </c>
      <c r="D977" s="1" t="s">
        <v>1878</v>
      </c>
      <c r="E977" s="6" t="s">
        <v>1862</v>
      </c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</sheetData>
  <hyperlinks>
    <hyperlink r:id="rId1" ref="A2"/>
    <hyperlink r:id="rId2" ref="C2"/>
    <hyperlink r:id="rId3" ref="A3"/>
    <hyperlink r:id="rId4" ref="C3"/>
    <hyperlink r:id="rId5" ref="E3"/>
    <hyperlink r:id="rId6" ref="A4"/>
    <hyperlink r:id="rId7" ref="C4"/>
    <hyperlink r:id="rId8" ref="E4"/>
    <hyperlink r:id="rId9" ref="A5"/>
    <hyperlink r:id="rId10" ref="C5"/>
    <hyperlink r:id="rId11" ref="E5"/>
    <hyperlink r:id="rId12" ref="A6"/>
    <hyperlink r:id="rId13" ref="C6"/>
    <hyperlink r:id="rId14" ref="E6"/>
    <hyperlink r:id="rId15" ref="A7"/>
    <hyperlink r:id="rId16" ref="C7"/>
    <hyperlink r:id="rId17" ref="E7"/>
    <hyperlink r:id="rId18" ref="A8"/>
    <hyperlink r:id="rId19" ref="C8"/>
    <hyperlink r:id="rId20" ref="E8"/>
    <hyperlink r:id="rId21" ref="A9"/>
    <hyperlink r:id="rId22" ref="C9"/>
    <hyperlink r:id="rId23" ref="E9"/>
    <hyperlink r:id="rId24" ref="A10"/>
    <hyperlink r:id="rId25" ref="C10"/>
    <hyperlink r:id="rId26" ref="E10"/>
    <hyperlink r:id="rId27" ref="A11"/>
    <hyperlink r:id="rId28" ref="C11"/>
    <hyperlink r:id="rId29" ref="E11"/>
    <hyperlink r:id="rId30" ref="A12"/>
    <hyperlink r:id="rId31" ref="C12"/>
    <hyperlink r:id="rId32" ref="E12"/>
    <hyperlink r:id="rId33" ref="A13"/>
    <hyperlink r:id="rId34" ref="C13"/>
    <hyperlink r:id="rId35" ref="E13"/>
    <hyperlink r:id="rId36" ref="A14"/>
    <hyperlink r:id="rId37" ref="C14"/>
    <hyperlink r:id="rId38" ref="E14"/>
    <hyperlink r:id="rId39" ref="A15"/>
    <hyperlink r:id="rId40" ref="C15"/>
    <hyperlink r:id="rId41" ref="E15"/>
    <hyperlink r:id="rId42" ref="A16"/>
    <hyperlink r:id="rId43" ref="C16"/>
    <hyperlink r:id="rId44" ref="E16"/>
    <hyperlink r:id="rId45" ref="A17"/>
    <hyperlink r:id="rId46" ref="C17"/>
    <hyperlink r:id="rId47" ref="E17"/>
    <hyperlink r:id="rId48" ref="A18"/>
    <hyperlink r:id="rId49" ref="C18"/>
    <hyperlink r:id="rId50" ref="E18"/>
    <hyperlink r:id="rId51" ref="A19"/>
    <hyperlink r:id="rId52" ref="C19"/>
    <hyperlink r:id="rId53" ref="E19"/>
    <hyperlink r:id="rId54" ref="A20"/>
    <hyperlink r:id="rId55" ref="C20"/>
    <hyperlink r:id="rId56" ref="E20"/>
    <hyperlink r:id="rId57" ref="A21"/>
    <hyperlink r:id="rId58" ref="C21"/>
    <hyperlink r:id="rId59" ref="E21"/>
    <hyperlink r:id="rId60" ref="A22"/>
    <hyperlink r:id="rId61" ref="C22"/>
    <hyperlink r:id="rId62" ref="E22"/>
    <hyperlink r:id="rId63" ref="A23"/>
    <hyperlink r:id="rId64" ref="C23"/>
    <hyperlink r:id="rId65" ref="E23"/>
    <hyperlink r:id="rId66" ref="A24"/>
    <hyperlink r:id="rId67" ref="C24"/>
    <hyperlink r:id="rId68" ref="E24"/>
    <hyperlink r:id="rId69" ref="A25"/>
    <hyperlink r:id="rId70" ref="C25"/>
    <hyperlink r:id="rId71" ref="E25"/>
    <hyperlink r:id="rId72" ref="A26"/>
    <hyperlink r:id="rId73" ref="C26"/>
    <hyperlink r:id="rId74" ref="E26"/>
    <hyperlink r:id="rId75" ref="A27"/>
    <hyperlink r:id="rId76" ref="C27"/>
    <hyperlink r:id="rId77" ref="E27"/>
    <hyperlink r:id="rId78" ref="A28"/>
    <hyperlink r:id="rId79" ref="C28"/>
    <hyperlink r:id="rId80" ref="E28"/>
    <hyperlink r:id="rId81" ref="A29"/>
    <hyperlink r:id="rId82" ref="C29"/>
    <hyperlink r:id="rId83" ref="E29"/>
    <hyperlink r:id="rId84" ref="A30"/>
    <hyperlink r:id="rId85" ref="C30"/>
    <hyperlink r:id="rId86" ref="E30"/>
    <hyperlink r:id="rId87" ref="A31"/>
    <hyperlink r:id="rId88" ref="C31"/>
    <hyperlink r:id="rId89" ref="E31"/>
    <hyperlink r:id="rId90" ref="A32"/>
    <hyperlink r:id="rId91" ref="C32"/>
    <hyperlink r:id="rId92" ref="E32"/>
    <hyperlink r:id="rId93" ref="A33"/>
    <hyperlink r:id="rId94" ref="C33"/>
    <hyperlink r:id="rId95" ref="E33"/>
    <hyperlink r:id="rId96" ref="A34"/>
    <hyperlink r:id="rId97" ref="C34"/>
    <hyperlink r:id="rId98" ref="E34"/>
    <hyperlink r:id="rId99" ref="A35"/>
    <hyperlink r:id="rId100" ref="C35"/>
    <hyperlink r:id="rId101" ref="E35"/>
    <hyperlink r:id="rId102" ref="A36"/>
    <hyperlink r:id="rId103" ref="C36"/>
    <hyperlink r:id="rId104" ref="E36"/>
    <hyperlink r:id="rId105" ref="A37"/>
    <hyperlink r:id="rId106" ref="C37"/>
    <hyperlink r:id="rId107" ref="E37"/>
    <hyperlink r:id="rId108" ref="A38"/>
    <hyperlink r:id="rId109" ref="C38"/>
    <hyperlink r:id="rId110" ref="E38"/>
    <hyperlink r:id="rId111" ref="A39"/>
    <hyperlink r:id="rId112" ref="C39"/>
    <hyperlink r:id="rId113" ref="E39"/>
    <hyperlink r:id="rId114" ref="A40"/>
    <hyperlink r:id="rId115" ref="C40"/>
    <hyperlink r:id="rId116" ref="E40"/>
    <hyperlink r:id="rId117" ref="A41"/>
    <hyperlink r:id="rId118" ref="C41"/>
    <hyperlink r:id="rId119" ref="E41"/>
    <hyperlink r:id="rId120" ref="A42"/>
    <hyperlink r:id="rId121" ref="C42"/>
    <hyperlink r:id="rId122" ref="E42"/>
    <hyperlink r:id="rId123" ref="A43"/>
    <hyperlink r:id="rId124" ref="C43"/>
    <hyperlink r:id="rId125" ref="E43"/>
    <hyperlink r:id="rId126" ref="A44"/>
    <hyperlink r:id="rId127" ref="C44"/>
    <hyperlink r:id="rId128" ref="E44"/>
    <hyperlink r:id="rId129" ref="A45"/>
    <hyperlink r:id="rId130" ref="C45"/>
    <hyperlink r:id="rId131" ref="E45"/>
    <hyperlink r:id="rId132" ref="A46"/>
    <hyperlink r:id="rId133" ref="C46"/>
    <hyperlink r:id="rId134" ref="E46"/>
    <hyperlink r:id="rId135" ref="A47"/>
    <hyperlink r:id="rId136" ref="C47"/>
    <hyperlink r:id="rId137" ref="E47"/>
    <hyperlink r:id="rId138" ref="A48"/>
    <hyperlink r:id="rId139" ref="C48"/>
    <hyperlink r:id="rId140" ref="E48"/>
    <hyperlink r:id="rId141" ref="A49"/>
    <hyperlink r:id="rId142" ref="C49"/>
    <hyperlink r:id="rId143" ref="E49"/>
    <hyperlink r:id="rId144" ref="A50"/>
    <hyperlink r:id="rId145" ref="C50"/>
    <hyperlink r:id="rId146" ref="E50"/>
    <hyperlink r:id="rId147" ref="A51"/>
    <hyperlink r:id="rId148" ref="C51"/>
    <hyperlink r:id="rId149" ref="E51"/>
    <hyperlink r:id="rId150" ref="A52"/>
    <hyperlink r:id="rId151" ref="C52"/>
    <hyperlink r:id="rId152" ref="E52"/>
    <hyperlink r:id="rId153" ref="A53"/>
    <hyperlink r:id="rId154" ref="C53"/>
    <hyperlink r:id="rId155" ref="E53"/>
    <hyperlink r:id="rId156" ref="A54"/>
    <hyperlink r:id="rId157" ref="C54"/>
    <hyperlink r:id="rId158" ref="E54"/>
    <hyperlink r:id="rId159" ref="A55"/>
    <hyperlink r:id="rId160" ref="C55"/>
    <hyperlink r:id="rId161" ref="E55"/>
    <hyperlink r:id="rId162" ref="A56"/>
    <hyperlink r:id="rId163" ref="C56"/>
    <hyperlink r:id="rId164" ref="E56"/>
    <hyperlink r:id="rId165" ref="A57"/>
    <hyperlink r:id="rId166" ref="C57"/>
    <hyperlink r:id="rId167" ref="E57"/>
    <hyperlink r:id="rId168" ref="A58"/>
    <hyperlink r:id="rId169" ref="C58"/>
    <hyperlink r:id="rId170" ref="E58"/>
    <hyperlink r:id="rId171" ref="A59"/>
    <hyperlink r:id="rId172" ref="C59"/>
    <hyperlink r:id="rId173" ref="E59"/>
    <hyperlink r:id="rId174" ref="A60"/>
    <hyperlink r:id="rId175" ref="C60"/>
    <hyperlink r:id="rId176" ref="E60"/>
    <hyperlink r:id="rId177" ref="A61"/>
    <hyperlink r:id="rId178" ref="C61"/>
    <hyperlink r:id="rId179" ref="E61"/>
    <hyperlink r:id="rId180" ref="A62"/>
    <hyperlink r:id="rId181" ref="C62"/>
    <hyperlink r:id="rId182" ref="E62"/>
    <hyperlink r:id="rId183" ref="A63"/>
    <hyperlink r:id="rId184" ref="C63"/>
    <hyperlink r:id="rId185" ref="E63"/>
    <hyperlink r:id="rId186" ref="A64"/>
    <hyperlink r:id="rId187" ref="C64"/>
    <hyperlink r:id="rId188" ref="E64"/>
    <hyperlink r:id="rId189" ref="A65"/>
    <hyperlink r:id="rId190" ref="C65"/>
    <hyperlink r:id="rId191" ref="E65"/>
    <hyperlink r:id="rId192" ref="A66"/>
    <hyperlink r:id="rId193" ref="C66"/>
    <hyperlink r:id="rId194" ref="E66"/>
    <hyperlink r:id="rId195" ref="A67"/>
    <hyperlink r:id="rId196" ref="C67"/>
    <hyperlink r:id="rId197" ref="E67"/>
    <hyperlink r:id="rId198" ref="A68"/>
    <hyperlink r:id="rId199" ref="C68"/>
    <hyperlink r:id="rId200" ref="E68"/>
    <hyperlink r:id="rId201" ref="A69"/>
    <hyperlink r:id="rId202" ref="C69"/>
    <hyperlink r:id="rId203" ref="E69"/>
    <hyperlink r:id="rId204" ref="A70"/>
    <hyperlink r:id="rId205" ref="C70"/>
    <hyperlink r:id="rId206" ref="E70"/>
    <hyperlink r:id="rId207" ref="A71"/>
    <hyperlink r:id="rId208" ref="C71"/>
    <hyperlink r:id="rId209" ref="E71"/>
    <hyperlink r:id="rId210" ref="A72"/>
    <hyperlink r:id="rId211" ref="C72"/>
    <hyperlink r:id="rId212" ref="E72"/>
    <hyperlink r:id="rId213" ref="A73"/>
    <hyperlink r:id="rId214" ref="C73"/>
    <hyperlink r:id="rId215" ref="E73"/>
    <hyperlink r:id="rId216" ref="A74"/>
    <hyperlink r:id="rId217" ref="C74"/>
    <hyperlink r:id="rId218" ref="E74"/>
    <hyperlink r:id="rId219" ref="A75"/>
    <hyperlink r:id="rId220" ref="C75"/>
    <hyperlink r:id="rId221" ref="E75"/>
    <hyperlink r:id="rId222" ref="A76"/>
    <hyperlink r:id="rId223" ref="C76"/>
    <hyperlink r:id="rId224" ref="E76"/>
    <hyperlink r:id="rId225" ref="A77"/>
    <hyperlink r:id="rId226" ref="C77"/>
    <hyperlink r:id="rId227" ref="E77"/>
    <hyperlink r:id="rId228" ref="A78"/>
    <hyperlink r:id="rId229" ref="C78"/>
    <hyperlink r:id="rId230" ref="E78"/>
    <hyperlink r:id="rId231" ref="A79"/>
    <hyperlink r:id="rId232" ref="C79"/>
    <hyperlink r:id="rId233" ref="E79"/>
    <hyperlink r:id="rId234" ref="A80"/>
    <hyperlink r:id="rId235" ref="C80"/>
    <hyperlink r:id="rId236" ref="E80"/>
    <hyperlink r:id="rId237" ref="A81"/>
    <hyperlink r:id="rId238" ref="C81"/>
    <hyperlink r:id="rId239" ref="E81"/>
    <hyperlink r:id="rId240" ref="A82"/>
    <hyperlink r:id="rId241" ref="C82"/>
    <hyperlink r:id="rId242" ref="E82"/>
    <hyperlink r:id="rId243" ref="A83"/>
    <hyperlink r:id="rId244" ref="C83"/>
    <hyperlink r:id="rId245" ref="E83"/>
    <hyperlink r:id="rId246" ref="A84"/>
    <hyperlink r:id="rId247" ref="C84"/>
    <hyperlink r:id="rId248" ref="E84"/>
    <hyperlink r:id="rId249" ref="A85"/>
    <hyperlink r:id="rId250" ref="C85"/>
    <hyperlink r:id="rId251" ref="E85"/>
    <hyperlink r:id="rId252" ref="A86"/>
    <hyperlink r:id="rId253" ref="C86"/>
    <hyperlink r:id="rId254" ref="E86"/>
    <hyperlink r:id="rId255" ref="A87"/>
    <hyperlink r:id="rId256" ref="C87"/>
    <hyperlink r:id="rId257" ref="E87"/>
    <hyperlink r:id="rId258" ref="A88"/>
    <hyperlink r:id="rId259" ref="C88"/>
    <hyperlink r:id="rId260" ref="E88"/>
    <hyperlink r:id="rId261" ref="A89"/>
    <hyperlink r:id="rId262" ref="C89"/>
    <hyperlink r:id="rId263" ref="E89"/>
    <hyperlink r:id="rId264" ref="A90"/>
    <hyperlink r:id="rId265" ref="C90"/>
    <hyperlink r:id="rId266" ref="E90"/>
    <hyperlink r:id="rId267" ref="A91"/>
    <hyperlink r:id="rId268" ref="C91"/>
    <hyperlink r:id="rId269" ref="E91"/>
    <hyperlink r:id="rId270" ref="A92"/>
    <hyperlink r:id="rId271" ref="C92"/>
    <hyperlink r:id="rId272" ref="E92"/>
    <hyperlink r:id="rId273" ref="A93"/>
    <hyperlink r:id="rId274" ref="C93"/>
    <hyperlink r:id="rId275" ref="E93"/>
    <hyperlink r:id="rId276" ref="A94"/>
    <hyperlink r:id="rId277" ref="C94"/>
    <hyperlink r:id="rId278" ref="E94"/>
    <hyperlink r:id="rId279" ref="A95"/>
    <hyperlink r:id="rId280" ref="C95"/>
    <hyperlink r:id="rId281" ref="E95"/>
    <hyperlink r:id="rId282" ref="A96"/>
    <hyperlink r:id="rId283" ref="C96"/>
    <hyperlink r:id="rId284" ref="E96"/>
    <hyperlink r:id="rId285" ref="A97"/>
    <hyperlink r:id="rId286" ref="C97"/>
    <hyperlink r:id="rId287" ref="E97"/>
    <hyperlink r:id="rId288" ref="A98"/>
    <hyperlink r:id="rId289" ref="C98"/>
    <hyperlink r:id="rId290" ref="E98"/>
    <hyperlink r:id="rId291" ref="A99"/>
    <hyperlink r:id="rId292" ref="C99"/>
    <hyperlink r:id="rId293" ref="E99"/>
    <hyperlink r:id="rId294" ref="A100"/>
    <hyperlink r:id="rId295" ref="C100"/>
    <hyperlink r:id="rId296" ref="E100"/>
    <hyperlink r:id="rId297" ref="A101"/>
    <hyperlink r:id="rId298" ref="C101"/>
    <hyperlink r:id="rId299" ref="E101"/>
    <hyperlink r:id="rId300" ref="A102"/>
    <hyperlink r:id="rId301" ref="C102"/>
    <hyperlink r:id="rId302" ref="E102"/>
    <hyperlink r:id="rId303" ref="A103"/>
    <hyperlink r:id="rId304" ref="C103"/>
    <hyperlink r:id="rId305" ref="E103"/>
    <hyperlink r:id="rId306" ref="A104"/>
    <hyperlink r:id="rId307" ref="C104"/>
    <hyperlink r:id="rId308" ref="E104"/>
    <hyperlink r:id="rId309" ref="A105"/>
    <hyperlink r:id="rId310" ref="C105"/>
    <hyperlink r:id="rId311" ref="E105"/>
    <hyperlink r:id="rId312" ref="A106"/>
    <hyperlink r:id="rId313" ref="C106"/>
    <hyperlink r:id="rId314" ref="E106"/>
    <hyperlink r:id="rId315" ref="A107"/>
    <hyperlink r:id="rId316" ref="C107"/>
    <hyperlink r:id="rId317" ref="E107"/>
    <hyperlink r:id="rId318" ref="A108"/>
    <hyperlink r:id="rId319" ref="C108"/>
    <hyperlink r:id="rId320" ref="E108"/>
    <hyperlink r:id="rId321" ref="A109"/>
    <hyperlink r:id="rId322" ref="C109"/>
    <hyperlink r:id="rId323" ref="E109"/>
    <hyperlink r:id="rId324" ref="A110"/>
    <hyperlink r:id="rId325" ref="C110"/>
    <hyperlink r:id="rId326" ref="E110"/>
    <hyperlink r:id="rId327" ref="A111"/>
    <hyperlink r:id="rId328" ref="C111"/>
    <hyperlink r:id="rId329" ref="E111"/>
    <hyperlink r:id="rId330" ref="A112"/>
    <hyperlink r:id="rId331" ref="C112"/>
    <hyperlink r:id="rId332" ref="E112"/>
    <hyperlink r:id="rId333" ref="A113"/>
    <hyperlink r:id="rId334" ref="C113"/>
    <hyperlink r:id="rId335" ref="E113"/>
    <hyperlink r:id="rId336" ref="A114"/>
    <hyperlink r:id="rId337" ref="C114"/>
    <hyperlink r:id="rId338" ref="E114"/>
    <hyperlink r:id="rId339" ref="A115"/>
    <hyperlink r:id="rId340" ref="C115"/>
    <hyperlink r:id="rId341" ref="E115"/>
    <hyperlink r:id="rId342" ref="A116"/>
    <hyperlink r:id="rId343" ref="C116"/>
    <hyperlink r:id="rId344" ref="E116"/>
    <hyperlink r:id="rId345" ref="A117"/>
    <hyperlink r:id="rId346" ref="C117"/>
    <hyperlink r:id="rId347" ref="E117"/>
    <hyperlink r:id="rId348" ref="A118"/>
    <hyperlink r:id="rId349" ref="C118"/>
    <hyperlink r:id="rId350" ref="E118"/>
    <hyperlink r:id="rId351" ref="A119"/>
    <hyperlink r:id="rId352" ref="C119"/>
    <hyperlink r:id="rId353" ref="E119"/>
    <hyperlink r:id="rId354" ref="A120"/>
    <hyperlink r:id="rId355" ref="C120"/>
    <hyperlink r:id="rId356" ref="E120"/>
    <hyperlink r:id="rId357" ref="A121"/>
    <hyperlink r:id="rId358" ref="C121"/>
    <hyperlink r:id="rId359" ref="E121"/>
    <hyperlink r:id="rId360" ref="A122"/>
    <hyperlink r:id="rId361" ref="C122"/>
    <hyperlink r:id="rId362" ref="E122"/>
    <hyperlink r:id="rId363" ref="A123"/>
    <hyperlink r:id="rId364" ref="C123"/>
    <hyperlink r:id="rId365" ref="E123"/>
    <hyperlink r:id="rId366" ref="A124"/>
    <hyperlink r:id="rId367" ref="C124"/>
    <hyperlink r:id="rId368" ref="E124"/>
    <hyperlink r:id="rId369" ref="A125"/>
    <hyperlink r:id="rId370" ref="C125"/>
    <hyperlink r:id="rId371" ref="E125"/>
    <hyperlink r:id="rId372" ref="A126"/>
    <hyperlink r:id="rId373" ref="C126"/>
    <hyperlink r:id="rId374" ref="E126"/>
    <hyperlink r:id="rId375" ref="A127"/>
    <hyperlink r:id="rId376" ref="C127"/>
    <hyperlink r:id="rId377" ref="E127"/>
    <hyperlink r:id="rId378" ref="A128"/>
    <hyperlink r:id="rId379" ref="C128"/>
    <hyperlink r:id="rId380" ref="E128"/>
    <hyperlink r:id="rId381" ref="A129"/>
    <hyperlink r:id="rId382" ref="C129"/>
    <hyperlink r:id="rId383" ref="E129"/>
    <hyperlink r:id="rId384" ref="A130"/>
    <hyperlink r:id="rId385" ref="C130"/>
    <hyperlink r:id="rId386" ref="E130"/>
    <hyperlink r:id="rId387" ref="A131"/>
    <hyperlink r:id="rId388" ref="C131"/>
    <hyperlink r:id="rId389" ref="E131"/>
    <hyperlink r:id="rId390" ref="A132"/>
    <hyperlink r:id="rId391" ref="C132"/>
    <hyperlink r:id="rId392" ref="E132"/>
    <hyperlink r:id="rId393" ref="A133"/>
    <hyperlink r:id="rId394" ref="C133"/>
    <hyperlink r:id="rId395" ref="E133"/>
    <hyperlink r:id="rId396" ref="A134"/>
    <hyperlink r:id="rId397" ref="C134"/>
    <hyperlink r:id="rId398" ref="E134"/>
    <hyperlink r:id="rId399" ref="A135"/>
    <hyperlink r:id="rId400" ref="C135"/>
    <hyperlink r:id="rId401" ref="E135"/>
    <hyperlink r:id="rId402" ref="A136"/>
    <hyperlink r:id="rId403" ref="C136"/>
    <hyperlink r:id="rId404" ref="E136"/>
    <hyperlink r:id="rId405" ref="A137"/>
    <hyperlink r:id="rId406" ref="C137"/>
    <hyperlink r:id="rId407" ref="E137"/>
    <hyperlink r:id="rId408" ref="A138"/>
    <hyperlink r:id="rId409" ref="C138"/>
    <hyperlink r:id="rId410" ref="E138"/>
    <hyperlink r:id="rId411" ref="A139"/>
    <hyperlink r:id="rId412" ref="C139"/>
    <hyperlink r:id="rId413" ref="E139"/>
    <hyperlink r:id="rId414" ref="A140"/>
    <hyperlink r:id="rId415" ref="C140"/>
    <hyperlink r:id="rId416" ref="E140"/>
    <hyperlink r:id="rId417" ref="A141"/>
    <hyperlink r:id="rId418" ref="C141"/>
    <hyperlink r:id="rId419" ref="E141"/>
    <hyperlink r:id="rId420" ref="A142"/>
    <hyperlink r:id="rId421" ref="C142"/>
    <hyperlink r:id="rId422" ref="E142"/>
    <hyperlink r:id="rId423" ref="A143"/>
    <hyperlink r:id="rId424" ref="C143"/>
    <hyperlink r:id="rId425" ref="E143"/>
    <hyperlink r:id="rId426" ref="A144"/>
    <hyperlink r:id="rId427" ref="C144"/>
    <hyperlink r:id="rId428" ref="E144"/>
    <hyperlink r:id="rId429" ref="A145"/>
    <hyperlink r:id="rId430" ref="C145"/>
    <hyperlink r:id="rId431" ref="E145"/>
    <hyperlink r:id="rId432" ref="A146"/>
    <hyperlink r:id="rId433" ref="C146"/>
    <hyperlink r:id="rId434" ref="E146"/>
    <hyperlink r:id="rId435" ref="A147"/>
    <hyperlink r:id="rId436" ref="C147"/>
    <hyperlink r:id="rId437" ref="E147"/>
    <hyperlink r:id="rId438" ref="A148"/>
    <hyperlink r:id="rId439" ref="C148"/>
    <hyperlink r:id="rId440" ref="E148"/>
    <hyperlink r:id="rId441" ref="A149"/>
    <hyperlink r:id="rId442" ref="C149"/>
    <hyperlink r:id="rId443" ref="E149"/>
    <hyperlink r:id="rId444" ref="A150"/>
    <hyperlink r:id="rId445" ref="C150"/>
    <hyperlink r:id="rId446" ref="E150"/>
    <hyperlink r:id="rId447" ref="A151"/>
    <hyperlink r:id="rId448" ref="C151"/>
    <hyperlink r:id="rId449" ref="E151"/>
    <hyperlink r:id="rId450" ref="A152"/>
    <hyperlink r:id="rId451" ref="C152"/>
    <hyperlink r:id="rId452" ref="E152"/>
    <hyperlink r:id="rId453" ref="A153"/>
    <hyperlink r:id="rId454" ref="C153"/>
    <hyperlink r:id="rId455" ref="E153"/>
    <hyperlink r:id="rId456" ref="A154"/>
    <hyperlink r:id="rId457" ref="C154"/>
    <hyperlink r:id="rId458" ref="E154"/>
    <hyperlink r:id="rId459" ref="A155"/>
    <hyperlink r:id="rId460" ref="C155"/>
    <hyperlink r:id="rId461" ref="E155"/>
    <hyperlink r:id="rId462" ref="A156"/>
    <hyperlink r:id="rId463" ref="C156"/>
    <hyperlink r:id="rId464" ref="E156"/>
    <hyperlink r:id="rId465" ref="A157"/>
    <hyperlink r:id="rId466" ref="C157"/>
    <hyperlink r:id="rId467" ref="E157"/>
    <hyperlink r:id="rId468" ref="A158"/>
    <hyperlink r:id="rId469" ref="C158"/>
    <hyperlink r:id="rId470" ref="E158"/>
    <hyperlink r:id="rId471" ref="A159"/>
    <hyperlink r:id="rId472" ref="C159"/>
    <hyperlink r:id="rId473" ref="E159"/>
    <hyperlink r:id="rId474" ref="A160"/>
    <hyperlink r:id="rId475" ref="C160"/>
    <hyperlink r:id="rId476" ref="E160"/>
    <hyperlink r:id="rId477" ref="A161"/>
    <hyperlink r:id="rId478" ref="C161"/>
    <hyperlink r:id="rId479" ref="E161"/>
    <hyperlink r:id="rId480" ref="A162"/>
    <hyperlink r:id="rId481" ref="C162"/>
    <hyperlink r:id="rId482" ref="E162"/>
    <hyperlink r:id="rId483" ref="A163"/>
    <hyperlink r:id="rId484" ref="C163"/>
    <hyperlink r:id="rId485" ref="E163"/>
    <hyperlink r:id="rId486" ref="A164"/>
    <hyperlink r:id="rId487" ref="C164"/>
    <hyperlink r:id="rId488" ref="E164"/>
    <hyperlink r:id="rId489" ref="A165"/>
    <hyperlink r:id="rId490" ref="C165"/>
    <hyperlink r:id="rId491" ref="E165"/>
    <hyperlink r:id="rId492" ref="A166"/>
    <hyperlink r:id="rId493" ref="C166"/>
    <hyperlink r:id="rId494" ref="E166"/>
    <hyperlink r:id="rId495" ref="A167"/>
    <hyperlink r:id="rId496" ref="C167"/>
    <hyperlink r:id="rId497" ref="E167"/>
    <hyperlink r:id="rId498" ref="A168"/>
    <hyperlink r:id="rId499" ref="C168"/>
    <hyperlink r:id="rId500" ref="E168"/>
    <hyperlink r:id="rId501" ref="A169"/>
    <hyperlink r:id="rId502" ref="C169"/>
    <hyperlink r:id="rId503" ref="E169"/>
    <hyperlink r:id="rId504" ref="A170"/>
    <hyperlink r:id="rId505" ref="C170"/>
    <hyperlink r:id="rId506" ref="E170"/>
    <hyperlink r:id="rId507" ref="A171"/>
    <hyperlink r:id="rId508" ref="C171"/>
    <hyperlink r:id="rId509" ref="E171"/>
    <hyperlink r:id="rId510" ref="A172"/>
    <hyperlink r:id="rId511" ref="C172"/>
    <hyperlink r:id="rId512" ref="E172"/>
    <hyperlink r:id="rId513" ref="A173"/>
    <hyperlink r:id="rId514" ref="C173"/>
    <hyperlink r:id="rId515" ref="E173"/>
    <hyperlink r:id="rId516" ref="A174"/>
    <hyperlink r:id="rId517" ref="C174"/>
    <hyperlink r:id="rId518" ref="E174"/>
    <hyperlink r:id="rId519" ref="A175"/>
    <hyperlink r:id="rId520" ref="C175"/>
    <hyperlink r:id="rId521" ref="E175"/>
    <hyperlink r:id="rId522" ref="A176"/>
    <hyperlink r:id="rId523" ref="C176"/>
    <hyperlink r:id="rId524" ref="E176"/>
    <hyperlink r:id="rId525" ref="A177"/>
    <hyperlink r:id="rId526" ref="C177"/>
    <hyperlink r:id="rId527" ref="E177"/>
    <hyperlink r:id="rId528" ref="A178"/>
    <hyperlink r:id="rId529" ref="C178"/>
    <hyperlink r:id="rId530" ref="E178"/>
    <hyperlink r:id="rId531" ref="A179"/>
    <hyperlink r:id="rId532" ref="C179"/>
    <hyperlink r:id="rId533" ref="E179"/>
    <hyperlink r:id="rId534" ref="A180"/>
    <hyperlink r:id="rId535" ref="C180"/>
    <hyperlink r:id="rId536" ref="E180"/>
    <hyperlink r:id="rId537" ref="A181"/>
    <hyperlink r:id="rId538" ref="C181"/>
    <hyperlink r:id="rId539" ref="E181"/>
    <hyperlink r:id="rId540" ref="A182"/>
    <hyperlink r:id="rId541" ref="C182"/>
    <hyperlink r:id="rId542" ref="E182"/>
    <hyperlink r:id="rId543" ref="A183"/>
    <hyperlink r:id="rId544" ref="C183"/>
    <hyperlink r:id="rId545" ref="E183"/>
    <hyperlink r:id="rId546" ref="A184"/>
    <hyperlink r:id="rId547" ref="C184"/>
    <hyperlink r:id="rId548" ref="E184"/>
    <hyperlink r:id="rId549" ref="A185"/>
    <hyperlink r:id="rId550" ref="C185"/>
    <hyperlink r:id="rId551" ref="E185"/>
    <hyperlink r:id="rId552" ref="A186"/>
    <hyperlink r:id="rId553" ref="C186"/>
    <hyperlink r:id="rId554" ref="E186"/>
    <hyperlink r:id="rId555" ref="A187"/>
    <hyperlink r:id="rId556" ref="C187"/>
    <hyperlink r:id="rId557" ref="E187"/>
    <hyperlink r:id="rId558" ref="A188"/>
    <hyperlink r:id="rId559" ref="C188"/>
    <hyperlink r:id="rId560" ref="E188"/>
    <hyperlink r:id="rId561" ref="A189"/>
    <hyperlink r:id="rId562" ref="C189"/>
    <hyperlink r:id="rId563" ref="E189"/>
    <hyperlink r:id="rId564" ref="A190"/>
    <hyperlink r:id="rId565" ref="C190"/>
    <hyperlink r:id="rId566" ref="E190"/>
    <hyperlink r:id="rId567" ref="A191"/>
    <hyperlink r:id="rId568" ref="C191"/>
    <hyperlink r:id="rId569" ref="E191"/>
    <hyperlink r:id="rId570" ref="A192"/>
    <hyperlink r:id="rId571" ref="C192"/>
    <hyperlink r:id="rId572" ref="E192"/>
    <hyperlink r:id="rId573" ref="A193"/>
    <hyperlink r:id="rId574" ref="C193"/>
    <hyperlink r:id="rId575" ref="E193"/>
    <hyperlink r:id="rId576" ref="A194"/>
    <hyperlink r:id="rId577" ref="C194"/>
    <hyperlink r:id="rId578" ref="E194"/>
    <hyperlink r:id="rId579" ref="A195"/>
    <hyperlink r:id="rId580" ref="C195"/>
    <hyperlink r:id="rId581" ref="E195"/>
    <hyperlink r:id="rId582" ref="A196"/>
    <hyperlink r:id="rId583" ref="C196"/>
    <hyperlink r:id="rId584" ref="E196"/>
    <hyperlink r:id="rId585" ref="A197"/>
    <hyperlink r:id="rId586" ref="C197"/>
    <hyperlink r:id="rId587" ref="E197"/>
    <hyperlink r:id="rId588" ref="A198"/>
    <hyperlink r:id="rId589" ref="C198"/>
    <hyperlink r:id="rId590" ref="E198"/>
    <hyperlink r:id="rId591" ref="A199"/>
    <hyperlink r:id="rId592" ref="C199"/>
    <hyperlink r:id="rId593" ref="E199"/>
    <hyperlink r:id="rId594" ref="A200"/>
    <hyperlink r:id="rId595" ref="C200"/>
    <hyperlink r:id="rId596" ref="E200"/>
    <hyperlink r:id="rId597" ref="A201"/>
    <hyperlink r:id="rId598" ref="C201"/>
    <hyperlink r:id="rId599" ref="E201"/>
    <hyperlink r:id="rId600" ref="A202"/>
    <hyperlink r:id="rId601" ref="C202"/>
    <hyperlink r:id="rId602" ref="E202"/>
    <hyperlink r:id="rId603" ref="A203"/>
    <hyperlink r:id="rId604" ref="C203"/>
    <hyperlink r:id="rId605" ref="E203"/>
    <hyperlink r:id="rId606" ref="A204"/>
    <hyperlink r:id="rId607" ref="C204"/>
    <hyperlink r:id="rId608" ref="E204"/>
    <hyperlink r:id="rId609" ref="A205"/>
    <hyperlink r:id="rId610" ref="C205"/>
    <hyperlink r:id="rId611" ref="E205"/>
    <hyperlink r:id="rId612" ref="A206"/>
    <hyperlink r:id="rId613" ref="C206"/>
    <hyperlink r:id="rId614" ref="E206"/>
    <hyperlink r:id="rId615" ref="A207"/>
    <hyperlink r:id="rId616" ref="C207"/>
    <hyperlink r:id="rId617" ref="E207"/>
    <hyperlink r:id="rId618" ref="A208"/>
    <hyperlink r:id="rId619" ref="C208"/>
    <hyperlink r:id="rId620" ref="E208"/>
    <hyperlink r:id="rId621" ref="A209"/>
    <hyperlink r:id="rId622" ref="C209"/>
    <hyperlink r:id="rId623" ref="E209"/>
    <hyperlink r:id="rId624" ref="A210"/>
    <hyperlink r:id="rId625" ref="C210"/>
    <hyperlink r:id="rId626" ref="E210"/>
    <hyperlink r:id="rId627" ref="A211"/>
    <hyperlink r:id="rId628" ref="C211"/>
    <hyperlink r:id="rId629" ref="E211"/>
    <hyperlink r:id="rId630" ref="A212"/>
    <hyperlink r:id="rId631" ref="C212"/>
    <hyperlink r:id="rId632" ref="E212"/>
    <hyperlink r:id="rId633" ref="A213"/>
    <hyperlink r:id="rId634" ref="C213"/>
    <hyperlink r:id="rId635" ref="E213"/>
    <hyperlink r:id="rId636" ref="A214"/>
    <hyperlink r:id="rId637" ref="C214"/>
    <hyperlink r:id="rId638" ref="E214"/>
    <hyperlink r:id="rId639" ref="A215"/>
    <hyperlink r:id="rId640" ref="C215"/>
    <hyperlink r:id="rId641" ref="E215"/>
    <hyperlink r:id="rId642" ref="A216"/>
    <hyperlink r:id="rId643" ref="C216"/>
    <hyperlink r:id="rId644" ref="E216"/>
    <hyperlink r:id="rId645" ref="A217"/>
    <hyperlink r:id="rId646" ref="C217"/>
    <hyperlink r:id="rId647" ref="E217"/>
    <hyperlink r:id="rId648" ref="A218"/>
    <hyperlink r:id="rId649" ref="C218"/>
    <hyperlink r:id="rId650" ref="E218"/>
    <hyperlink r:id="rId651" ref="A219"/>
    <hyperlink r:id="rId652" ref="C219"/>
    <hyperlink r:id="rId653" ref="E219"/>
    <hyperlink r:id="rId654" ref="A220"/>
    <hyperlink r:id="rId655" ref="C220"/>
    <hyperlink r:id="rId656" ref="E220"/>
    <hyperlink r:id="rId657" ref="A221"/>
    <hyperlink r:id="rId658" ref="C221"/>
    <hyperlink r:id="rId659" ref="E221"/>
    <hyperlink r:id="rId660" ref="A222"/>
    <hyperlink r:id="rId661" ref="C222"/>
    <hyperlink r:id="rId662" ref="E222"/>
    <hyperlink r:id="rId663" ref="A223"/>
    <hyperlink r:id="rId664" ref="C223"/>
    <hyperlink r:id="rId665" ref="E223"/>
    <hyperlink r:id="rId666" ref="A224"/>
    <hyperlink r:id="rId667" ref="C224"/>
    <hyperlink r:id="rId668" ref="E224"/>
    <hyperlink r:id="rId669" ref="A225"/>
    <hyperlink r:id="rId670" ref="C225"/>
    <hyperlink r:id="rId671" ref="E225"/>
    <hyperlink r:id="rId672" ref="A226"/>
    <hyperlink r:id="rId673" ref="C226"/>
    <hyperlink r:id="rId674" ref="E226"/>
    <hyperlink r:id="rId675" ref="A227"/>
    <hyperlink r:id="rId676" ref="C227"/>
    <hyperlink r:id="rId677" ref="E227"/>
    <hyperlink r:id="rId678" ref="A228"/>
    <hyperlink r:id="rId679" ref="C228"/>
    <hyperlink r:id="rId680" ref="E228"/>
    <hyperlink r:id="rId681" ref="A229"/>
    <hyperlink r:id="rId682" ref="C229"/>
    <hyperlink r:id="rId683" ref="E229"/>
    <hyperlink r:id="rId684" ref="A230"/>
    <hyperlink r:id="rId685" ref="C230"/>
    <hyperlink r:id="rId686" ref="E230"/>
    <hyperlink r:id="rId687" ref="A231"/>
    <hyperlink r:id="rId688" ref="C231"/>
    <hyperlink r:id="rId689" ref="E231"/>
    <hyperlink r:id="rId690" ref="A232"/>
    <hyperlink r:id="rId691" ref="C232"/>
    <hyperlink r:id="rId692" ref="E232"/>
    <hyperlink r:id="rId693" ref="A233"/>
    <hyperlink r:id="rId694" ref="C233"/>
    <hyperlink r:id="rId695" ref="E233"/>
    <hyperlink r:id="rId696" ref="A234"/>
    <hyperlink r:id="rId697" ref="C234"/>
    <hyperlink r:id="rId698" ref="E234"/>
    <hyperlink r:id="rId699" ref="A235"/>
    <hyperlink r:id="rId700" ref="C235"/>
    <hyperlink r:id="rId701" ref="E235"/>
    <hyperlink r:id="rId702" ref="A236"/>
    <hyperlink r:id="rId703" ref="C236"/>
    <hyperlink r:id="rId704" ref="E236"/>
    <hyperlink r:id="rId705" ref="A237"/>
    <hyperlink r:id="rId706" ref="C237"/>
    <hyperlink r:id="rId707" ref="E237"/>
    <hyperlink r:id="rId708" ref="A238"/>
    <hyperlink r:id="rId709" ref="C238"/>
    <hyperlink r:id="rId710" ref="E238"/>
    <hyperlink r:id="rId711" ref="A239"/>
    <hyperlink r:id="rId712" ref="C239"/>
    <hyperlink r:id="rId713" ref="E239"/>
    <hyperlink r:id="rId714" ref="A240"/>
    <hyperlink r:id="rId715" ref="C240"/>
    <hyperlink r:id="rId716" ref="E240"/>
    <hyperlink r:id="rId717" ref="A241"/>
    <hyperlink r:id="rId718" ref="C241"/>
    <hyperlink r:id="rId719" ref="E241"/>
    <hyperlink r:id="rId720" ref="A242"/>
    <hyperlink r:id="rId721" ref="C242"/>
    <hyperlink r:id="rId722" ref="E242"/>
    <hyperlink r:id="rId723" ref="A243"/>
    <hyperlink r:id="rId724" ref="C243"/>
    <hyperlink r:id="rId725" ref="E243"/>
    <hyperlink r:id="rId726" ref="A244"/>
    <hyperlink r:id="rId727" ref="C244"/>
    <hyperlink r:id="rId728" ref="E244"/>
    <hyperlink r:id="rId729" ref="A245"/>
    <hyperlink r:id="rId730" ref="C245"/>
    <hyperlink r:id="rId731" ref="E245"/>
    <hyperlink r:id="rId732" ref="A246"/>
    <hyperlink r:id="rId733" ref="C246"/>
    <hyperlink r:id="rId734" ref="E246"/>
    <hyperlink r:id="rId735" ref="A247"/>
    <hyperlink r:id="rId736" ref="C247"/>
    <hyperlink r:id="rId737" ref="E247"/>
    <hyperlink r:id="rId738" ref="A248"/>
    <hyperlink r:id="rId739" ref="C248"/>
    <hyperlink r:id="rId740" ref="E248"/>
    <hyperlink r:id="rId741" ref="A249"/>
    <hyperlink r:id="rId742" ref="C249"/>
    <hyperlink r:id="rId743" ref="E249"/>
    <hyperlink r:id="rId744" ref="A250"/>
    <hyperlink r:id="rId745" ref="C250"/>
    <hyperlink r:id="rId746" ref="E250"/>
    <hyperlink r:id="rId747" ref="A251"/>
    <hyperlink r:id="rId748" ref="C251"/>
    <hyperlink r:id="rId749" ref="E251"/>
    <hyperlink r:id="rId750" ref="A252"/>
    <hyperlink r:id="rId751" ref="C252"/>
    <hyperlink r:id="rId752" ref="E252"/>
    <hyperlink r:id="rId753" ref="A253"/>
    <hyperlink r:id="rId754" ref="C253"/>
    <hyperlink r:id="rId755" ref="E253"/>
    <hyperlink r:id="rId756" ref="A254"/>
    <hyperlink r:id="rId757" ref="C254"/>
    <hyperlink r:id="rId758" ref="E254"/>
    <hyperlink r:id="rId759" ref="A255"/>
    <hyperlink r:id="rId760" ref="C255"/>
    <hyperlink r:id="rId761" ref="E255"/>
    <hyperlink r:id="rId762" ref="A256"/>
    <hyperlink r:id="rId763" ref="C256"/>
    <hyperlink r:id="rId764" ref="E256"/>
    <hyperlink r:id="rId765" ref="A257"/>
    <hyperlink r:id="rId766" ref="C257"/>
    <hyperlink r:id="rId767" ref="E257"/>
    <hyperlink r:id="rId768" ref="A258"/>
    <hyperlink r:id="rId769" ref="C258"/>
    <hyperlink r:id="rId770" ref="E258"/>
    <hyperlink r:id="rId771" ref="A259"/>
    <hyperlink r:id="rId772" ref="C259"/>
    <hyperlink r:id="rId773" ref="E259"/>
    <hyperlink r:id="rId774" ref="A260"/>
    <hyperlink r:id="rId775" ref="C260"/>
    <hyperlink r:id="rId776" ref="E260"/>
    <hyperlink r:id="rId777" ref="A261"/>
    <hyperlink r:id="rId778" ref="C261"/>
    <hyperlink r:id="rId779" ref="E261"/>
    <hyperlink r:id="rId780" ref="A262"/>
    <hyperlink r:id="rId781" ref="C262"/>
    <hyperlink r:id="rId782" ref="E262"/>
    <hyperlink r:id="rId783" ref="A263"/>
    <hyperlink r:id="rId784" ref="C263"/>
    <hyperlink r:id="rId785" ref="E263"/>
    <hyperlink r:id="rId786" ref="A264"/>
    <hyperlink r:id="rId787" ref="C264"/>
    <hyperlink r:id="rId788" ref="E264"/>
    <hyperlink r:id="rId789" ref="A265"/>
    <hyperlink r:id="rId790" ref="C265"/>
    <hyperlink r:id="rId791" ref="E265"/>
    <hyperlink r:id="rId792" ref="A266"/>
    <hyperlink r:id="rId793" ref="C266"/>
    <hyperlink r:id="rId794" ref="E266"/>
    <hyperlink r:id="rId795" ref="A267"/>
    <hyperlink r:id="rId796" ref="C267"/>
    <hyperlink r:id="rId797" ref="E267"/>
    <hyperlink r:id="rId798" ref="A268"/>
    <hyperlink r:id="rId799" ref="C268"/>
    <hyperlink r:id="rId800" ref="E268"/>
    <hyperlink r:id="rId801" ref="A269"/>
    <hyperlink r:id="rId802" ref="C269"/>
    <hyperlink r:id="rId803" ref="E269"/>
    <hyperlink r:id="rId804" ref="A270"/>
    <hyperlink r:id="rId805" ref="C270"/>
    <hyperlink r:id="rId806" ref="E270"/>
    <hyperlink r:id="rId807" ref="A271"/>
    <hyperlink r:id="rId808" ref="C271"/>
    <hyperlink r:id="rId809" ref="E271"/>
    <hyperlink r:id="rId810" ref="A272"/>
    <hyperlink r:id="rId811" ref="C272"/>
    <hyperlink r:id="rId812" ref="E272"/>
    <hyperlink r:id="rId813" ref="A273"/>
    <hyperlink r:id="rId814" ref="C273"/>
    <hyperlink r:id="rId815" ref="E273"/>
    <hyperlink r:id="rId816" ref="A274"/>
    <hyperlink r:id="rId817" ref="C274"/>
    <hyperlink r:id="rId818" ref="E274"/>
    <hyperlink r:id="rId819" ref="A275"/>
    <hyperlink r:id="rId820" ref="C275"/>
    <hyperlink r:id="rId821" ref="E275"/>
    <hyperlink r:id="rId822" ref="A276"/>
    <hyperlink r:id="rId823" ref="C276"/>
    <hyperlink r:id="rId824" ref="E276"/>
    <hyperlink r:id="rId825" ref="A277"/>
    <hyperlink r:id="rId826" ref="C277"/>
    <hyperlink r:id="rId827" ref="E277"/>
    <hyperlink r:id="rId828" ref="A278"/>
    <hyperlink r:id="rId829" ref="C278"/>
    <hyperlink r:id="rId830" ref="E278"/>
    <hyperlink r:id="rId831" ref="A279"/>
    <hyperlink r:id="rId832" ref="C279"/>
    <hyperlink r:id="rId833" ref="E279"/>
    <hyperlink r:id="rId834" ref="A280"/>
    <hyperlink r:id="rId835" ref="C280"/>
    <hyperlink r:id="rId836" ref="E280"/>
    <hyperlink r:id="rId837" ref="A281"/>
    <hyperlink r:id="rId838" ref="C281"/>
    <hyperlink r:id="rId839" ref="E281"/>
    <hyperlink r:id="rId840" ref="A282"/>
    <hyperlink r:id="rId841" ref="C282"/>
    <hyperlink r:id="rId842" ref="E282"/>
    <hyperlink r:id="rId843" ref="A283"/>
    <hyperlink r:id="rId844" ref="C283"/>
    <hyperlink r:id="rId845" ref="E283"/>
    <hyperlink r:id="rId846" ref="A284"/>
    <hyperlink r:id="rId847" ref="C284"/>
    <hyperlink r:id="rId848" ref="E284"/>
    <hyperlink r:id="rId849" ref="A285"/>
    <hyperlink r:id="rId850" ref="C285"/>
    <hyperlink r:id="rId851" ref="E285"/>
    <hyperlink r:id="rId852" ref="A286"/>
    <hyperlink r:id="rId853" ref="C286"/>
    <hyperlink r:id="rId854" ref="E286"/>
    <hyperlink r:id="rId855" ref="A287"/>
    <hyperlink r:id="rId856" ref="C287"/>
    <hyperlink r:id="rId857" ref="E287"/>
    <hyperlink r:id="rId858" ref="A288"/>
    <hyperlink r:id="rId859" ref="C288"/>
    <hyperlink r:id="rId860" ref="E288"/>
    <hyperlink r:id="rId861" ref="A289"/>
    <hyperlink r:id="rId862" ref="C289"/>
    <hyperlink r:id="rId863" ref="E289"/>
    <hyperlink r:id="rId864" ref="A290"/>
    <hyperlink r:id="rId865" ref="C290"/>
    <hyperlink r:id="rId866" ref="E290"/>
    <hyperlink r:id="rId867" ref="A291"/>
    <hyperlink r:id="rId868" ref="C291"/>
    <hyperlink r:id="rId869" ref="E291"/>
    <hyperlink r:id="rId870" ref="A292"/>
    <hyperlink r:id="rId871" ref="C292"/>
    <hyperlink r:id="rId872" ref="E292"/>
    <hyperlink r:id="rId873" ref="A293"/>
    <hyperlink r:id="rId874" ref="C293"/>
    <hyperlink r:id="rId875" ref="E293"/>
    <hyperlink r:id="rId876" ref="A294"/>
    <hyperlink r:id="rId877" ref="C294"/>
    <hyperlink r:id="rId878" ref="E294"/>
    <hyperlink r:id="rId879" ref="A295"/>
    <hyperlink r:id="rId880" ref="C295"/>
    <hyperlink r:id="rId881" ref="E295"/>
    <hyperlink r:id="rId882" ref="A296"/>
    <hyperlink r:id="rId883" ref="C296"/>
    <hyperlink r:id="rId884" ref="E296"/>
    <hyperlink r:id="rId885" ref="A297"/>
    <hyperlink r:id="rId886" ref="C297"/>
    <hyperlink r:id="rId887" ref="E297"/>
    <hyperlink r:id="rId888" ref="A298"/>
    <hyperlink r:id="rId889" ref="C298"/>
    <hyperlink r:id="rId890" ref="E298"/>
    <hyperlink r:id="rId891" ref="A299"/>
    <hyperlink r:id="rId892" ref="C299"/>
    <hyperlink r:id="rId893" ref="E299"/>
    <hyperlink r:id="rId894" ref="A300"/>
    <hyperlink r:id="rId895" ref="C300"/>
    <hyperlink r:id="rId896" ref="E300"/>
    <hyperlink r:id="rId897" ref="A301"/>
    <hyperlink r:id="rId898" ref="C301"/>
    <hyperlink r:id="rId899" ref="E301"/>
    <hyperlink r:id="rId900" ref="A302"/>
    <hyperlink r:id="rId901" ref="C302"/>
    <hyperlink r:id="rId902" ref="E302"/>
    <hyperlink r:id="rId903" ref="A303"/>
    <hyperlink r:id="rId904" ref="C303"/>
    <hyperlink r:id="rId905" ref="E303"/>
    <hyperlink r:id="rId906" ref="A304"/>
    <hyperlink r:id="rId907" ref="C304"/>
    <hyperlink r:id="rId908" ref="E304"/>
    <hyperlink r:id="rId909" ref="A305"/>
    <hyperlink r:id="rId910" ref="C305"/>
    <hyperlink r:id="rId911" ref="E305"/>
    <hyperlink r:id="rId912" ref="A306"/>
    <hyperlink r:id="rId913" ref="C306"/>
    <hyperlink r:id="rId914" ref="E306"/>
    <hyperlink r:id="rId915" ref="A307"/>
    <hyperlink r:id="rId916" ref="C307"/>
    <hyperlink r:id="rId917" ref="E307"/>
    <hyperlink r:id="rId918" ref="A308"/>
    <hyperlink r:id="rId919" ref="C308"/>
    <hyperlink r:id="rId920" ref="E308"/>
    <hyperlink r:id="rId921" ref="A309"/>
    <hyperlink r:id="rId922" ref="C309"/>
    <hyperlink r:id="rId923" ref="E309"/>
    <hyperlink r:id="rId924" ref="A310"/>
    <hyperlink r:id="rId925" ref="C310"/>
    <hyperlink r:id="rId926" ref="E310"/>
    <hyperlink r:id="rId927" ref="A311"/>
    <hyperlink r:id="rId928" ref="C311"/>
    <hyperlink r:id="rId929" ref="E311"/>
    <hyperlink r:id="rId930" ref="A312"/>
    <hyperlink r:id="rId931" ref="C312"/>
    <hyperlink r:id="rId932" ref="E312"/>
    <hyperlink r:id="rId933" ref="A313"/>
    <hyperlink r:id="rId934" ref="C313"/>
    <hyperlink r:id="rId935" ref="E313"/>
    <hyperlink r:id="rId936" ref="A314"/>
    <hyperlink r:id="rId937" ref="C314"/>
    <hyperlink r:id="rId938" ref="E314"/>
    <hyperlink r:id="rId939" ref="A315"/>
    <hyperlink r:id="rId940" ref="C315"/>
    <hyperlink r:id="rId941" ref="E315"/>
    <hyperlink r:id="rId942" ref="A316"/>
    <hyperlink r:id="rId943" ref="C316"/>
    <hyperlink r:id="rId944" ref="E316"/>
    <hyperlink r:id="rId945" ref="A317"/>
    <hyperlink r:id="rId946" ref="C317"/>
    <hyperlink r:id="rId947" ref="E317"/>
    <hyperlink r:id="rId948" ref="A318"/>
    <hyperlink r:id="rId949" ref="C318"/>
    <hyperlink r:id="rId950" ref="E318"/>
    <hyperlink r:id="rId951" ref="A319"/>
    <hyperlink r:id="rId952" ref="C319"/>
    <hyperlink r:id="rId953" ref="E319"/>
    <hyperlink r:id="rId954" ref="A320"/>
    <hyperlink r:id="rId955" ref="C320"/>
    <hyperlink r:id="rId956" ref="E320"/>
    <hyperlink r:id="rId957" ref="A321"/>
    <hyperlink r:id="rId958" ref="C321"/>
    <hyperlink r:id="rId959" ref="E321"/>
    <hyperlink r:id="rId960" ref="A322"/>
    <hyperlink r:id="rId961" ref="C322"/>
    <hyperlink r:id="rId962" ref="E322"/>
    <hyperlink r:id="rId963" ref="A323"/>
    <hyperlink r:id="rId964" ref="C323"/>
    <hyperlink r:id="rId965" ref="E323"/>
    <hyperlink r:id="rId966" ref="A324"/>
    <hyperlink r:id="rId967" ref="C324"/>
    <hyperlink r:id="rId968" ref="E324"/>
    <hyperlink r:id="rId969" ref="A325"/>
    <hyperlink r:id="rId970" ref="C325"/>
    <hyperlink r:id="rId971" ref="E325"/>
    <hyperlink r:id="rId972" ref="A326"/>
    <hyperlink r:id="rId973" ref="C326"/>
    <hyperlink r:id="rId974" ref="E326"/>
    <hyperlink r:id="rId975" ref="A327"/>
    <hyperlink r:id="rId976" ref="C327"/>
    <hyperlink r:id="rId977" ref="E327"/>
    <hyperlink r:id="rId978" ref="A328"/>
    <hyperlink r:id="rId979" ref="C328"/>
    <hyperlink r:id="rId980" ref="E328"/>
    <hyperlink r:id="rId981" ref="A329"/>
    <hyperlink r:id="rId982" ref="C329"/>
    <hyperlink r:id="rId983" ref="E329"/>
    <hyperlink r:id="rId984" ref="A330"/>
    <hyperlink r:id="rId985" ref="C330"/>
    <hyperlink r:id="rId986" ref="E330"/>
    <hyperlink r:id="rId987" ref="A331"/>
    <hyperlink r:id="rId988" ref="C331"/>
    <hyperlink r:id="rId989" ref="E331"/>
    <hyperlink r:id="rId990" ref="A332"/>
    <hyperlink r:id="rId991" ref="C332"/>
    <hyperlink r:id="rId992" ref="E332"/>
    <hyperlink r:id="rId993" ref="A333"/>
    <hyperlink r:id="rId994" ref="C333"/>
    <hyperlink r:id="rId995" ref="E333"/>
    <hyperlink r:id="rId996" ref="A334"/>
    <hyperlink r:id="rId997" ref="C334"/>
    <hyperlink r:id="rId998" ref="E334"/>
    <hyperlink r:id="rId999" ref="A335"/>
    <hyperlink r:id="rId1000" ref="C335"/>
    <hyperlink r:id="rId1001" ref="E335"/>
    <hyperlink r:id="rId1002" ref="A336"/>
    <hyperlink r:id="rId1003" ref="C336"/>
    <hyperlink r:id="rId1004" ref="E336"/>
    <hyperlink r:id="rId1005" ref="A337"/>
    <hyperlink r:id="rId1006" ref="C337"/>
    <hyperlink r:id="rId1007" ref="E337"/>
    <hyperlink r:id="rId1008" ref="A338"/>
    <hyperlink r:id="rId1009" ref="C338"/>
    <hyperlink r:id="rId1010" ref="E338"/>
    <hyperlink r:id="rId1011" ref="A339"/>
    <hyperlink r:id="rId1012" ref="C339"/>
    <hyperlink r:id="rId1013" ref="E339"/>
    <hyperlink r:id="rId1014" ref="A340"/>
    <hyperlink r:id="rId1015" ref="C340"/>
    <hyperlink r:id="rId1016" ref="E340"/>
    <hyperlink r:id="rId1017" ref="A341"/>
    <hyperlink r:id="rId1018" ref="C341"/>
    <hyperlink r:id="rId1019" ref="E341"/>
    <hyperlink r:id="rId1020" ref="A342"/>
    <hyperlink r:id="rId1021" ref="C342"/>
    <hyperlink r:id="rId1022" ref="E342"/>
    <hyperlink r:id="rId1023" ref="A343"/>
    <hyperlink r:id="rId1024" ref="C343"/>
    <hyperlink r:id="rId1025" ref="E343"/>
    <hyperlink r:id="rId1026" ref="A344"/>
    <hyperlink r:id="rId1027" ref="C344"/>
    <hyperlink r:id="rId1028" ref="E344"/>
    <hyperlink r:id="rId1029" ref="A345"/>
    <hyperlink r:id="rId1030" ref="C345"/>
    <hyperlink r:id="rId1031" ref="E345"/>
    <hyperlink r:id="rId1032" ref="A346"/>
    <hyperlink r:id="rId1033" ref="C346"/>
    <hyperlink r:id="rId1034" ref="E346"/>
    <hyperlink r:id="rId1035" ref="A347"/>
    <hyperlink r:id="rId1036" ref="C347"/>
    <hyperlink r:id="rId1037" ref="E347"/>
    <hyperlink r:id="rId1038" ref="A348"/>
    <hyperlink r:id="rId1039" ref="C348"/>
    <hyperlink r:id="rId1040" ref="E348"/>
    <hyperlink r:id="rId1041" ref="A349"/>
    <hyperlink r:id="rId1042" ref="C349"/>
    <hyperlink r:id="rId1043" ref="E349"/>
    <hyperlink r:id="rId1044" ref="A350"/>
    <hyperlink r:id="rId1045" ref="C350"/>
    <hyperlink r:id="rId1046" ref="E350"/>
    <hyperlink r:id="rId1047" ref="A351"/>
    <hyperlink r:id="rId1048" ref="C351"/>
    <hyperlink r:id="rId1049" ref="E351"/>
    <hyperlink r:id="rId1050" ref="A352"/>
    <hyperlink r:id="rId1051" ref="C352"/>
    <hyperlink r:id="rId1052" ref="E352"/>
    <hyperlink r:id="rId1053" ref="A353"/>
    <hyperlink r:id="rId1054" ref="C353"/>
    <hyperlink r:id="rId1055" ref="E353"/>
    <hyperlink r:id="rId1056" ref="A354"/>
    <hyperlink r:id="rId1057" ref="C354"/>
    <hyperlink r:id="rId1058" ref="E354"/>
    <hyperlink r:id="rId1059" ref="A355"/>
    <hyperlink r:id="rId1060" ref="C355"/>
    <hyperlink r:id="rId1061" ref="E355"/>
    <hyperlink r:id="rId1062" ref="A356"/>
    <hyperlink r:id="rId1063" ref="C356"/>
    <hyperlink r:id="rId1064" ref="E356"/>
    <hyperlink r:id="rId1065" ref="A357"/>
    <hyperlink r:id="rId1066" ref="C357"/>
    <hyperlink r:id="rId1067" ref="E357"/>
    <hyperlink r:id="rId1068" ref="A358"/>
    <hyperlink r:id="rId1069" ref="C358"/>
    <hyperlink r:id="rId1070" ref="E358"/>
    <hyperlink r:id="rId1071" ref="A359"/>
    <hyperlink r:id="rId1072" ref="C359"/>
    <hyperlink r:id="rId1073" ref="E359"/>
    <hyperlink r:id="rId1074" ref="A360"/>
    <hyperlink r:id="rId1075" ref="C360"/>
    <hyperlink r:id="rId1076" ref="E360"/>
    <hyperlink r:id="rId1077" ref="A361"/>
    <hyperlink r:id="rId1078" ref="C361"/>
    <hyperlink r:id="rId1079" ref="E361"/>
    <hyperlink r:id="rId1080" ref="A362"/>
    <hyperlink r:id="rId1081" ref="C362"/>
    <hyperlink r:id="rId1082" ref="E362"/>
    <hyperlink r:id="rId1083" ref="A363"/>
    <hyperlink r:id="rId1084" ref="C363"/>
    <hyperlink r:id="rId1085" ref="E363"/>
    <hyperlink r:id="rId1086" ref="A364"/>
    <hyperlink r:id="rId1087" ref="C364"/>
    <hyperlink r:id="rId1088" ref="E364"/>
    <hyperlink r:id="rId1089" ref="A365"/>
    <hyperlink r:id="rId1090" ref="C365"/>
    <hyperlink r:id="rId1091" ref="E365"/>
    <hyperlink r:id="rId1092" ref="A366"/>
    <hyperlink r:id="rId1093" ref="C366"/>
    <hyperlink r:id="rId1094" ref="E366"/>
    <hyperlink r:id="rId1095" ref="A367"/>
    <hyperlink r:id="rId1096" ref="C367"/>
    <hyperlink r:id="rId1097" ref="E367"/>
    <hyperlink r:id="rId1098" ref="A368"/>
    <hyperlink r:id="rId1099" ref="C368"/>
    <hyperlink r:id="rId1100" ref="E368"/>
    <hyperlink r:id="rId1101" ref="A369"/>
    <hyperlink r:id="rId1102" ref="C369"/>
    <hyperlink r:id="rId1103" ref="E369"/>
    <hyperlink r:id="rId1104" ref="A370"/>
    <hyperlink r:id="rId1105" ref="C370"/>
    <hyperlink r:id="rId1106" ref="E370"/>
    <hyperlink r:id="rId1107" ref="A371"/>
    <hyperlink r:id="rId1108" ref="C371"/>
    <hyperlink r:id="rId1109" ref="E371"/>
    <hyperlink r:id="rId1110" ref="A372"/>
    <hyperlink r:id="rId1111" ref="C372"/>
    <hyperlink r:id="rId1112" ref="E372"/>
    <hyperlink r:id="rId1113" ref="A373"/>
    <hyperlink r:id="rId1114" ref="C373"/>
    <hyperlink r:id="rId1115" ref="E373"/>
    <hyperlink r:id="rId1116" ref="A374"/>
    <hyperlink r:id="rId1117" ref="C374"/>
    <hyperlink r:id="rId1118" ref="E374"/>
    <hyperlink r:id="rId1119" ref="A375"/>
    <hyperlink r:id="rId1120" ref="C375"/>
    <hyperlink r:id="rId1121" ref="E375"/>
    <hyperlink r:id="rId1122" ref="A376"/>
    <hyperlink r:id="rId1123" ref="C376"/>
    <hyperlink r:id="rId1124" ref="E376"/>
    <hyperlink r:id="rId1125" ref="A377"/>
    <hyperlink r:id="rId1126" ref="C377"/>
    <hyperlink r:id="rId1127" ref="E377"/>
    <hyperlink r:id="rId1128" ref="A378"/>
    <hyperlink r:id="rId1129" ref="C378"/>
    <hyperlink r:id="rId1130" ref="E378"/>
    <hyperlink r:id="rId1131" ref="A379"/>
    <hyperlink r:id="rId1132" ref="C379"/>
    <hyperlink r:id="rId1133" ref="E379"/>
    <hyperlink r:id="rId1134" ref="A380"/>
    <hyperlink r:id="rId1135" ref="C380"/>
    <hyperlink r:id="rId1136" ref="E380"/>
    <hyperlink r:id="rId1137" ref="A381"/>
    <hyperlink r:id="rId1138" ref="C381"/>
    <hyperlink r:id="rId1139" ref="E381"/>
    <hyperlink r:id="rId1140" ref="A382"/>
    <hyperlink r:id="rId1141" ref="C382"/>
    <hyperlink r:id="rId1142" ref="E382"/>
    <hyperlink r:id="rId1143" ref="A383"/>
    <hyperlink r:id="rId1144" ref="C383"/>
    <hyperlink r:id="rId1145" ref="E383"/>
    <hyperlink r:id="rId1146" ref="A384"/>
    <hyperlink r:id="rId1147" ref="C384"/>
    <hyperlink r:id="rId1148" ref="E384"/>
    <hyperlink r:id="rId1149" ref="A385"/>
    <hyperlink r:id="rId1150" ref="C385"/>
    <hyperlink r:id="rId1151" ref="E385"/>
    <hyperlink r:id="rId1152" ref="A386"/>
    <hyperlink r:id="rId1153" ref="C386"/>
    <hyperlink r:id="rId1154" ref="E386"/>
    <hyperlink r:id="rId1155" ref="A387"/>
    <hyperlink r:id="rId1156" ref="C387"/>
    <hyperlink r:id="rId1157" ref="E387"/>
    <hyperlink r:id="rId1158" ref="A388"/>
    <hyperlink r:id="rId1159" ref="C388"/>
    <hyperlink r:id="rId1160" ref="E388"/>
    <hyperlink r:id="rId1161" ref="A389"/>
    <hyperlink r:id="rId1162" ref="C389"/>
    <hyperlink r:id="rId1163" ref="E389"/>
    <hyperlink r:id="rId1164" ref="A390"/>
    <hyperlink r:id="rId1165" ref="C390"/>
    <hyperlink r:id="rId1166" ref="E390"/>
    <hyperlink r:id="rId1167" ref="A391"/>
    <hyperlink r:id="rId1168" ref="C391"/>
    <hyperlink r:id="rId1169" ref="E391"/>
    <hyperlink r:id="rId1170" ref="A392"/>
    <hyperlink r:id="rId1171" ref="C392"/>
    <hyperlink r:id="rId1172" ref="E392"/>
    <hyperlink r:id="rId1173" ref="A393"/>
    <hyperlink r:id="rId1174" ref="C393"/>
    <hyperlink r:id="rId1175" ref="E393"/>
    <hyperlink r:id="rId1176" ref="A394"/>
    <hyperlink r:id="rId1177" ref="C394"/>
    <hyperlink r:id="rId1178" ref="E394"/>
    <hyperlink r:id="rId1179" ref="A395"/>
    <hyperlink r:id="rId1180" ref="C395"/>
    <hyperlink r:id="rId1181" ref="E395"/>
    <hyperlink r:id="rId1182" ref="A396"/>
    <hyperlink r:id="rId1183" ref="C396"/>
    <hyperlink r:id="rId1184" ref="E396"/>
    <hyperlink r:id="rId1185" ref="A397"/>
    <hyperlink r:id="rId1186" ref="C397"/>
    <hyperlink r:id="rId1187" ref="E397"/>
    <hyperlink r:id="rId1188" ref="A398"/>
    <hyperlink r:id="rId1189" ref="C398"/>
    <hyperlink r:id="rId1190" ref="E398"/>
    <hyperlink r:id="rId1191" ref="A399"/>
    <hyperlink r:id="rId1192" ref="C399"/>
    <hyperlink r:id="rId1193" ref="E399"/>
    <hyperlink r:id="rId1194" ref="A400"/>
    <hyperlink r:id="rId1195" ref="C400"/>
    <hyperlink r:id="rId1196" ref="E400"/>
    <hyperlink r:id="rId1197" ref="A401"/>
    <hyperlink r:id="rId1198" ref="C401"/>
    <hyperlink r:id="rId1199" ref="E401"/>
    <hyperlink r:id="rId1200" ref="A402"/>
    <hyperlink r:id="rId1201" ref="C402"/>
    <hyperlink r:id="rId1202" ref="E402"/>
    <hyperlink r:id="rId1203" ref="A403"/>
    <hyperlink r:id="rId1204" ref="C403"/>
    <hyperlink r:id="rId1205" ref="E403"/>
    <hyperlink r:id="rId1206" ref="A404"/>
    <hyperlink r:id="rId1207" ref="C404"/>
    <hyperlink r:id="rId1208" ref="E404"/>
    <hyperlink r:id="rId1209" ref="A405"/>
    <hyperlink r:id="rId1210" ref="C405"/>
    <hyperlink r:id="rId1211" ref="E405"/>
    <hyperlink r:id="rId1212" ref="A406"/>
    <hyperlink r:id="rId1213" ref="C406"/>
    <hyperlink r:id="rId1214" ref="E406"/>
    <hyperlink r:id="rId1215" ref="A407"/>
    <hyperlink r:id="rId1216" ref="C407"/>
    <hyperlink r:id="rId1217" ref="E407"/>
    <hyperlink r:id="rId1218" ref="A408"/>
    <hyperlink r:id="rId1219" ref="C408"/>
    <hyperlink r:id="rId1220" ref="E408"/>
    <hyperlink r:id="rId1221" ref="A409"/>
    <hyperlink r:id="rId1222" ref="C409"/>
    <hyperlink r:id="rId1223" ref="E409"/>
    <hyperlink r:id="rId1224" ref="A410"/>
    <hyperlink r:id="rId1225" ref="C410"/>
    <hyperlink r:id="rId1226" ref="E410"/>
    <hyperlink r:id="rId1227" ref="A411"/>
    <hyperlink r:id="rId1228" ref="C411"/>
    <hyperlink r:id="rId1229" ref="E411"/>
    <hyperlink r:id="rId1230" ref="A412"/>
    <hyperlink r:id="rId1231" ref="C412"/>
    <hyperlink r:id="rId1232" ref="E412"/>
    <hyperlink r:id="rId1233" ref="A413"/>
    <hyperlink r:id="rId1234" ref="C413"/>
    <hyperlink r:id="rId1235" ref="E413"/>
    <hyperlink r:id="rId1236" ref="A414"/>
    <hyperlink r:id="rId1237" ref="C414"/>
    <hyperlink r:id="rId1238" ref="E414"/>
    <hyperlink r:id="rId1239" ref="A415"/>
    <hyperlink r:id="rId1240" ref="C415"/>
    <hyperlink r:id="rId1241" ref="E415"/>
    <hyperlink r:id="rId1242" ref="A416"/>
    <hyperlink r:id="rId1243" ref="C416"/>
    <hyperlink r:id="rId1244" ref="E416"/>
    <hyperlink r:id="rId1245" ref="A417"/>
    <hyperlink r:id="rId1246" ref="C417"/>
    <hyperlink r:id="rId1247" ref="E417"/>
    <hyperlink r:id="rId1248" ref="A418"/>
    <hyperlink r:id="rId1249" ref="C418"/>
    <hyperlink r:id="rId1250" ref="E418"/>
    <hyperlink r:id="rId1251" ref="A419"/>
    <hyperlink r:id="rId1252" ref="C419"/>
    <hyperlink r:id="rId1253" ref="E419"/>
    <hyperlink r:id="rId1254" ref="A420"/>
    <hyperlink r:id="rId1255" ref="C420"/>
    <hyperlink r:id="rId1256" ref="E420"/>
    <hyperlink r:id="rId1257" ref="A421"/>
    <hyperlink r:id="rId1258" ref="C421"/>
    <hyperlink r:id="rId1259" ref="E421"/>
    <hyperlink r:id="rId1260" ref="A422"/>
    <hyperlink r:id="rId1261" ref="C422"/>
    <hyperlink r:id="rId1262" ref="E422"/>
    <hyperlink r:id="rId1263" ref="A423"/>
    <hyperlink r:id="rId1264" ref="C423"/>
    <hyperlink r:id="rId1265" ref="E423"/>
    <hyperlink r:id="rId1266" ref="A424"/>
    <hyperlink r:id="rId1267" ref="C424"/>
    <hyperlink r:id="rId1268" ref="E424"/>
    <hyperlink r:id="rId1269" ref="A425"/>
    <hyperlink r:id="rId1270" ref="C425"/>
    <hyperlink r:id="rId1271" ref="E425"/>
    <hyperlink r:id="rId1272" ref="A426"/>
    <hyperlink r:id="rId1273" ref="C426"/>
    <hyperlink r:id="rId1274" ref="E426"/>
    <hyperlink r:id="rId1275" ref="A427"/>
    <hyperlink r:id="rId1276" ref="C427"/>
    <hyperlink r:id="rId1277" ref="E427"/>
    <hyperlink r:id="rId1278" ref="A428"/>
    <hyperlink r:id="rId1279" ref="C428"/>
    <hyperlink r:id="rId1280" ref="E428"/>
    <hyperlink r:id="rId1281" ref="A429"/>
    <hyperlink r:id="rId1282" ref="C429"/>
    <hyperlink r:id="rId1283" ref="E429"/>
    <hyperlink r:id="rId1284" ref="A430"/>
    <hyperlink r:id="rId1285" ref="C430"/>
    <hyperlink r:id="rId1286" ref="E430"/>
    <hyperlink r:id="rId1287" ref="A431"/>
    <hyperlink r:id="rId1288" ref="C431"/>
    <hyperlink r:id="rId1289" ref="E431"/>
    <hyperlink r:id="rId1290" ref="A432"/>
    <hyperlink r:id="rId1291" ref="C432"/>
    <hyperlink r:id="rId1292" ref="E432"/>
    <hyperlink r:id="rId1293" ref="A433"/>
    <hyperlink r:id="rId1294" ref="C433"/>
    <hyperlink r:id="rId1295" ref="E433"/>
    <hyperlink r:id="rId1296" ref="A434"/>
    <hyperlink r:id="rId1297" ref="C434"/>
    <hyperlink r:id="rId1298" ref="E434"/>
    <hyperlink r:id="rId1299" ref="A435"/>
    <hyperlink r:id="rId1300" ref="C435"/>
    <hyperlink r:id="rId1301" ref="E435"/>
    <hyperlink r:id="rId1302" ref="A436"/>
    <hyperlink r:id="rId1303" ref="C436"/>
    <hyperlink r:id="rId1304" ref="E436"/>
    <hyperlink r:id="rId1305" ref="A437"/>
    <hyperlink r:id="rId1306" ref="C437"/>
    <hyperlink r:id="rId1307" ref="E437"/>
    <hyperlink r:id="rId1308" ref="A438"/>
    <hyperlink r:id="rId1309" ref="C438"/>
    <hyperlink r:id="rId1310" ref="E438"/>
    <hyperlink r:id="rId1311" ref="A439"/>
    <hyperlink r:id="rId1312" ref="C439"/>
    <hyperlink r:id="rId1313" ref="E439"/>
    <hyperlink r:id="rId1314" ref="A440"/>
    <hyperlink r:id="rId1315" ref="C440"/>
    <hyperlink r:id="rId1316" ref="E440"/>
    <hyperlink r:id="rId1317" ref="A441"/>
    <hyperlink r:id="rId1318" ref="C441"/>
    <hyperlink r:id="rId1319" ref="E441"/>
    <hyperlink r:id="rId1320" ref="A442"/>
    <hyperlink r:id="rId1321" ref="C442"/>
    <hyperlink r:id="rId1322" ref="E442"/>
    <hyperlink r:id="rId1323" ref="A443"/>
    <hyperlink r:id="rId1324" ref="C443"/>
    <hyperlink r:id="rId1325" ref="E443"/>
    <hyperlink r:id="rId1326" ref="A444"/>
    <hyperlink r:id="rId1327" ref="C444"/>
    <hyperlink r:id="rId1328" ref="E444"/>
    <hyperlink r:id="rId1329" ref="A445"/>
    <hyperlink r:id="rId1330" ref="C445"/>
    <hyperlink r:id="rId1331" ref="E445"/>
    <hyperlink r:id="rId1332" ref="A446"/>
    <hyperlink r:id="rId1333" ref="C446"/>
    <hyperlink r:id="rId1334" ref="E446"/>
    <hyperlink r:id="rId1335" ref="A447"/>
    <hyperlink r:id="rId1336" ref="C447"/>
    <hyperlink r:id="rId1337" ref="E447"/>
    <hyperlink r:id="rId1338" ref="A448"/>
    <hyperlink r:id="rId1339" ref="C448"/>
    <hyperlink r:id="rId1340" ref="E448"/>
    <hyperlink r:id="rId1341" ref="A449"/>
    <hyperlink r:id="rId1342" ref="C449"/>
    <hyperlink r:id="rId1343" ref="E449"/>
    <hyperlink r:id="rId1344" ref="A450"/>
    <hyperlink r:id="rId1345" ref="C450"/>
    <hyperlink r:id="rId1346" ref="E450"/>
    <hyperlink r:id="rId1347" ref="A451"/>
    <hyperlink r:id="rId1348" ref="C451"/>
    <hyperlink r:id="rId1349" ref="E451"/>
    <hyperlink r:id="rId1350" ref="A452"/>
    <hyperlink r:id="rId1351" ref="C452"/>
    <hyperlink r:id="rId1352" ref="E452"/>
    <hyperlink r:id="rId1353" ref="A453"/>
    <hyperlink r:id="rId1354" ref="C453"/>
    <hyperlink r:id="rId1355" ref="E453"/>
    <hyperlink r:id="rId1356" ref="A454"/>
    <hyperlink r:id="rId1357" ref="C454"/>
    <hyperlink r:id="rId1358" ref="E454"/>
    <hyperlink r:id="rId1359" ref="A455"/>
    <hyperlink r:id="rId1360" ref="C455"/>
    <hyperlink r:id="rId1361" ref="E455"/>
    <hyperlink r:id="rId1362" ref="A456"/>
    <hyperlink r:id="rId1363" ref="C456"/>
    <hyperlink r:id="rId1364" ref="E456"/>
    <hyperlink r:id="rId1365" ref="A457"/>
    <hyperlink r:id="rId1366" ref="C457"/>
    <hyperlink r:id="rId1367" ref="E457"/>
    <hyperlink r:id="rId1368" ref="A458"/>
    <hyperlink r:id="rId1369" ref="C458"/>
    <hyperlink r:id="rId1370" ref="E458"/>
    <hyperlink r:id="rId1371" ref="A459"/>
    <hyperlink r:id="rId1372" ref="C459"/>
    <hyperlink r:id="rId1373" ref="E459"/>
    <hyperlink r:id="rId1374" ref="A460"/>
    <hyperlink r:id="rId1375" ref="C460"/>
    <hyperlink r:id="rId1376" ref="E460"/>
    <hyperlink r:id="rId1377" ref="A461"/>
    <hyperlink r:id="rId1378" ref="C461"/>
    <hyperlink r:id="rId1379" ref="E461"/>
    <hyperlink r:id="rId1380" ref="A462"/>
    <hyperlink r:id="rId1381" ref="C462"/>
    <hyperlink r:id="rId1382" ref="E462"/>
    <hyperlink r:id="rId1383" ref="A463"/>
    <hyperlink r:id="rId1384" ref="C463"/>
    <hyperlink r:id="rId1385" ref="E463"/>
    <hyperlink r:id="rId1386" ref="A464"/>
    <hyperlink r:id="rId1387" ref="C464"/>
    <hyperlink r:id="rId1388" ref="E464"/>
    <hyperlink r:id="rId1389" ref="A465"/>
    <hyperlink r:id="rId1390" ref="C465"/>
    <hyperlink r:id="rId1391" ref="E465"/>
    <hyperlink r:id="rId1392" ref="A466"/>
    <hyperlink r:id="rId1393" ref="C466"/>
    <hyperlink r:id="rId1394" ref="E466"/>
    <hyperlink r:id="rId1395" ref="A467"/>
    <hyperlink r:id="rId1396" ref="C467"/>
    <hyperlink r:id="rId1397" ref="E467"/>
    <hyperlink r:id="rId1398" ref="A468"/>
    <hyperlink r:id="rId1399" ref="C468"/>
    <hyperlink r:id="rId1400" ref="E468"/>
    <hyperlink r:id="rId1401" ref="A469"/>
    <hyperlink r:id="rId1402" ref="C469"/>
    <hyperlink r:id="rId1403" ref="E469"/>
    <hyperlink r:id="rId1404" ref="A470"/>
    <hyperlink r:id="rId1405" ref="C470"/>
    <hyperlink r:id="rId1406" ref="E470"/>
    <hyperlink r:id="rId1407" ref="A471"/>
    <hyperlink r:id="rId1408" ref="C471"/>
    <hyperlink r:id="rId1409" ref="E471"/>
    <hyperlink r:id="rId1410" ref="A472"/>
    <hyperlink r:id="rId1411" ref="C472"/>
    <hyperlink r:id="rId1412" ref="E472"/>
    <hyperlink r:id="rId1413" ref="A473"/>
    <hyperlink r:id="rId1414" ref="C473"/>
    <hyperlink r:id="rId1415" ref="E473"/>
    <hyperlink r:id="rId1416" ref="A474"/>
    <hyperlink r:id="rId1417" ref="C474"/>
    <hyperlink r:id="rId1418" ref="E474"/>
    <hyperlink r:id="rId1419" ref="A475"/>
    <hyperlink r:id="rId1420" ref="C475"/>
    <hyperlink r:id="rId1421" ref="E475"/>
    <hyperlink r:id="rId1422" ref="A476"/>
    <hyperlink r:id="rId1423" ref="C476"/>
    <hyperlink r:id="rId1424" ref="E476"/>
    <hyperlink r:id="rId1425" ref="A477"/>
    <hyperlink r:id="rId1426" ref="C477"/>
    <hyperlink r:id="rId1427" ref="E477"/>
    <hyperlink r:id="rId1428" ref="A478"/>
    <hyperlink r:id="rId1429" ref="C478"/>
    <hyperlink r:id="rId1430" ref="E478"/>
    <hyperlink r:id="rId1431" ref="A479"/>
    <hyperlink r:id="rId1432" ref="C479"/>
    <hyperlink r:id="rId1433" ref="E479"/>
    <hyperlink r:id="rId1434" ref="A480"/>
    <hyperlink r:id="rId1435" ref="C480"/>
    <hyperlink r:id="rId1436" ref="E480"/>
    <hyperlink r:id="rId1437" ref="A481"/>
    <hyperlink r:id="rId1438" ref="C481"/>
    <hyperlink r:id="rId1439" ref="E481"/>
    <hyperlink r:id="rId1440" ref="A482"/>
    <hyperlink r:id="rId1441" ref="C482"/>
    <hyperlink r:id="rId1442" ref="E482"/>
    <hyperlink r:id="rId1443" ref="A483"/>
    <hyperlink r:id="rId1444" ref="C483"/>
    <hyperlink r:id="rId1445" ref="E483"/>
    <hyperlink r:id="rId1446" ref="A484"/>
    <hyperlink r:id="rId1447" ref="C484"/>
    <hyperlink r:id="rId1448" ref="E484"/>
    <hyperlink r:id="rId1449" ref="A485"/>
    <hyperlink r:id="rId1450" ref="C485"/>
    <hyperlink r:id="rId1451" ref="E485"/>
    <hyperlink r:id="rId1452" ref="A486"/>
    <hyperlink r:id="rId1453" ref="C486"/>
    <hyperlink r:id="rId1454" ref="E486"/>
    <hyperlink r:id="rId1455" ref="A487"/>
    <hyperlink r:id="rId1456" ref="C487"/>
    <hyperlink r:id="rId1457" ref="E487"/>
    <hyperlink r:id="rId1458" ref="A488"/>
    <hyperlink r:id="rId1459" ref="C488"/>
    <hyperlink r:id="rId1460" ref="E488"/>
    <hyperlink r:id="rId1461" ref="A489"/>
    <hyperlink r:id="rId1462" ref="C489"/>
    <hyperlink r:id="rId1463" ref="E489"/>
    <hyperlink r:id="rId1464" ref="A490"/>
    <hyperlink r:id="rId1465" ref="C490"/>
    <hyperlink r:id="rId1466" ref="E490"/>
    <hyperlink r:id="rId1467" ref="A491"/>
    <hyperlink r:id="rId1468" ref="C491"/>
    <hyperlink r:id="rId1469" ref="E491"/>
    <hyperlink r:id="rId1470" ref="A492"/>
    <hyperlink r:id="rId1471" ref="C492"/>
    <hyperlink r:id="rId1472" ref="E492"/>
    <hyperlink r:id="rId1473" ref="A493"/>
    <hyperlink r:id="rId1474" ref="C493"/>
    <hyperlink r:id="rId1475" ref="E493"/>
    <hyperlink r:id="rId1476" ref="A494"/>
    <hyperlink r:id="rId1477" ref="C494"/>
    <hyperlink r:id="rId1478" ref="E494"/>
    <hyperlink r:id="rId1479" ref="A495"/>
    <hyperlink r:id="rId1480" ref="C495"/>
    <hyperlink r:id="rId1481" ref="E495"/>
    <hyperlink r:id="rId1482" ref="A496"/>
    <hyperlink r:id="rId1483" ref="C496"/>
    <hyperlink r:id="rId1484" ref="E496"/>
    <hyperlink r:id="rId1485" ref="A497"/>
    <hyperlink r:id="rId1486" ref="C497"/>
    <hyperlink r:id="rId1487" ref="E497"/>
    <hyperlink r:id="rId1488" ref="A498"/>
    <hyperlink r:id="rId1489" ref="C498"/>
    <hyperlink r:id="rId1490" ref="E498"/>
    <hyperlink r:id="rId1491" ref="A499"/>
    <hyperlink r:id="rId1492" ref="C499"/>
    <hyperlink r:id="rId1493" ref="E499"/>
    <hyperlink r:id="rId1494" ref="A500"/>
    <hyperlink r:id="rId1495" ref="C500"/>
    <hyperlink r:id="rId1496" ref="E500"/>
    <hyperlink r:id="rId1497" ref="A501"/>
    <hyperlink r:id="rId1498" ref="C501"/>
    <hyperlink r:id="rId1499" ref="E501"/>
    <hyperlink r:id="rId1500" ref="A502"/>
    <hyperlink r:id="rId1501" ref="C502"/>
    <hyperlink r:id="rId1502" ref="E502"/>
    <hyperlink r:id="rId1503" ref="A503"/>
    <hyperlink r:id="rId1504" ref="C503"/>
    <hyperlink r:id="rId1505" ref="E503"/>
    <hyperlink r:id="rId1506" ref="A504"/>
    <hyperlink r:id="rId1507" ref="C504"/>
    <hyperlink r:id="rId1508" ref="E504"/>
    <hyperlink r:id="rId1509" ref="A505"/>
    <hyperlink r:id="rId1510" ref="C505"/>
    <hyperlink r:id="rId1511" ref="E505"/>
    <hyperlink r:id="rId1512" ref="A506"/>
    <hyperlink r:id="rId1513" ref="C506"/>
    <hyperlink r:id="rId1514" ref="E506"/>
    <hyperlink r:id="rId1515" ref="A507"/>
    <hyperlink r:id="rId1516" ref="C507"/>
    <hyperlink r:id="rId1517" ref="E507"/>
    <hyperlink r:id="rId1518" ref="A508"/>
    <hyperlink r:id="rId1519" ref="C508"/>
    <hyperlink r:id="rId1520" ref="E508"/>
    <hyperlink r:id="rId1521" ref="A509"/>
    <hyperlink r:id="rId1522" ref="C509"/>
    <hyperlink r:id="rId1523" ref="E509"/>
    <hyperlink r:id="rId1524" ref="A510"/>
    <hyperlink r:id="rId1525" ref="C510"/>
    <hyperlink r:id="rId1526" ref="E510"/>
    <hyperlink r:id="rId1527" ref="A511"/>
    <hyperlink r:id="rId1528" ref="C511"/>
    <hyperlink r:id="rId1529" ref="E511"/>
    <hyperlink r:id="rId1530" ref="A512"/>
    <hyperlink r:id="rId1531" ref="C512"/>
    <hyperlink r:id="rId1532" ref="E512"/>
    <hyperlink r:id="rId1533" ref="A513"/>
    <hyperlink r:id="rId1534" ref="C513"/>
    <hyperlink r:id="rId1535" ref="E513"/>
    <hyperlink r:id="rId1536" ref="A514"/>
    <hyperlink r:id="rId1537" ref="C514"/>
    <hyperlink r:id="rId1538" ref="E514"/>
    <hyperlink r:id="rId1539" ref="A515"/>
    <hyperlink r:id="rId1540" ref="C515"/>
    <hyperlink r:id="rId1541" ref="E515"/>
    <hyperlink r:id="rId1542" ref="A516"/>
    <hyperlink r:id="rId1543" ref="C516"/>
    <hyperlink r:id="rId1544" ref="E516"/>
    <hyperlink r:id="rId1545" ref="A517"/>
    <hyperlink r:id="rId1546" ref="C517"/>
    <hyperlink r:id="rId1547" ref="E517"/>
    <hyperlink r:id="rId1548" ref="A518"/>
    <hyperlink r:id="rId1549" ref="C518"/>
    <hyperlink r:id="rId1550" ref="E518"/>
    <hyperlink r:id="rId1551" ref="A519"/>
    <hyperlink r:id="rId1552" ref="C519"/>
    <hyperlink r:id="rId1553" ref="E519"/>
    <hyperlink r:id="rId1554" ref="A520"/>
    <hyperlink r:id="rId1555" ref="C520"/>
    <hyperlink r:id="rId1556" ref="E520"/>
    <hyperlink r:id="rId1557" ref="A521"/>
    <hyperlink r:id="rId1558" ref="C521"/>
    <hyperlink r:id="rId1559" ref="E521"/>
    <hyperlink r:id="rId1560" ref="A522"/>
    <hyperlink r:id="rId1561" ref="C522"/>
    <hyperlink r:id="rId1562" ref="E522"/>
    <hyperlink r:id="rId1563" ref="A523"/>
    <hyperlink r:id="rId1564" ref="C523"/>
    <hyperlink r:id="rId1565" ref="E523"/>
    <hyperlink r:id="rId1566" ref="A524"/>
    <hyperlink r:id="rId1567" ref="C524"/>
    <hyperlink r:id="rId1568" ref="E524"/>
    <hyperlink r:id="rId1569" ref="A525"/>
    <hyperlink r:id="rId1570" ref="C525"/>
    <hyperlink r:id="rId1571" ref="E525"/>
    <hyperlink r:id="rId1572" ref="A526"/>
    <hyperlink r:id="rId1573" ref="C526"/>
    <hyperlink r:id="rId1574" ref="E526"/>
    <hyperlink r:id="rId1575" ref="A527"/>
    <hyperlink r:id="rId1576" ref="C527"/>
    <hyperlink r:id="rId1577" ref="E527"/>
    <hyperlink r:id="rId1578" ref="A528"/>
    <hyperlink r:id="rId1579" ref="C528"/>
    <hyperlink r:id="rId1580" ref="E528"/>
    <hyperlink r:id="rId1581" ref="A529"/>
    <hyperlink r:id="rId1582" ref="C529"/>
    <hyperlink r:id="rId1583" ref="E529"/>
    <hyperlink r:id="rId1584" ref="A530"/>
    <hyperlink r:id="rId1585" ref="C530"/>
    <hyperlink r:id="rId1586" ref="E530"/>
    <hyperlink r:id="rId1587" ref="A531"/>
    <hyperlink r:id="rId1588" ref="C531"/>
    <hyperlink r:id="rId1589" ref="E531"/>
    <hyperlink r:id="rId1590" ref="A532"/>
    <hyperlink r:id="rId1591" ref="C532"/>
    <hyperlink r:id="rId1592" ref="E532"/>
    <hyperlink r:id="rId1593" ref="A533"/>
    <hyperlink r:id="rId1594" ref="C533"/>
    <hyperlink r:id="rId1595" ref="E533"/>
    <hyperlink r:id="rId1596" ref="A534"/>
    <hyperlink r:id="rId1597" ref="C534"/>
    <hyperlink r:id="rId1598" ref="E534"/>
    <hyperlink r:id="rId1599" ref="A535"/>
    <hyperlink r:id="rId1600" ref="C535"/>
    <hyperlink r:id="rId1601" ref="E535"/>
    <hyperlink r:id="rId1602" ref="A536"/>
    <hyperlink r:id="rId1603" ref="C536"/>
    <hyperlink r:id="rId1604" ref="E536"/>
    <hyperlink r:id="rId1605" ref="A537"/>
    <hyperlink r:id="rId1606" ref="C537"/>
    <hyperlink r:id="rId1607" ref="E537"/>
    <hyperlink r:id="rId1608" ref="A538"/>
    <hyperlink r:id="rId1609" ref="C538"/>
    <hyperlink r:id="rId1610" ref="E538"/>
    <hyperlink r:id="rId1611" ref="A539"/>
    <hyperlink r:id="rId1612" ref="C539"/>
    <hyperlink r:id="rId1613" ref="E539"/>
    <hyperlink r:id="rId1614" ref="A540"/>
    <hyperlink r:id="rId1615" ref="C540"/>
    <hyperlink r:id="rId1616" ref="E540"/>
    <hyperlink r:id="rId1617" ref="A541"/>
    <hyperlink r:id="rId1618" ref="C541"/>
    <hyperlink r:id="rId1619" ref="E541"/>
    <hyperlink r:id="rId1620" ref="A542"/>
    <hyperlink r:id="rId1621" ref="C542"/>
    <hyperlink r:id="rId1622" ref="E542"/>
    <hyperlink r:id="rId1623" ref="A543"/>
    <hyperlink r:id="rId1624" ref="C543"/>
    <hyperlink r:id="rId1625" ref="E543"/>
    <hyperlink r:id="rId1626" ref="A544"/>
    <hyperlink r:id="rId1627" ref="C544"/>
    <hyperlink r:id="rId1628" ref="E544"/>
    <hyperlink r:id="rId1629" ref="A545"/>
    <hyperlink r:id="rId1630" ref="C545"/>
    <hyperlink r:id="rId1631" ref="E545"/>
    <hyperlink r:id="rId1632" ref="A546"/>
    <hyperlink r:id="rId1633" ref="C546"/>
    <hyperlink r:id="rId1634" ref="E546"/>
    <hyperlink r:id="rId1635" ref="A547"/>
    <hyperlink r:id="rId1636" ref="C547"/>
    <hyperlink r:id="rId1637" ref="E547"/>
    <hyperlink r:id="rId1638" ref="A548"/>
    <hyperlink r:id="rId1639" ref="C548"/>
    <hyperlink r:id="rId1640" ref="E548"/>
    <hyperlink r:id="rId1641" ref="A549"/>
    <hyperlink r:id="rId1642" ref="C549"/>
    <hyperlink r:id="rId1643" ref="E549"/>
    <hyperlink r:id="rId1644" ref="A550"/>
    <hyperlink r:id="rId1645" ref="C550"/>
    <hyperlink r:id="rId1646" ref="E550"/>
    <hyperlink r:id="rId1647" ref="A551"/>
    <hyperlink r:id="rId1648" ref="C551"/>
    <hyperlink r:id="rId1649" ref="E551"/>
    <hyperlink r:id="rId1650" ref="A552"/>
    <hyperlink r:id="rId1651" ref="C552"/>
    <hyperlink r:id="rId1652" ref="E552"/>
    <hyperlink r:id="rId1653" ref="A553"/>
    <hyperlink r:id="rId1654" ref="C553"/>
    <hyperlink r:id="rId1655" ref="E553"/>
    <hyperlink r:id="rId1656" ref="A554"/>
    <hyperlink r:id="rId1657" ref="C554"/>
    <hyperlink r:id="rId1658" ref="E554"/>
    <hyperlink r:id="rId1659" ref="A555"/>
    <hyperlink r:id="rId1660" ref="C555"/>
    <hyperlink r:id="rId1661" ref="E555"/>
    <hyperlink r:id="rId1662" ref="A556"/>
    <hyperlink r:id="rId1663" ref="C556"/>
    <hyperlink r:id="rId1664" ref="E556"/>
    <hyperlink r:id="rId1665" ref="A557"/>
    <hyperlink r:id="rId1666" ref="C557"/>
    <hyperlink r:id="rId1667" ref="E557"/>
    <hyperlink r:id="rId1668" ref="A558"/>
    <hyperlink r:id="rId1669" ref="C558"/>
    <hyperlink r:id="rId1670" ref="E558"/>
    <hyperlink r:id="rId1671" ref="A559"/>
    <hyperlink r:id="rId1672" ref="C559"/>
    <hyperlink r:id="rId1673" ref="E559"/>
    <hyperlink r:id="rId1674" ref="A560"/>
    <hyperlink r:id="rId1675" ref="C560"/>
    <hyperlink r:id="rId1676" ref="E560"/>
    <hyperlink r:id="rId1677" ref="A561"/>
    <hyperlink r:id="rId1678" ref="C561"/>
    <hyperlink r:id="rId1679" ref="E561"/>
    <hyperlink r:id="rId1680" ref="A562"/>
    <hyperlink r:id="rId1681" ref="C562"/>
    <hyperlink r:id="rId1682" ref="E562"/>
    <hyperlink r:id="rId1683" ref="A563"/>
    <hyperlink r:id="rId1684" ref="C563"/>
    <hyperlink r:id="rId1685" ref="E563"/>
    <hyperlink r:id="rId1686" ref="A564"/>
    <hyperlink r:id="rId1687" ref="C564"/>
    <hyperlink r:id="rId1688" ref="E564"/>
    <hyperlink r:id="rId1689" ref="A565"/>
    <hyperlink r:id="rId1690" ref="C565"/>
    <hyperlink r:id="rId1691" ref="E565"/>
    <hyperlink r:id="rId1692" ref="A566"/>
    <hyperlink r:id="rId1693" ref="C566"/>
    <hyperlink r:id="rId1694" ref="E566"/>
    <hyperlink r:id="rId1695" ref="A567"/>
    <hyperlink r:id="rId1696" ref="C567"/>
    <hyperlink r:id="rId1697" ref="E567"/>
    <hyperlink r:id="rId1698" ref="A568"/>
    <hyperlink r:id="rId1699" ref="C568"/>
    <hyperlink r:id="rId1700" ref="E568"/>
    <hyperlink r:id="rId1701" ref="A569"/>
    <hyperlink r:id="rId1702" ref="C569"/>
    <hyperlink r:id="rId1703" ref="E569"/>
    <hyperlink r:id="rId1704" ref="A570"/>
    <hyperlink r:id="rId1705" ref="C570"/>
    <hyperlink r:id="rId1706" ref="E570"/>
    <hyperlink r:id="rId1707" ref="A571"/>
    <hyperlink r:id="rId1708" ref="C571"/>
    <hyperlink r:id="rId1709" ref="E571"/>
    <hyperlink r:id="rId1710" ref="A572"/>
    <hyperlink r:id="rId1711" ref="C572"/>
    <hyperlink r:id="rId1712" ref="E572"/>
    <hyperlink r:id="rId1713" ref="A573"/>
    <hyperlink r:id="rId1714" ref="C573"/>
    <hyperlink r:id="rId1715" ref="E573"/>
    <hyperlink r:id="rId1716" ref="A574"/>
    <hyperlink r:id="rId1717" ref="C574"/>
    <hyperlink r:id="rId1718" ref="E574"/>
    <hyperlink r:id="rId1719" ref="A575"/>
    <hyperlink r:id="rId1720" ref="C575"/>
    <hyperlink r:id="rId1721" ref="E575"/>
    <hyperlink r:id="rId1722" ref="A576"/>
    <hyperlink r:id="rId1723" ref="C576"/>
    <hyperlink r:id="rId1724" ref="E576"/>
    <hyperlink r:id="rId1725" ref="A577"/>
    <hyperlink r:id="rId1726" ref="C577"/>
    <hyperlink r:id="rId1727" ref="E577"/>
    <hyperlink r:id="rId1728" ref="A578"/>
    <hyperlink r:id="rId1729" ref="C578"/>
    <hyperlink r:id="rId1730" ref="E578"/>
    <hyperlink r:id="rId1731" ref="A579"/>
    <hyperlink r:id="rId1732" ref="C579"/>
    <hyperlink r:id="rId1733" ref="E579"/>
    <hyperlink r:id="rId1734" ref="A580"/>
    <hyperlink r:id="rId1735" ref="C580"/>
    <hyperlink r:id="rId1736" ref="E580"/>
    <hyperlink r:id="rId1737" ref="A581"/>
    <hyperlink r:id="rId1738" ref="C581"/>
    <hyperlink r:id="rId1739" ref="E581"/>
    <hyperlink r:id="rId1740" ref="A582"/>
    <hyperlink r:id="rId1741" ref="C582"/>
    <hyperlink r:id="rId1742" ref="E582"/>
    <hyperlink r:id="rId1743" ref="A583"/>
    <hyperlink r:id="rId1744" ref="C583"/>
    <hyperlink r:id="rId1745" ref="E583"/>
    <hyperlink r:id="rId1746" ref="A584"/>
    <hyperlink r:id="rId1747" ref="C584"/>
    <hyperlink r:id="rId1748" ref="E584"/>
    <hyperlink r:id="rId1749" ref="A585"/>
    <hyperlink r:id="rId1750" ref="C585"/>
    <hyperlink r:id="rId1751" ref="E585"/>
    <hyperlink r:id="rId1752" ref="A586"/>
    <hyperlink r:id="rId1753" ref="C586"/>
    <hyperlink r:id="rId1754" ref="E586"/>
    <hyperlink r:id="rId1755" ref="A587"/>
    <hyperlink r:id="rId1756" ref="C587"/>
    <hyperlink r:id="rId1757" ref="E587"/>
    <hyperlink r:id="rId1758" ref="A588"/>
    <hyperlink r:id="rId1759" ref="C588"/>
    <hyperlink r:id="rId1760" ref="E588"/>
    <hyperlink r:id="rId1761" ref="A589"/>
    <hyperlink r:id="rId1762" ref="C589"/>
    <hyperlink r:id="rId1763" ref="E589"/>
    <hyperlink r:id="rId1764" ref="A590"/>
    <hyperlink r:id="rId1765" ref="C590"/>
    <hyperlink r:id="rId1766" ref="E590"/>
    <hyperlink r:id="rId1767" ref="A591"/>
    <hyperlink r:id="rId1768" ref="C591"/>
    <hyperlink r:id="rId1769" ref="E591"/>
    <hyperlink r:id="rId1770" ref="A592"/>
    <hyperlink r:id="rId1771" ref="C592"/>
    <hyperlink r:id="rId1772" ref="E592"/>
    <hyperlink r:id="rId1773" ref="A593"/>
    <hyperlink r:id="rId1774" ref="C593"/>
    <hyperlink r:id="rId1775" ref="E593"/>
    <hyperlink r:id="rId1776" ref="A594"/>
    <hyperlink r:id="rId1777" ref="C594"/>
    <hyperlink r:id="rId1778" ref="E594"/>
    <hyperlink r:id="rId1779" ref="A595"/>
    <hyperlink r:id="rId1780" ref="C595"/>
    <hyperlink r:id="rId1781" ref="E595"/>
    <hyperlink r:id="rId1782" ref="A596"/>
    <hyperlink r:id="rId1783" ref="C596"/>
    <hyperlink r:id="rId1784" ref="E596"/>
    <hyperlink r:id="rId1785" ref="A597"/>
    <hyperlink r:id="rId1786" ref="C597"/>
    <hyperlink r:id="rId1787" ref="E597"/>
    <hyperlink r:id="rId1788" ref="A598"/>
    <hyperlink r:id="rId1789" ref="C598"/>
    <hyperlink r:id="rId1790" ref="E598"/>
    <hyperlink r:id="rId1791" ref="A599"/>
    <hyperlink r:id="rId1792" ref="C599"/>
    <hyperlink r:id="rId1793" ref="E599"/>
    <hyperlink r:id="rId1794" ref="A600"/>
    <hyperlink r:id="rId1795" ref="C600"/>
    <hyperlink r:id="rId1796" ref="E600"/>
    <hyperlink r:id="rId1797" ref="A601"/>
    <hyperlink r:id="rId1798" ref="C601"/>
    <hyperlink r:id="rId1799" ref="E601"/>
    <hyperlink r:id="rId1800" ref="A602"/>
    <hyperlink r:id="rId1801" ref="C602"/>
    <hyperlink r:id="rId1802" ref="E602"/>
    <hyperlink r:id="rId1803" ref="A603"/>
    <hyperlink r:id="rId1804" ref="C603"/>
    <hyperlink r:id="rId1805" ref="E603"/>
    <hyperlink r:id="rId1806" ref="A604"/>
    <hyperlink r:id="rId1807" ref="C604"/>
    <hyperlink r:id="rId1808" ref="E604"/>
    <hyperlink r:id="rId1809" ref="A605"/>
    <hyperlink r:id="rId1810" ref="C605"/>
    <hyperlink r:id="rId1811" ref="E605"/>
    <hyperlink r:id="rId1812" ref="A606"/>
    <hyperlink r:id="rId1813" ref="C606"/>
    <hyperlink r:id="rId1814" ref="E606"/>
    <hyperlink r:id="rId1815" ref="A607"/>
    <hyperlink r:id="rId1816" ref="C607"/>
    <hyperlink r:id="rId1817" ref="E607"/>
    <hyperlink r:id="rId1818" ref="A608"/>
    <hyperlink r:id="rId1819" ref="C608"/>
    <hyperlink r:id="rId1820" ref="E608"/>
    <hyperlink r:id="rId1821" ref="A609"/>
    <hyperlink r:id="rId1822" ref="C609"/>
    <hyperlink r:id="rId1823" ref="E609"/>
    <hyperlink r:id="rId1824" ref="A610"/>
    <hyperlink r:id="rId1825" ref="C610"/>
    <hyperlink r:id="rId1826" ref="E610"/>
    <hyperlink r:id="rId1827" ref="A611"/>
    <hyperlink r:id="rId1828" ref="C611"/>
    <hyperlink r:id="rId1829" ref="E611"/>
    <hyperlink r:id="rId1830" ref="A612"/>
    <hyperlink r:id="rId1831" ref="C612"/>
    <hyperlink r:id="rId1832" ref="E612"/>
    <hyperlink r:id="rId1833" ref="A613"/>
    <hyperlink r:id="rId1834" ref="C613"/>
    <hyperlink r:id="rId1835" ref="E613"/>
    <hyperlink r:id="rId1836" ref="A614"/>
    <hyperlink r:id="rId1837" ref="C614"/>
    <hyperlink r:id="rId1838" ref="E614"/>
    <hyperlink r:id="rId1839" ref="A615"/>
    <hyperlink r:id="rId1840" ref="C615"/>
    <hyperlink r:id="rId1841" ref="E615"/>
    <hyperlink r:id="rId1842" ref="A616"/>
    <hyperlink r:id="rId1843" ref="C616"/>
    <hyperlink r:id="rId1844" ref="E616"/>
    <hyperlink r:id="rId1845" ref="A617"/>
    <hyperlink r:id="rId1846" ref="C617"/>
    <hyperlink r:id="rId1847" ref="E617"/>
    <hyperlink r:id="rId1848" ref="A618"/>
    <hyperlink r:id="rId1849" ref="C618"/>
    <hyperlink r:id="rId1850" ref="E618"/>
    <hyperlink r:id="rId1851" ref="A619"/>
    <hyperlink r:id="rId1852" ref="C619"/>
    <hyperlink r:id="rId1853" ref="E619"/>
    <hyperlink r:id="rId1854" ref="A620"/>
    <hyperlink r:id="rId1855" ref="C620"/>
    <hyperlink r:id="rId1856" ref="E620"/>
    <hyperlink r:id="rId1857" ref="A621"/>
    <hyperlink r:id="rId1858" ref="C621"/>
    <hyperlink r:id="rId1859" ref="E621"/>
    <hyperlink r:id="rId1860" ref="A622"/>
    <hyperlink r:id="rId1861" ref="C622"/>
    <hyperlink r:id="rId1862" ref="E622"/>
    <hyperlink r:id="rId1863" ref="A623"/>
    <hyperlink r:id="rId1864" ref="C623"/>
    <hyperlink r:id="rId1865" ref="E623"/>
    <hyperlink r:id="rId1866" ref="A624"/>
    <hyperlink r:id="rId1867" ref="C624"/>
    <hyperlink r:id="rId1868" ref="E624"/>
    <hyperlink r:id="rId1869" ref="A625"/>
    <hyperlink r:id="rId1870" ref="C625"/>
    <hyperlink r:id="rId1871" ref="E625"/>
    <hyperlink r:id="rId1872" ref="A626"/>
    <hyperlink r:id="rId1873" ref="C626"/>
    <hyperlink r:id="rId1874" ref="E626"/>
    <hyperlink r:id="rId1875" ref="A627"/>
    <hyperlink r:id="rId1876" ref="C627"/>
    <hyperlink r:id="rId1877" ref="E627"/>
    <hyperlink r:id="rId1878" ref="A628"/>
    <hyperlink r:id="rId1879" ref="C628"/>
    <hyperlink r:id="rId1880" ref="E628"/>
    <hyperlink r:id="rId1881" ref="A629"/>
    <hyperlink r:id="rId1882" ref="C629"/>
    <hyperlink r:id="rId1883" ref="E629"/>
    <hyperlink r:id="rId1884" ref="A630"/>
    <hyperlink r:id="rId1885" ref="C630"/>
    <hyperlink r:id="rId1886" ref="E630"/>
    <hyperlink r:id="rId1887" ref="A631"/>
    <hyperlink r:id="rId1888" ref="C631"/>
    <hyperlink r:id="rId1889" ref="E631"/>
    <hyperlink r:id="rId1890" ref="A632"/>
    <hyperlink r:id="rId1891" ref="C632"/>
    <hyperlink r:id="rId1892" ref="E632"/>
    <hyperlink r:id="rId1893" ref="A633"/>
    <hyperlink r:id="rId1894" ref="C633"/>
    <hyperlink r:id="rId1895" ref="E633"/>
    <hyperlink r:id="rId1896" ref="A634"/>
    <hyperlink r:id="rId1897" ref="C634"/>
    <hyperlink r:id="rId1898" ref="E634"/>
    <hyperlink r:id="rId1899" ref="A635"/>
    <hyperlink r:id="rId1900" ref="C635"/>
    <hyperlink r:id="rId1901" ref="E635"/>
    <hyperlink r:id="rId1902" ref="A636"/>
    <hyperlink r:id="rId1903" ref="C636"/>
    <hyperlink r:id="rId1904" ref="E636"/>
    <hyperlink r:id="rId1905" ref="A637"/>
    <hyperlink r:id="rId1906" ref="C637"/>
    <hyperlink r:id="rId1907" ref="E637"/>
    <hyperlink r:id="rId1908" ref="A638"/>
    <hyperlink r:id="rId1909" ref="C638"/>
    <hyperlink r:id="rId1910" ref="E638"/>
    <hyperlink r:id="rId1911" ref="A639"/>
    <hyperlink r:id="rId1912" ref="C639"/>
    <hyperlink r:id="rId1913" ref="E639"/>
    <hyperlink r:id="rId1914" ref="A640"/>
    <hyperlink r:id="rId1915" ref="C640"/>
    <hyperlink r:id="rId1916" ref="E640"/>
    <hyperlink r:id="rId1917" ref="A641"/>
    <hyperlink r:id="rId1918" ref="C641"/>
    <hyperlink r:id="rId1919" ref="E641"/>
    <hyperlink r:id="rId1920" ref="A642"/>
    <hyperlink r:id="rId1921" ref="C642"/>
    <hyperlink r:id="rId1922" ref="E642"/>
    <hyperlink r:id="rId1923" ref="A643"/>
    <hyperlink r:id="rId1924" ref="C643"/>
    <hyperlink r:id="rId1925" ref="E643"/>
    <hyperlink r:id="rId1926" ref="A644"/>
    <hyperlink r:id="rId1927" ref="C644"/>
    <hyperlink r:id="rId1928" ref="E644"/>
    <hyperlink r:id="rId1929" ref="A645"/>
    <hyperlink r:id="rId1930" ref="C645"/>
    <hyperlink r:id="rId1931" ref="E645"/>
    <hyperlink r:id="rId1932" ref="A646"/>
    <hyperlink r:id="rId1933" ref="C646"/>
    <hyperlink r:id="rId1934" ref="E646"/>
    <hyperlink r:id="rId1935" ref="A647"/>
    <hyperlink r:id="rId1936" ref="C647"/>
    <hyperlink r:id="rId1937" ref="E647"/>
    <hyperlink r:id="rId1938" ref="A648"/>
    <hyperlink r:id="rId1939" ref="C648"/>
    <hyperlink r:id="rId1940" ref="E648"/>
    <hyperlink r:id="rId1941" ref="A649"/>
    <hyperlink r:id="rId1942" ref="C649"/>
    <hyperlink r:id="rId1943" ref="E649"/>
    <hyperlink r:id="rId1944" ref="A650"/>
    <hyperlink r:id="rId1945" ref="C650"/>
    <hyperlink r:id="rId1946" ref="E650"/>
    <hyperlink r:id="rId1947" ref="A651"/>
    <hyperlink r:id="rId1948" ref="C651"/>
    <hyperlink r:id="rId1949" ref="E651"/>
    <hyperlink r:id="rId1950" ref="A652"/>
    <hyperlink r:id="rId1951" ref="C652"/>
    <hyperlink r:id="rId1952" ref="E652"/>
    <hyperlink r:id="rId1953" ref="A653"/>
    <hyperlink r:id="rId1954" ref="C653"/>
    <hyperlink r:id="rId1955" ref="E653"/>
    <hyperlink r:id="rId1956" ref="A654"/>
    <hyperlink r:id="rId1957" ref="C654"/>
    <hyperlink r:id="rId1958" ref="E654"/>
    <hyperlink r:id="rId1959" ref="A655"/>
    <hyperlink r:id="rId1960" ref="C655"/>
    <hyperlink r:id="rId1961" ref="E655"/>
    <hyperlink r:id="rId1962" ref="A656"/>
    <hyperlink r:id="rId1963" ref="C656"/>
    <hyperlink r:id="rId1964" ref="E656"/>
    <hyperlink r:id="rId1965" ref="A657"/>
    <hyperlink r:id="rId1966" ref="C657"/>
    <hyperlink r:id="rId1967" ref="E657"/>
    <hyperlink r:id="rId1968" ref="A658"/>
    <hyperlink r:id="rId1969" ref="C658"/>
    <hyperlink r:id="rId1970" ref="E658"/>
    <hyperlink r:id="rId1971" ref="A659"/>
    <hyperlink r:id="rId1972" ref="C659"/>
    <hyperlink r:id="rId1973" ref="E659"/>
    <hyperlink r:id="rId1974" ref="A660"/>
    <hyperlink r:id="rId1975" ref="C660"/>
    <hyperlink r:id="rId1976" ref="E660"/>
    <hyperlink r:id="rId1977" ref="A661"/>
    <hyperlink r:id="rId1978" ref="C661"/>
    <hyperlink r:id="rId1979" ref="E661"/>
    <hyperlink r:id="rId1980" ref="A662"/>
    <hyperlink r:id="rId1981" ref="C662"/>
    <hyperlink r:id="rId1982" ref="E662"/>
    <hyperlink r:id="rId1983" ref="A663"/>
    <hyperlink r:id="rId1984" ref="C663"/>
    <hyperlink r:id="rId1985" ref="E663"/>
    <hyperlink r:id="rId1986" ref="A664"/>
    <hyperlink r:id="rId1987" ref="C664"/>
    <hyperlink r:id="rId1988" ref="E664"/>
    <hyperlink r:id="rId1989" ref="A665"/>
    <hyperlink r:id="rId1990" ref="C665"/>
    <hyperlink r:id="rId1991" ref="E665"/>
    <hyperlink r:id="rId1992" ref="A666"/>
    <hyperlink r:id="rId1993" ref="C666"/>
    <hyperlink r:id="rId1994" ref="E666"/>
    <hyperlink r:id="rId1995" ref="A667"/>
    <hyperlink r:id="rId1996" ref="C667"/>
    <hyperlink r:id="rId1997" ref="E667"/>
    <hyperlink r:id="rId1998" ref="A668"/>
    <hyperlink r:id="rId1999" ref="C668"/>
    <hyperlink r:id="rId2000" ref="E668"/>
    <hyperlink r:id="rId2001" ref="A669"/>
    <hyperlink r:id="rId2002" ref="C669"/>
    <hyperlink r:id="rId2003" ref="E669"/>
    <hyperlink r:id="rId2004" ref="A670"/>
    <hyperlink r:id="rId2005" ref="C670"/>
    <hyperlink r:id="rId2006" ref="E670"/>
    <hyperlink r:id="rId2007" ref="A671"/>
    <hyperlink r:id="rId2008" ref="C671"/>
    <hyperlink r:id="rId2009" ref="E671"/>
    <hyperlink r:id="rId2010" ref="A672"/>
    <hyperlink r:id="rId2011" ref="C672"/>
    <hyperlink r:id="rId2012" ref="E672"/>
    <hyperlink r:id="rId2013" ref="A673"/>
    <hyperlink r:id="rId2014" ref="C673"/>
    <hyperlink r:id="rId2015" ref="E673"/>
    <hyperlink r:id="rId2016" ref="A674"/>
    <hyperlink r:id="rId2017" ref="C674"/>
    <hyperlink r:id="rId2018" ref="E674"/>
    <hyperlink r:id="rId2019" ref="A675"/>
    <hyperlink r:id="rId2020" ref="C675"/>
    <hyperlink r:id="rId2021" ref="E675"/>
    <hyperlink r:id="rId2022" ref="A676"/>
    <hyperlink r:id="rId2023" ref="C676"/>
    <hyperlink r:id="rId2024" ref="E676"/>
    <hyperlink r:id="rId2025" ref="A677"/>
    <hyperlink r:id="rId2026" ref="C677"/>
    <hyperlink r:id="rId2027" ref="E677"/>
    <hyperlink r:id="rId2028" ref="A678"/>
    <hyperlink r:id="rId2029" ref="C678"/>
    <hyperlink r:id="rId2030" ref="E678"/>
    <hyperlink r:id="rId2031" ref="A679"/>
    <hyperlink r:id="rId2032" ref="C679"/>
    <hyperlink r:id="rId2033" ref="E679"/>
    <hyperlink r:id="rId2034" ref="A680"/>
    <hyperlink r:id="rId2035" ref="C680"/>
    <hyperlink r:id="rId2036" ref="E680"/>
    <hyperlink r:id="rId2037" ref="A681"/>
    <hyperlink r:id="rId2038" ref="C681"/>
    <hyperlink r:id="rId2039" ref="E681"/>
    <hyperlink r:id="rId2040" ref="A682"/>
    <hyperlink r:id="rId2041" ref="C682"/>
    <hyperlink r:id="rId2042" ref="E682"/>
    <hyperlink r:id="rId2043" ref="A683"/>
    <hyperlink r:id="rId2044" ref="C683"/>
    <hyperlink r:id="rId2045" ref="E683"/>
    <hyperlink r:id="rId2046" ref="A684"/>
    <hyperlink r:id="rId2047" ref="C684"/>
    <hyperlink r:id="rId2048" ref="E684"/>
    <hyperlink r:id="rId2049" ref="A685"/>
    <hyperlink r:id="rId2050" ref="C685"/>
    <hyperlink r:id="rId2051" ref="E685"/>
    <hyperlink r:id="rId2052" ref="A686"/>
    <hyperlink r:id="rId2053" ref="C686"/>
    <hyperlink r:id="rId2054" ref="E686"/>
    <hyperlink r:id="rId2055" ref="A687"/>
    <hyperlink r:id="rId2056" ref="C687"/>
    <hyperlink r:id="rId2057" ref="E687"/>
    <hyperlink r:id="rId2058" ref="A688"/>
    <hyperlink r:id="rId2059" ref="C688"/>
    <hyperlink r:id="rId2060" ref="E688"/>
    <hyperlink r:id="rId2061" ref="A689"/>
    <hyperlink r:id="rId2062" ref="C689"/>
    <hyperlink r:id="rId2063" ref="E689"/>
    <hyperlink r:id="rId2064" ref="A690"/>
    <hyperlink r:id="rId2065" ref="C690"/>
    <hyperlink r:id="rId2066" ref="E690"/>
    <hyperlink r:id="rId2067" ref="A691"/>
    <hyperlink r:id="rId2068" ref="C691"/>
    <hyperlink r:id="rId2069" ref="E691"/>
    <hyperlink r:id="rId2070" ref="A692"/>
    <hyperlink r:id="rId2071" ref="C692"/>
    <hyperlink r:id="rId2072" ref="E692"/>
    <hyperlink r:id="rId2073" ref="A693"/>
    <hyperlink r:id="rId2074" ref="C693"/>
    <hyperlink r:id="rId2075" ref="E693"/>
    <hyperlink r:id="rId2076" ref="A694"/>
    <hyperlink r:id="rId2077" ref="C694"/>
    <hyperlink r:id="rId2078" ref="E694"/>
    <hyperlink r:id="rId2079" ref="A695"/>
    <hyperlink r:id="rId2080" ref="C695"/>
    <hyperlink r:id="rId2081" ref="E695"/>
    <hyperlink r:id="rId2082" ref="A696"/>
    <hyperlink r:id="rId2083" ref="C696"/>
    <hyperlink r:id="rId2084" ref="E696"/>
    <hyperlink r:id="rId2085" ref="A697"/>
    <hyperlink r:id="rId2086" ref="C697"/>
    <hyperlink r:id="rId2087" ref="E697"/>
    <hyperlink r:id="rId2088" ref="A698"/>
    <hyperlink r:id="rId2089" ref="C698"/>
    <hyperlink r:id="rId2090" ref="E698"/>
    <hyperlink r:id="rId2091" ref="A699"/>
    <hyperlink r:id="rId2092" ref="C699"/>
    <hyperlink r:id="rId2093" ref="E699"/>
    <hyperlink r:id="rId2094" ref="A700"/>
    <hyperlink r:id="rId2095" ref="C700"/>
    <hyperlink r:id="rId2096" ref="E700"/>
    <hyperlink r:id="rId2097" ref="A701"/>
    <hyperlink r:id="rId2098" ref="C701"/>
    <hyperlink r:id="rId2099" ref="E701"/>
    <hyperlink r:id="rId2100" ref="A702"/>
    <hyperlink r:id="rId2101" ref="C702"/>
    <hyperlink r:id="rId2102" ref="E702"/>
    <hyperlink r:id="rId2103" ref="A703"/>
    <hyperlink r:id="rId2104" ref="C703"/>
    <hyperlink r:id="rId2105" ref="E703"/>
    <hyperlink r:id="rId2106" ref="A704"/>
    <hyperlink r:id="rId2107" ref="C704"/>
    <hyperlink r:id="rId2108" ref="E704"/>
    <hyperlink r:id="rId2109" ref="A705"/>
    <hyperlink r:id="rId2110" ref="C705"/>
    <hyperlink r:id="rId2111" ref="E705"/>
    <hyperlink r:id="rId2112" ref="A706"/>
    <hyperlink r:id="rId2113" ref="C706"/>
    <hyperlink r:id="rId2114" ref="E706"/>
    <hyperlink r:id="rId2115" ref="A707"/>
    <hyperlink r:id="rId2116" ref="C707"/>
    <hyperlink r:id="rId2117" ref="E707"/>
    <hyperlink r:id="rId2118" ref="A708"/>
    <hyperlink r:id="rId2119" ref="C708"/>
    <hyperlink r:id="rId2120" ref="E708"/>
    <hyperlink r:id="rId2121" ref="A709"/>
    <hyperlink r:id="rId2122" ref="C709"/>
    <hyperlink r:id="rId2123" ref="E709"/>
    <hyperlink r:id="rId2124" ref="A710"/>
    <hyperlink r:id="rId2125" ref="C710"/>
    <hyperlink r:id="rId2126" ref="E710"/>
    <hyperlink r:id="rId2127" ref="A711"/>
    <hyperlink r:id="rId2128" ref="C711"/>
    <hyperlink r:id="rId2129" ref="E711"/>
    <hyperlink r:id="rId2130" ref="A712"/>
    <hyperlink r:id="rId2131" ref="C712"/>
    <hyperlink r:id="rId2132" ref="E712"/>
    <hyperlink r:id="rId2133" ref="A713"/>
    <hyperlink r:id="rId2134" ref="C713"/>
    <hyperlink r:id="rId2135" ref="E713"/>
    <hyperlink r:id="rId2136" ref="A714"/>
    <hyperlink r:id="rId2137" ref="C714"/>
    <hyperlink r:id="rId2138" ref="E714"/>
    <hyperlink r:id="rId2139" ref="A715"/>
    <hyperlink r:id="rId2140" ref="C715"/>
    <hyperlink r:id="rId2141" ref="E715"/>
    <hyperlink r:id="rId2142" ref="A716"/>
    <hyperlink r:id="rId2143" ref="C716"/>
    <hyperlink r:id="rId2144" ref="E716"/>
    <hyperlink r:id="rId2145" ref="A717"/>
    <hyperlink r:id="rId2146" ref="C717"/>
    <hyperlink r:id="rId2147" ref="E717"/>
    <hyperlink r:id="rId2148" ref="A718"/>
    <hyperlink r:id="rId2149" ref="C718"/>
    <hyperlink r:id="rId2150" ref="E718"/>
    <hyperlink r:id="rId2151" ref="A719"/>
    <hyperlink r:id="rId2152" ref="C719"/>
    <hyperlink r:id="rId2153" ref="E719"/>
    <hyperlink r:id="rId2154" ref="A720"/>
    <hyperlink r:id="rId2155" ref="C720"/>
    <hyperlink r:id="rId2156" ref="E720"/>
    <hyperlink r:id="rId2157" ref="A721"/>
    <hyperlink r:id="rId2158" ref="C721"/>
    <hyperlink r:id="rId2159" ref="E721"/>
    <hyperlink r:id="rId2160" ref="A722"/>
    <hyperlink r:id="rId2161" ref="C722"/>
    <hyperlink r:id="rId2162" ref="E722"/>
    <hyperlink r:id="rId2163" ref="A723"/>
    <hyperlink r:id="rId2164" ref="C723"/>
    <hyperlink r:id="rId2165" ref="E723"/>
    <hyperlink r:id="rId2166" ref="A724"/>
    <hyperlink r:id="rId2167" ref="C724"/>
    <hyperlink r:id="rId2168" ref="E724"/>
    <hyperlink r:id="rId2169" ref="A725"/>
    <hyperlink r:id="rId2170" ref="C725"/>
    <hyperlink r:id="rId2171" ref="E725"/>
    <hyperlink r:id="rId2172" ref="A726"/>
    <hyperlink r:id="rId2173" ref="C726"/>
    <hyperlink r:id="rId2174" ref="E726"/>
    <hyperlink r:id="rId2175" ref="A727"/>
    <hyperlink r:id="rId2176" ref="C727"/>
    <hyperlink r:id="rId2177" ref="E727"/>
    <hyperlink r:id="rId2178" ref="A728"/>
    <hyperlink r:id="rId2179" ref="C728"/>
    <hyperlink r:id="rId2180" ref="E728"/>
    <hyperlink r:id="rId2181" ref="A729"/>
    <hyperlink r:id="rId2182" ref="C729"/>
    <hyperlink r:id="rId2183" ref="E729"/>
    <hyperlink r:id="rId2184" ref="A730"/>
    <hyperlink r:id="rId2185" ref="C730"/>
    <hyperlink r:id="rId2186" ref="E730"/>
    <hyperlink r:id="rId2187" ref="A731"/>
    <hyperlink r:id="rId2188" ref="C731"/>
    <hyperlink r:id="rId2189" ref="E731"/>
    <hyperlink r:id="rId2190" ref="A732"/>
    <hyperlink r:id="rId2191" ref="C732"/>
    <hyperlink r:id="rId2192" ref="E732"/>
    <hyperlink r:id="rId2193" ref="A733"/>
    <hyperlink r:id="rId2194" ref="C733"/>
    <hyperlink r:id="rId2195" ref="E733"/>
    <hyperlink r:id="rId2196" ref="A734"/>
    <hyperlink r:id="rId2197" ref="C734"/>
    <hyperlink r:id="rId2198" ref="E734"/>
    <hyperlink r:id="rId2199" ref="A735"/>
    <hyperlink r:id="rId2200" ref="C735"/>
    <hyperlink r:id="rId2201" ref="E735"/>
    <hyperlink r:id="rId2202" ref="A736"/>
    <hyperlink r:id="rId2203" ref="C736"/>
    <hyperlink r:id="rId2204" ref="E736"/>
    <hyperlink r:id="rId2205" ref="A737"/>
    <hyperlink r:id="rId2206" ref="C737"/>
    <hyperlink r:id="rId2207" ref="E737"/>
    <hyperlink r:id="rId2208" ref="A738"/>
    <hyperlink r:id="rId2209" ref="C738"/>
    <hyperlink r:id="rId2210" ref="E738"/>
    <hyperlink r:id="rId2211" ref="A739"/>
    <hyperlink r:id="rId2212" ref="C739"/>
    <hyperlink r:id="rId2213" ref="E739"/>
    <hyperlink r:id="rId2214" ref="A740"/>
    <hyperlink r:id="rId2215" ref="C740"/>
    <hyperlink r:id="rId2216" ref="E740"/>
    <hyperlink r:id="rId2217" ref="A741"/>
    <hyperlink r:id="rId2218" ref="C741"/>
    <hyperlink r:id="rId2219" ref="E741"/>
    <hyperlink r:id="rId2220" ref="A742"/>
    <hyperlink r:id="rId2221" ref="C742"/>
    <hyperlink r:id="rId2222" ref="E742"/>
    <hyperlink r:id="rId2223" ref="A743"/>
    <hyperlink r:id="rId2224" ref="C743"/>
    <hyperlink r:id="rId2225" ref="E743"/>
    <hyperlink r:id="rId2226" ref="A744"/>
    <hyperlink r:id="rId2227" ref="C744"/>
    <hyperlink r:id="rId2228" ref="E744"/>
    <hyperlink r:id="rId2229" ref="A745"/>
    <hyperlink r:id="rId2230" ref="C745"/>
    <hyperlink r:id="rId2231" ref="E745"/>
    <hyperlink r:id="rId2232" ref="A746"/>
    <hyperlink r:id="rId2233" ref="C746"/>
    <hyperlink r:id="rId2234" ref="E746"/>
    <hyperlink r:id="rId2235" ref="A747"/>
    <hyperlink r:id="rId2236" ref="C747"/>
    <hyperlink r:id="rId2237" ref="E747"/>
    <hyperlink r:id="rId2238" ref="A748"/>
    <hyperlink r:id="rId2239" ref="C748"/>
    <hyperlink r:id="rId2240" ref="E748"/>
    <hyperlink r:id="rId2241" ref="A749"/>
    <hyperlink r:id="rId2242" ref="C749"/>
    <hyperlink r:id="rId2243" ref="E749"/>
    <hyperlink r:id="rId2244" ref="A750"/>
    <hyperlink r:id="rId2245" ref="C750"/>
    <hyperlink r:id="rId2246" ref="E750"/>
    <hyperlink r:id="rId2247" ref="A751"/>
    <hyperlink r:id="rId2248" ref="C751"/>
    <hyperlink r:id="rId2249" ref="E751"/>
    <hyperlink r:id="rId2250" ref="A752"/>
    <hyperlink r:id="rId2251" ref="C752"/>
    <hyperlink r:id="rId2252" ref="E752"/>
    <hyperlink r:id="rId2253" ref="A753"/>
    <hyperlink r:id="rId2254" ref="C753"/>
    <hyperlink r:id="rId2255" ref="E753"/>
    <hyperlink r:id="rId2256" ref="A754"/>
    <hyperlink r:id="rId2257" ref="C754"/>
    <hyperlink r:id="rId2258" ref="E754"/>
    <hyperlink r:id="rId2259" ref="A755"/>
    <hyperlink r:id="rId2260" ref="C755"/>
    <hyperlink r:id="rId2261" ref="E755"/>
    <hyperlink r:id="rId2262" ref="A756"/>
    <hyperlink r:id="rId2263" ref="C756"/>
    <hyperlink r:id="rId2264" ref="E756"/>
    <hyperlink r:id="rId2265" ref="A757"/>
    <hyperlink r:id="rId2266" ref="C757"/>
    <hyperlink r:id="rId2267" ref="E757"/>
    <hyperlink r:id="rId2268" ref="A758"/>
    <hyperlink r:id="rId2269" ref="C758"/>
    <hyperlink r:id="rId2270" ref="E758"/>
    <hyperlink r:id="rId2271" ref="A759"/>
    <hyperlink r:id="rId2272" ref="C759"/>
    <hyperlink r:id="rId2273" ref="E759"/>
    <hyperlink r:id="rId2274" ref="A760"/>
    <hyperlink r:id="rId2275" ref="C760"/>
    <hyperlink r:id="rId2276" ref="E760"/>
    <hyperlink r:id="rId2277" ref="A761"/>
    <hyperlink r:id="rId2278" ref="C761"/>
    <hyperlink r:id="rId2279" ref="E761"/>
    <hyperlink r:id="rId2280" ref="A762"/>
    <hyperlink r:id="rId2281" ref="C762"/>
    <hyperlink r:id="rId2282" ref="E762"/>
    <hyperlink r:id="rId2283" ref="A763"/>
    <hyperlink r:id="rId2284" ref="C763"/>
    <hyperlink r:id="rId2285" ref="E763"/>
    <hyperlink r:id="rId2286" ref="A764"/>
    <hyperlink r:id="rId2287" ref="C764"/>
    <hyperlink r:id="rId2288" ref="E764"/>
    <hyperlink r:id="rId2289" ref="A765"/>
    <hyperlink r:id="rId2290" ref="C765"/>
    <hyperlink r:id="rId2291" ref="E765"/>
    <hyperlink r:id="rId2292" ref="A766"/>
    <hyperlink r:id="rId2293" ref="C766"/>
    <hyperlink r:id="rId2294" ref="E766"/>
    <hyperlink r:id="rId2295" ref="A767"/>
    <hyperlink r:id="rId2296" ref="C767"/>
    <hyperlink r:id="rId2297" ref="E767"/>
    <hyperlink r:id="rId2298" ref="A768"/>
    <hyperlink r:id="rId2299" ref="C768"/>
    <hyperlink r:id="rId2300" ref="E768"/>
    <hyperlink r:id="rId2301" ref="A769"/>
    <hyperlink r:id="rId2302" ref="C769"/>
    <hyperlink r:id="rId2303" ref="E769"/>
    <hyperlink r:id="rId2304" ref="A770"/>
    <hyperlink r:id="rId2305" ref="C770"/>
    <hyperlink r:id="rId2306" ref="E770"/>
    <hyperlink r:id="rId2307" ref="A771"/>
    <hyperlink r:id="rId2308" ref="C771"/>
    <hyperlink r:id="rId2309" ref="E771"/>
    <hyperlink r:id="rId2310" ref="A772"/>
    <hyperlink r:id="rId2311" ref="C772"/>
    <hyperlink r:id="rId2312" ref="E772"/>
    <hyperlink r:id="rId2313" ref="A773"/>
    <hyperlink r:id="rId2314" ref="C773"/>
    <hyperlink r:id="rId2315" ref="E773"/>
    <hyperlink r:id="rId2316" ref="A774"/>
    <hyperlink r:id="rId2317" ref="C774"/>
    <hyperlink r:id="rId2318" ref="E774"/>
    <hyperlink r:id="rId2319" ref="A775"/>
    <hyperlink r:id="rId2320" ref="C775"/>
    <hyperlink r:id="rId2321" ref="E775"/>
    <hyperlink r:id="rId2322" ref="A776"/>
    <hyperlink r:id="rId2323" ref="C776"/>
    <hyperlink r:id="rId2324" ref="E776"/>
    <hyperlink r:id="rId2325" ref="A777"/>
    <hyperlink r:id="rId2326" ref="C777"/>
    <hyperlink r:id="rId2327" ref="E777"/>
    <hyperlink r:id="rId2328" ref="A778"/>
    <hyperlink r:id="rId2329" ref="C778"/>
    <hyperlink r:id="rId2330" ref="E778"/>
    <hyperlink r:id="rId2331" ref="A779"/>
    <hyperlink r:id="rId2332" ref="C779"/>
    <hyperlink r:id="rId2333" ref="E779"/>
    <hyperlink r:id="rId2334" ref="A780"/>
    <hyperlink r:id="rId2335" ref="C780"/>
    <hyperlink r:id="rId2336" ref="E780"/>
    <hyperlink r:id="rId2337" ref="A781"/>
    <hyperlink r:id="rId2338" ref="C781"/>
    <hyperlink r:id="rId2339" ref="E781"/>
    <hyperlink r:id="rId2340" ref="A782"/>
    <hyperlink r:id="rId2341" ref="C782"/>
    <hyperlink r:id="rId2342" ref="E782"/>
    <hyperlink r:id="rId2343" ref="A783"/>
    <hyperlink r:id="rId2344" ref="C783"/>
    <hyperlink r:id="rId2345" ref="E783"/>
    <hyperlink r:id="rId2346" ref="A784"/>
    <hyperlink r:id="rId2347" ref="C784"/>
    <hyperlink r:id="rId2348" ref="E784"/>
    <hyperlink r:id="rId2349" ref="A785"/>
    <hyperlink r:id="rId2350" ref="C785"/>
    <hyperlink r:id="rId2351" ref="E785"/>
    <hyperlink r:id="rId2352" ref="A786"/>
    <hyperlink r:id="rId2353" ref="C786"/>
    <hyperlink r:id="rId2354" ref="E786"/>
    <hyperlink r:id="rId2355" ref="A787"/>
    <hyperlink r:id="rId2356" ref="C787"/>
    <hyperlink r:id="rId2357" ref="E787"/>
    <hyperlink r:id="rId2358" ref="A788"/>
    <hyperlink r:id="rId2359" ref="C788"/>
    <hyperlink r:id="rId2360" ref="E788"/>
    <hyperlink r:id="rId2361" ref="A789"/>
    <hyperlink r:id="rId2362" ref="C789"/>
    <hyperlink r:id="rId2363" ref="E789"/>
    <hyperlink r:id="rId2364" ref="A790"/>
    <hyperlink r:id="rId2365" ref="C790"/>
    <hyperlink r:id="rId2366" ref="E790"/>
    <hyperlink r:id="rId2367" ref="A791"/>
    <hyperlink r:id="rId2368" ref="C791"/>
    <hyperlink r:id="rId2369" ref="E791"/>
    <hyperlink r:id="rId2370" ref="A792"/>
    <hyperlink r:id="rId2371" ref="C792"/>
    <hyperlink r:id="rId2372" ref="E792"/>
    <hyperlink r:id="rId2373" ref="A793"/>
    <hyperlink r:id="rId2374" ref="C793"/>
    <hyperlink r:id="rId2375" ref="E793"/>
    <hyperlink r:id="rId2376" ref="A794"/>
    <hyperlink r:id="rId2377" ref="C794"/>
    <hyperlink r:id="rId2378" ref="E794"/>
    <hyperlink r:id="rId2379" ref="A795"/>
    <hyperlink r:id="rId2380" ref="C795"/>
    <hyperlink r:id="rId2381" ref="E795"/>
    <hyperlink r:id="rId2382" ref="A796"/>
    <hyperlink r:id="rId2383" ref="C796"/>
    <hyperlink r:id="rId2384" ref="E796"/>
    <hyperlink r:id="rId2385" ref="A797"/>
    <hyperlink r:id="rId2386" ref="C797"/>
    <hyperlink r:id="rId2387" ref="E797"/>
    <hyperlink r:id="rId2388" ref="A798"/>
    <hyperlink r:id="rId2389" ref="C798"/>
    <hyperlink r:id="rId2390" ref="E798"/>
    <hyperlink r:id="rId2391" ref="A799"/>
    <hyperlink r:id="rId2392" ref="C799"/>
    <hyperlink r:id="rId2393" ref="E799"/>
    <hyperlink r:id="rId2394" ref="A800"/>
    <hyperlink r:id="rId2395" ref="C800"/>
    <hyperlink r:id="rId2396" ref="E800"/>
    <hyperlink r:id="rId2397" ref="A801"/>
    <hyperlink r:id="rId2398" ref="C801"/>
    <hyperlink r:id="rId2399" ref="E801"/>
    <hyperlink r:id="rId2400" ref="A802"/>
    <hyperlink r:id="rId2401" ref="C802"/>
    <hyperlink r:id="rId2402" ref="E802"/>
    <hyperlink r:id="rId2403" ref="A803"/>
    <hyperlink r:id="rId2404" ref="C803"/>
    <hyperlink r:id="rId2405" ref="E803"/>
    <hyperlink r:id="rId2406" ref="A804"/>
    <hyperlink r:id="rId2407" ref="C804"/>
    <hyperlink r:id="rId2408" ref="E804"/>
    <hyperlink r:id="rId2409" ref="A805"/>
    <hyperlink r:id="rId2410" ref="C805"/>
    <hyperlink r:id="rId2411" ref="E805"/>
    <hyperlink r:id="rId2412" ref="A806"/>
    <hyperlink r:id="rId2413" ref="C806"/>
    <hyperlink r:id="rId2414" ref="E806"/>
    <hyperlink r:id="rId2415" ref="A807"/>
    <hyperlink r:id="rId2416" ref="C807"/>
    <hyperlink r:id="rId2417" ref="E807"/>
    <hyperlink r:id="rId2418" ref="A808"/>
    <hyperlink r:id="rId2419" ref="C808"/>
    <hyperlink r:id="rId2420" ref="E808"/>
    <hyperlink r:id="rId2421" ref="A809"/>
    <hyperlink r:id="rId2422" ref="C809"/>
    <hyperlink r:id="rId2423" ref="E809"/>
    <hyperlink r:id="rId2424" ref="A810"/>
    <hyperlink r:id="rId2425" ref="C810"/>
    <hyperlink r:id="rId2426" ref="E810"/>
    <hyperlink r:id="rId2427" ref="A811"/>
    <hyperlink r:id="rId2428" ref="C811"/>
    <hyperlink r:id="rId2429" ref="E811"/>
    <hyperlink r:id="rId2430" ref="A812"/>
    <hyperlink r:id="rId2431" ref="C812"/>
    <hyperlink r:id="rId2432" ref="E812"/>
    <hyperlink r:id="rId2433" ref="A813"/>
    <hyperlink r:id="rId2434" ref="C813"/>
    <hyperlink r:id="rId2435" ref="E813"/>
    <hyperlink r:id="rId2436" ref="A814"/>
    <hyperlink r:id="rId2437" ref="C814"/>
    <hyperlink r:id="rId2438" ref="E814"/>
    <hyperlink r:id="rId2439" ref="A815"/>
    <hyperlink r:id="rId2440" ref="C815"/>
    <hyperlink r:id="rId2441" ref="E815"/>
    <hyperlink r:id="rId2442" ref="A816"/>
    <hyperlink r:id="rId2443" ref="C816"/>
    <hyperlink r:id="rId2444" ref="E816"/>
    <hyperlink r:id="rId2445" ref="A817"/>
    <hyperlink r:id="rId2446" ref="C817"/>
    <hyperlink r:id="rId2447" ref="E817"/>
    <hyperlink r:id="rId2448" ref="A818"/>
    <hyperlink r:id="rId2449" ref="C818"/>
    <hyperlink r:id="rId2450" ref="E818"/>
    <hyperlink r:id="rId2451" ref="A819"/>
    <hyperlink r:id="rId2452" ref="C819"/>
    <hyperlink r:id="rId2453" ref="E819"/>
    <hyperlink r:id="rId2454" ref="A820"/>
    <hyperlink r:id="rId2455" ref="C820"/>
    <hyperlink r:id="rId2456" ref="E820"/>
    <hyperlink r:id="rId2457" ref="A821"/>
    <hyperlink r:id="rId2458" ref="C821"/>
    <hyperlink r:id="rId2459" ref="E821"/>
    <hyperlink r:id="rId2460" ref="A822"/>
    <hyperlink r:id="rId2461" ref="C822"/>
    <hyperlink r:id="rId2462" ref="E822"/>
    <hyperlink r:id="rId2463" ref="A823"/>
    <hyperlink r:id="rId2464" ref="C823"/>
    <hyperlink r:id="rId2465" ref="E823"/>
    <hyperlink r:id="rId2466" ref="A824"/>
    <hyperlink r:id="rId2467" ref="C824"/>
    <hyperlink r:id="rId2468" ref="E824"/>
    <hyperlink r:id="rId2469" ref="A825"/>
    <hyperlink r:id="rId2470" ref="C825"/>
    <hyperlink r:id="rId2471" ref="E825"/>
    <hyperlink r:id="rId2472" ref="A826"/>
    <hyperlink r:id="rId2473" ref="C826"/>
    <hyperlink r:id="rId2474" ref="E826"/>
    <hyperlink r:id="rId2475" ref="A827"/>
    <hyperlink r:id="rId2476" ref="C827"/>
    <hyperlink r:id="rId2477" ref="E827"/>
    <hyperlink r:id="rId2478" ref="A828"/>
    <hyperlink r:id="rId2479" ref="C828"/>
    <hyperlink r:id="rId2480" ref="E828"/>
    <hyperlink r:id="rId2481" ref="A829"/>
    <hyperlink r:id="rId2482" ref="C829"/>
    <hyperlink r:id="rId2483" ref="E829"/>
    <hyperlink r:id="rId2484" ref="A830"/>
    <hyperlink r:id="rId2485" ref="C830"/>
    <hyperlink r:id="rId2486" ref="E830"/>
    <hyperlink r:id="rId2487" ref="A831"/>
    <hyperlink r:id="rId2488" ref="C831"/>
    <hyperlink r:id="rId2489" ref="E831"/>
    <hyperlink r:id="rId2490" ref="A832"/>
    <hyperlink r:id="rId2491" ref="C832"/>
    <hyperlink r:id="rId2492" ref="E832"/>
    <hyperlink r:id="rId2493" ref="A833"/>
    <hyperlink r:id="rId2494" ref="C833"/>
    <hyperlink r:id="rId2495" ref="E833"/>
    <hyperlink r:id="rId2496" ref="A834"/>
    <hyperlink r:id="rId2497" ref="C834"/>
    <hyperlink r:id="rId2498" ref="E834"/>
    <hyperlink r:id="rId2499" ref="A835"/>
    <hyperlink r:id="rId2500" ref="C835"/>
    <hyperlink r:id="rId2501" ref="E835"/>
    <hyperlink r:id="rId2502" ref="A836"/>
    <hyperlink r:id="rId2503" ref="C836"/>
    <hyperlink r:id="rId2504" ref="E836"/>
    <hyperlink r:id="rId2505" ref="A837"/>
    <hyperlink r:id="rId2506" ref="C837"/>
    <hyperlink r:id="rId2507" ref="E837"/>
    <hyperlink r:id="rId2508" ref="A838"/>
    <hyperlink r:id="rId2509" ref="C838"/>
    <hyperlink r:id="rId2510" ref="E838"/>
    <hyperlink r:id="rId2511" ref="A839"/>
    <hyperlink r:id="rId2512" ref="C839"/>
    <hyperlink r:id="rId2513" ref="E839"/>
    <hyperlink r:id="rId2514" ref="A840"/>
    <hyperlink r:id="rId2515" ref="C840"/>
    <hyperlink r:id="rId2516" ref="E840"/>
    <hyperlink r:id="rId2517" ref="A841"/>
    <hyperlink r:id="rId2518" ref="C841"/>
    <hyperlink r:id="rId2519" ref="E841"/>
    <hyperlink r:id="rId2520" ref="A842"/>
    <hyperlink r:id="rId2521" ref="C842"/>
    <hyperlink r:id="rId2522" ref="E842"/>
    <hyperlink r:id="rId2523" ref="A843"/>
    <hyperlink r:id="rId2524" ref="C843"/>
    <hyperlink r:id="rId2525" ref="E843"/>
    <hyperlink r:id="rId2526" ref="A844"/>
    <hyperlink r:id="rId2527" ref="C844"/>
    <hyperlink r:id="rId2528" ref="E844"/>
    <hyperlink r:id="rId2529" ref="A845"/>
    <hyperlink r:id="rId2530" ref="C845"/>
    <hyperlink r:id="rId2531" ref="E845"/>
    <hyperlink r:id="rId2532" ref="A846"/>
    <hyperlink r:id="rId2533" ref="C846"/>
    <hyperlink r:id="rId2534" ref="E846"/>
    <hyperlink r:id="rId2535" ref="A847"/>
    <hyperlink r:id="rId2536" ref="C847"/>
    <hyperlink r:id="rId2537" ref="E847"/>
    <hyperlink r:id="rId2538" ref="A848"/>
    <hyperlink r:id="rId2539" ref="C848"/>
    <hyperlink r:id="rId2540" ref="E848"/>
    <hyperlink r:id="rId2541" ref="A849"/>
    <hyperlink r:id="rId2542" ref="C849"/>
    <hyperlink r:id="rId2543" ref="E849"/>
    <hyperlink r:id="rId2544" ref="A850"/>
    <hyperlink r:id="rId2545" ref="C850"/>
    <hyperlink r:id="rId2546" ref="E850"/>
    <hyperlink r:id="rId2547" ref="A851"/>
    <hyperlink r:id="rId2548" ref="C851"/>
    <hyperlink r:id="rId2549" ref="E851"/>
    <hyperlink r:id="rId2550" ref="A852"/>
    <hyperlink r:id="rId2551" ref="C852"/>
    <hyperlink r:id="rId2552" ref="E852"/>
    <hyperlink r:id="rId2553" ref="A853"/>
    <hyperlink r:id="rId2554" ref="C853"/>
    <hyperlink r:id="rId2555" ref="E853"/>
    <hyperlink r:id="rId2556" ref="A854"/>
    <hyperlink r:id="rId2557" ref="C854"/>
    <hyperlink r:id="rId2558" ref="E854"/>
    <hyperlink r:id="rId2559" ref="A855"/>
    <hyperlink r:id="rId2560" ref="C855"/>
    <hyperlink r:id="rId2561" ref="E855"/>
    <hyperlink r:id="rId2562" ref="A856"/>
    <hyperlink r:id="rId2563" ref="C856"/>
    <hyperlink r:id="rId2564" ref="E856"/>
    <hyperlink r:id="rId2565" ref="A857"/>
    <hyperlink r:id="rId2566" ref="C857"/>
    <hyperlink r:id="rId2567" ref="E857"/>
    <hyperlink r:id="rId2568" ref="A858"/>
    <hyperlink r:id="rId2569" ref="C858"/>
    <hyperlink r:id="rId2570" ref="E858"/>
    <hyperlink r:id="rId2571" ref="A859"/>
    <hyperlink r:id="rId2572" ref="C859"/>
    <hyperlink r:id="rId2573" ref="E859"/>
    <hyperlink r:id="rId2574" ref="A860"/>
    <hyperlink r:id="rId2575" ref="C860"/>
    <hyperlink r:id="rId2576" ref="E860"/>
    <hyperlink r:id="rId2577" ref="A861"/>
    <hyperlink r:id="rId2578" ref="C861"/>
    <hyperlink r:id="rId2579" ref="E861"/>
    <hyperlink r:id="rId2580" ref="A862"/>
    <hyperlink r:id="rId2581" ref="C862"/>
    <hyperlink r:id="rId2582" ref="E862"/>
    <hyperlink r:id="rId2583" ref="A863"/>
    <hyperlink r:id="rId2584" ref="C863"/>
    <hyperlink r:id="rId2585" ref="E863"/>
    <hyperlink r:id="rId2586" ref="A864"/>
    <hyperlink r:id="rId2587" ref="C864"/>
    <hyperlink r:id="rId2588" ref="E864"/>
    <hyperlink r:id="rId2589" ref="A865"/>
    <hyperlink r:id="rId2590" ref="C865"/>
    <hyperlink r:id="rId2591" ref="E865"/>
    <hyperlink r:id="rId2592" ref="A866"/>
    <hyperlink r:id="rId2593" ref="C866"/>
    <hyperlink r:id="rId2594" ref="E866"/>
    <hyperlink r:id="rId2595" ref="A867"/>
    <hyperlink r:id="rId2596" ref="C867"/>
    <hyperlink r:id="rId2597" ref="E867"/>
    <hyperlink r:id="rId2598" ref="A868"/>
    <hyperlink r:id="rId2599" ref="C868"/>
    <hyperlink r:id="rId2600" ref="E868"/>
    <hyperlink r:id="rId2601" ref="A869"/>
    <hyperlink r:id="rId2602" ref="C869"/>
    <hyperlink r:id="rId2603" ref="E869"/>
    <hyperlink r:id="rId2604" ref="A870"/>
    <hyperlink r:id="rId2605" ref="C870"/>
    <hyperlink r:id="rId2606" ref="E870"/>
    <hyperlink r:id="rId2607" ref="A871"/>
    <hyperlink r:id="rId2608" ref="C871"/>
    <hyperlink r:id="rId2609" ref="E871"/>
    <hyperlink r:id="rId2610" ref="A872"/>
    <hyperlink r:id="rId2611" ref="C872"/>
    <hyperlink r:id="rId2612" ref="E872"/>
    <hyperlink r:id="rId2613" ref="A873"/>
    <hyperlink r:id="rId2614" ref="C873"/>
    <hyperlink r:id="rId2615" ref="E873"/>
    <hyperlink r:id="rId2616" ref="A874"/>
    <hyperlink r:id="rId2617" ref="C874"/>
    <hyperlink r:id="rId2618" ref="E874"/>
    <hyperlink r:id="rId2619" ref="A875"/>
    <hyperlink r:id="rId2620" ref="C875"/>
    <hyperlink r:id="rId2621" ref="E875"/>
    <hyperlink r:id="rId2622" ref="A876"/>
    <hyperlink r:id="rId2623" ref="C876"/>
    <hyperlink r:id="rId2624" ref="E876"/>
    <hyperlink r:id="rId2625" ref="A877"/>
    <hyperlink r:id="rId2626" ref="C877"/>
    <hyperlink r:id="rId2627" ref="E877"/>
    <hyperlink r:id="rId2628" ref="A878"/>
    <hyperlink r:id="rId2629" ref="C878"/>
    <hyperlink r:id="rId2630" ref="E878"/>
    <hyperlink r:id="rId2631" ref="A879"/>
    <hyperlink r:id="rId2632" ref="C879"/>
    <hyperlink r:id="rId2633" ref="E879"/>
    <hyperlink r:id="rId2634" ref="A880"/>
    <hyperlink r:id="rId2635" ref="C880"/>
    <hyperlink r:id="rId2636" ref="E880"/>
    <hyperlink r:id="rId2637" ref="A881"/>
    <hyperlink r:id="rId2638" ref="C881"/>
    <hyperlink r:id="rId2639" ref="E881"/>
    <hyperlink r:id="rId2640" ref="A882"/>
    <hyperlink r:id="rId2641" ref="C882"/>
    <hyperlink r:id="rId2642" ref="E882"/>
    <hyperlink r:id="rId2643" ref="A883"/>
    <hyperlink r:id="rId2644" ref="C883"/>
    <hyperlink r:id="rId2645" ref="E883"/>
    <hyperlink r:id="rId2646" ref="A884"/>
    <hyperlink r:id="rId2647" ref="C884"/>
    <hyperlink r:id="rId2648" ref="E884"/>
    <hyperlink r:id="rId2649" ref="A885"/>
    <hyperlink r:id="rId2650" ref="C885"/>
    <hyperlink r:id="rId2651" ref="E885"/>
    <hyperlink r:id="rId2652" ref="A886"/>
    <hyperlink r:id="rId2653" ref="C886"/>
    <hyperlink r:id="rId2654" ref="E886"/>
    <hyperlink r:id="rId2655" ref="A887"/>
    <hyperlink r:id="rId2656" ref="C887"/>
    <hyperlink r:id="rId2657" ref="E887"/>
    <hyperlink r:id="rId2658" ref="A888"/>
    <hyperlink r:id="rId2659" ref="C888"/>
    <hyperlink r:id="rId2660" ref="E888"/>
    <hyperlink r:id="rId2661" ref="A889"/>
    <hyperlink r:id="rId2662" ref="C889"/>
    <hyperlink r:id="rId2663" ref="E889"/>
    <hyperlink r:id="rId2664" ref="A890"/>
    <hyperlink r:id="rId2665" ref="C890"/>
    <hyperlink r:id="rId2666" ref="E890"/>
    <hyperlink r:id="rId2667" ref="A891"/>
    <hyperlink r:id="rId2668" ref="C891"/>
    <hyperlink r:id="rId2669" ref="E891"/>
    <hyperlink r:id="rId2670" ref="A892"/>
    <hyperlink r:id="rId2671" ref="C892"/>
    <hyperlink r:id="rId2672" ref="E892"/>
    <hyperlink r:id="rId2673" ref="A893"/>
    <hyperlink r:id="rId2674" ref="C893"/>
    <hyperlink r:id="rId2675" ref="E893"/>
    <hyperlink r:id="rId2676" ref="A894"/>
    <hyperlink r:id="rId2677" ref="C894"/>
    <hyperlink r:id="rId2678" ref="E894"/>
    <hyperlink r:id="rId2679" ref="A895"/>
    <hyperlink r:id="rId2680" ref="C895"/>
    <hyperlink r:id="rId2681" ref="E895"/>
    <hyperlink r:id="rId2682" ref="A896"/>
    <hyperlink r:id="rId2683" ref="C896"/>
    <hyperlink r:id="rId2684" ref="E896"/>
    <hyperlink r:id="rId2685" ref="A897"/>
    <hyperlink r:id="rId2686" ref="C897"/>
    <hyperlink r:id="rId2687" ref="E897"/>
    <hyperlink r:id="rId2688" ref="A898"/>
    <hyperlink r:id="rId2689" ref="C898"/>
    <hyperlink r:id="rId2690" ref="E898"/>
    <hyperlink r:id="rId2691" ref="A899"/>
    <hyperlink r:id="rId2692" ref="C899"/>
    <hyperlink r:id="rId2693" ref="E899"/>
    <hyperlink r:id="rId2694" ref="A900"/>
    <hyperlink r:id="rId2695" ref="C900"/>
    <hyperlink r:id="rId2696" ref="E900"/>
    <hyperlink r:id="rId2697" ref="A901"/>
    <hyperlink r:id="rId2698" ref="C901"/>
    <hyperlink r:id="rId2699" ref="E901"/>
    <hyperlink r:id="rId2700" ref="A902"/>
    <hyperlink r:id="rId2701" ref="C902"/>
    <hyperlink r:id="rId2702" ref="E902"/>
    <hyperlink r:id="rId2703" ref="A903"/>
    <hyperlink r:id="rId2704" ref="C903"/>
    <hyperlink r:id="rId2705" ref="E903"/>
    <hyperlink r:id="rId2706" ref="A904"/>
    <hyperlink r:id="rId2707" ref="C904"/>
    <hyperlink r:id="rId2708" ref="E904"/>
    <hyperlink r:id="rId2709" ref="A905"/>
    <hyperlink r:id="rId2710" ref="C905"/>
    <hyperlink r:id="rId2711" ref="E905"/>
    <hyperlink r:id="rId2712" ref="A906"/>
    <hyperlink r:id="rId2713" ref="C906"/>
    <hyperlink r:id="rId2714" ref="E906"/>
    <hyperlink r:id="rId2715" ref="A907"/>
    <hyperlink r:id="rId2716" ref="C907"/>
    <hyperlink r:id="rId2717" ref="E907"/>
    <hyperlink r:id="rId2718" ref="A908"/>
    <hyperlink r:id="rId2719" ref="C908"/>
    <hyperlink r:id="rId2720" ref="E908"/>
    <hyperlink r:id="rId2721" ref="A909"/>
    <hyperlink r:id="rId2722" ref="C909"/>
    <hyperlink r:id="rId2723" ref="E909"/>
    <hyperlink r:id="rId2724" ref="A910"/>
    <hyperlink r:id="rId2725" ref="C910"/>
    <hyperlink r:id="rId2726" ref="E910"/>
    <hyperlink r:id="rId2727" ref="A911"/>
    <hyperlink r:id="rId2728" ref="C911"/>
    <hyperlink r:id="rId2729" ref="E911"/>
    <hyperlink r:id="rId2730" ref="A912"/>
    <hyperlink r:id="rId2731" ref="C912"/>
    <hyperlink r:id="rId2732" ref="E912"/>
    <hyperlink r:id="rId2733" ref="A913"/>
    <hyperlink r:id="rId2734" ref="C913"/>
    <hyperlink r:id="rId2735" ref="E913"/>
    <hyperlink r:id="rId2736" ref="A914"/>
    <hyperlink r:id="rId2737" ref="C914"/>
    <hyperlink r:id="rId2738" ref="E914"/>
    <hyperlink r:id="rId2739" ref="A915"/>
    <hyperlink r:id="rId2740" ref="C915"/>
    <hyperlink r:id="rId2741" ref="E915"/>
    <hyperlink r:id="rId2742" ref="A916"/>
    <hyperlink r:id="rId2743" ref="C916"/>
    <hyperlink r:id="rId2744" ref="E916"/>
    <hyperlink r:id="rId2745" ref="A917"/>
    <hyperlink r:id="rId2746" ref="C917"/>
    <hyperlink r:id="rId2747" ref="E917"/>
    <hyperlink r:id="rId2748" ref="A918"/>
    <hyperlink r:id="rId2749" ref="C918"/>
    <hyperlink r:id="rId2750" ref="E918"/>
    <hyperlink r:id="rId2751" ref="A919"/>
    <hyperlink r:id="rId2752" ref="C919"/>
    <hyperlink r:id="rId2753" ref="E919"/>
    <hyperlink r:id="rId2754" ref="A920"/>
    <hyperlink r:id="rId2755" ref="C920"/>
    <hyperlink r:id="rId2756" ref="E920"/>
    <hyperlink r:id="rId2757" ref="A921"/>
    <hyperlink r:id="rId2758" ref="C921"/>
    <hyperlink r:id="rId2759" ref="E921"/>
    <hyperlink r:id="rId2760" ref="A922"/>
    <hyperlink r:id="rId2761" ref="C922"/>
    <hyperlink r:id="rId2762" ref="E922"/>
    <hyperlink r:id="rId2763" ref="A923"/>
    <hyperlink r:id="rId2764" ref="C923"/>
    <hyperlink r:id="rId2765" ref="E923"/>
    <hyperlink r:id="rId2766" ref="A924"/>
    <hyperlink r:id="rId2767" ref="C924"/>
    <hyperlink r:id="rId2768" ref="E924"/>
    <hyperlink r:id="rId2769" ref="A925"/>
    <hyperlink r:id="rId2770" ref="C925"/>
    <hyperlink r:id="rId2771" ref="E925"/>
    <hyperlink r:id="rId2772" ref="A926"/>
    <hyperlink r:id="rId2773" ref="C926"/>
    <hyperlink r:id="rId2774" ref="E926"/>
    <hyperlink r:id="rId2775" ref="A927"/>
    <hyperlink r:id="rId2776" ref="C927"/>
    <hyperlink r:id="rId2777" ref="E927"/>
    <hyperlink r:id="rId2778" ref="A928"/>
    <hyperlink r:id="rId2779" ref="C928"/>
    <hyperlink r:id="rId2780" ref="E928"/>
    <hyperlink r:id="rId2781" ref="A929"/>
    <hyperlink r:id="rId2782" ref="C929"/>
    <hyperlink r:id="rId2783" ref="E929"/>
    <hyperlink r:id="rId2784" ref="A930"/>
    <hyperlink r:id="rId2785" ref="C930"/>
    <hyperlink r:id="rId2786" ref="E930"/>
    <hyperlink r:id="rId2787" ref="A931"/>
    <hyperlink r:id="rId2788" ref="C931"/>
    <hyperlink r:id="rId2789" ref="E931"/>
    <hyperlink r:id="rId2790" ref="A932"/>
    <hyperlink r:id="rId2791" ref="C932"/>
    <hyperlink r:id="rId2792" ref="E932"/>
    <hyperlink r:id="rId2793" ref="A933"/>
    <hyperlink r:id="rId2794" ref="C933"/>
    <hyperlink r:id="rId2795" ref="E933"/>
    <hyperlink r:id="rId2796" ref="A934"/>
    <hyperlink r:id="rId2797" ref="C934"/>
    <hyperlink r:id="rId2798" ref="E934"/>
    <hyperlink r:id="rId2799" ref="A935"/>
    <hyperlink r:id="rId2800" ref="C935"/>
    <hyperlink r:id="rId2801" ref="E935"/>
    <hyperlink r:id="rId2802" ref="A936"/>
    <hyperlink r:id="rId2803" ref="C936"/>
    <hyperlink r:id="rId2804" ref="E936"/>
    <hyperlink r:id="rId2805" ref="A937"/>
    <hyperlink r:id="rId2806" ref="C937"/>
    <hyperlink r:id="rId2807" ref="E937"/>
    <hyperlink r:id="rId2808" ref="A938"/>
    <hyperlink r:id="rId2809" ref="C938"/>
    <hyperlink r:id="rId2810" ref="E938"/>
    <hyperlink r:id="rId2811" ref="A939"/>
    <hyperlink r:id="rId2812" ref="C939"/>
    <hyperlink r:id="rId2813" ref="E939"/>
    <hyperlink r:id="rId2814" ref="A940"/>
    <hyperlink r:id="rId2815" ref="C940"/>
    <hyperlink r:id="rId2816" ref="E940"/>
    <hyperlink r:id="rId2817" ref="A941"/>
    <hyperlink r:id="rId2818" ref="C941"/>
    <hyperlink r:id="rId2819" ref="E941"/>
    <hyperlink r:id="rId2820" ref="A942"/>
    <hyperlink r:id="rId2821" ref="C942"/>
    <hyperlink r:id="rId2822" ref="E942"/>
    <hyperlink r:id="rId2823" ref="A943"/>
    <hyperlink r:id="rId2824" ref="C943"/>
    <hyperlink r:id="rId2825" ref="E943"/>
    <hyperlink r:id="rId2826" ref="A944"/>
    <hyperlink r:id="rId2827" ref="C944"/>
    <hyperlink r:id="rId2828" ref="E944"/>
    <hyperlink r:id="rId2829" ref="A945"/>
    <hyperlink r:id="rId2830" ref="C945"/>
    <hyperlink r:id="rId2831" ref="E945"/>
    <hyperlink r:id="rId2832" ref="A946"/>
    <hyperlink r:id="rId2833" ref="C946"/>
    <hyperlink r:id="rId2834" ref="E946"/>
    <hyperlink r:id="rId2835" ref="A947"/>
    <hyperlink r:id="rId2836" ref="C947"/>
    <hyperlink r:id="rId2837" ref="E947"/>
    <hyperlink r:id="rId2838" ref="A948"/>
    <hyperlink r:id="rId2839" ref="C948"/>
    <hyperlink r:id="rId2840" ref="E948"/>
    <hyperlink r:id="rId2841" ref="A949"/>
    <hyperlink r:id="rId2842" ref="C949"/>
    <hyperlink r:id="rId2843" ref="E949"/>
    <hyperlink r:id="rId2844" ref="A950"/>
    <hyperlink r:id="rId2845" ref="C950"/>
    <hyperlink r:id="rId2846" ref="E950"/>
    <hyperlink r:id="rId2847" ref="A951"/>
    <hyperlink r:id="rId2848" ref="C951"/>
    <hyperlink r:id="rId2849" ref="E951"/>
    <hyperlink r:id="rId2850" ref="A952"/>
    <hyperlink r:id="rId2851" ref="C952"/>
    <hyperlink r:id="rId2852" ref="E952"/>
    <hyperlink r:id="rId2853" ref="A953"/>
    <hyperlink r:id="rId2854" ref="C953"/>
    <hyperlink r:id="rId2855" ref="E953"/>
    <hyperlink r:id="rId2856" ref="A954"/>
    <hyperlink r:id="rId2857" ref="C954"/>
    <hyperlink r:id="rId2858" ref="E954"/>
    <hyperlink r:id="rId2859" ref="A955"/>
    <hyperlink r:id="rId2860" ref="C955"/>
    <hyperlink r:id="rId2861" ref="E955"/>
    <hyperlink r:id="rId2862" ref="A956"/>
    <hyperlink r:id="rId2863" ref="C956"/>
    <hyperlink r:id="rId2864" ref="E956"/>
    <hyperlink r:id="rId2865" ref="A957"/>
    <hyperlink r:id="rId2866" ref="C957"/>
    <hyperlink r:id="rId2867" ref="E957"/>
    <hyperlink r:id="rId2868" ref="A958"/>
    <hyperlink r:id="rId2869" ref="C958"/>
    <hyperlink r:id="rId2870" ref="E958"/>
    <hyperlink r:id="rId2871" ref="A959"/>
    <hyperlink r:id="rId2872" ref="C959"/>
    <hyperlink r:id="rId2873" ref="E959"/>
    <hyperlink r:id="rId2874" ref="A960"/>
    <hyperlink r:id="rId2875" ref="C960"/>
    <hyperlink r:id="rId2876" ref="E960"/>
    <hyperlink r:id="rId2877" ref="A961"/>
    <hyperlink r:id="rId2878" ref="C961"/>
    <hyperlink r:id="rId2879" ref="E961"/>
    <hyperlink r:id="rId2880" ref="A962"/>
    <hyperlink r:id="rId2881" ref="C962"/>
    <hyperlink r:id="rId2882" ref="E962"/>
    <hyperlink r:id="rId2883" ref="A963"/>
    <hyperlink r:id="rId2884" ref="C963"/>
    <hyperlink r:id="rId2885" ref="E963"/>
    <hyperlink r:id="rId2886" ref="A964"/>
    <hyperlink r:id="rId2887" ref="C964"/>
    <hyperlink r:id="rId2888" ref="E964"/>
    <hyperlink r:id="rId2889" ref="A965"/>
    <hyperlink r:id="rId2890" ref="C965"/>
    <hyperlink r:id="rId2891" ref="E965"/>
    <hyperlink r:id="rId2892" ref="A966"/>
    <hyperlink r:id="rId2893" ref="C966"/>
    <hyperlink r:id="rId2894" ref="E966"/>
    <hyperlink r:id="rId2895" ref="A967"/>
    <hyperlink r:id="rId2896" ref="C967"/>
    <hyperlink r:id="rId2897" ref="E967"/>
    <hyperlink r:id="rId2898" ref="A968"/>
    <hyperlink r:id="rId2899" ref="C968"/>
    <hyperlink r:id="rId2900" ref="E968"/>
    <hyperlink r:id="rId2901" ref="A969"/>
    <hyperlink r:id="rId2902" ref="C969"/>
    <hyperlink r:id="rId2903" ref="E969"/>
    <hyperlink r:id="rId2904" ref="A970"/>
    <hyperlink r:id="rId2905" ref="C970"/>
    <hyperlink r:id="rId2906" ref="E970"/>
    <hyperlink r:id="rId2907" ref="A971"/>
    <hyperlink r:id="rId2908" ref="C971"/>
    <hyperlink r:id="rId2909" ref="E971"/>
    <hyperlink r:id="rId2910" ref="A972"/>
    <hyperlink r:id="rId2911" ref="C972"/>
    <hyperlink r:id="rId2912" ref="E972"/>
    <hyperlink r:id="rId2913" ref="A973"/>
    <hyperlink r:id="rId2914" ref="C973"/>
    <hyperlink r:id="rId2915" ref="E973"/>
    <hyperlink r:id="rId2916" ref="A974"/>
    <hyperlink r:id="rId2917" ref="C974"/>
    <hyperlink r:id="rId2918" ref="E974"/>
    <hyperlink r:id="rId2919" ref="A975"/>
    <hyperlink r:id="rId2920" ref="C975"/>
    <hyperlink r:id="rId2921" ref="E975"/>
    <hyperlink r:id="rId2922" ref="A976"/>
    <hyperlink r:id="rId2923" ref="C976"/>
    <hyperlink r:id="rId2924" ref="E976"/>
    <hyperlink r:id="rId2925" ref="A977"/>
    <hyperlink r:id="rId2926" ref="C977"/>
    <hyperlink r:id="rId2927" ref="E977"/>
  </hyperlinks>
  <drawing r:id="rId29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5.63"/>
  </cols>
  <sheetData>
    <row r="1">
      <c r="A1" s="8" t="s">
        <v>2403</v>
      </c>
      <c r="B1" s="9" t="s">
        <v>2404</v>
      </c>
      <c r="C1" s="10" t="s">
        <v>2405</v>
      </c>
      <c r="D1" s="9" t="s">
        <v>2406</v>
      </c>
      <c r="E1" s="9" t="s">
        <v>2407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2408</v>
      </c>
      <c r="B2" s="9" t="s">
        <v>1806</v>
      </c>
      <c r="C2" s="1" t="s">
        <v>2409</v>
      </c>
      <c r="D2" s="9" t="str">
        <f> VLOOKUP(B2,'Kopie van RawV3Q1'!F:G,2,false)
</f>
        <v>academisch docent, politicus, directeur, historicus, leerkracht, kanunnik, studiemeester, rector, taalkundige, katholiek priester</v>
      </c>
      <c r="E2" s="12" t="s">
        <v>1807</v>
      </c>
    </row>
    <row r="3">
      <c r="A3" s="11" t="s">
        <v>2410</v>
      </c>
      <c r="B3" s="9" t="s">
        <v>295</v>
      </c>
      <c r="C3" s="1" t="s">
        <v>2409</v>
      </c>
      <c r="D3" s="9" t="str">
        <f> VLOOKUP(B3,'Kopie van RawV3Q1'!F:G,2,false)
</f>
        <v>academisch docent, magistraat, schrijver</v>
      </c>
      <c r="E3" s="13" t="s">
        <v>2411</v>
      </c>
    </row>
    <row r="4">
      <c r="A4" s="11" t="s">
        <v>2412</v>
      </c>
      <c r="B4" s="9" t="s">
        <v>585</v>
      </c>
      <c r="C4" s="1" t="s">
        <v>2409</v>
      </c>
      <c r="D4" s="9" t="str">
        <f> VLOOKUP(B4,'Kopie van RawV3Q1'!F:G,2,false)
</f>
        <v>academisch docent, leerkracht, filoloog</v>
      </c>
      <c r="E4" s="13" t="s">
        <v>2411</v>
      </c>
    </row>
    <row r="5">
      <c r="A5" s="11" t="s">
        <v>2413</v>
      </c>
      <c r="B5" s="9" t="s">
        <v>1661</v>
      </c>
      <c r="C5" s="1" t="s">
        <v>2409</v>
      </c>
      <c r="D5" s="9" t="str">
        <f> VLOOKUP(B5,'Kopie van RawV3Q1'!F:G,2,false)
</f>
        <v>academisch docent, professor, ambtenaar, politicus</v>
      </c>
      <c r="E5" s="12" t="s">
        <v>1662</v>
      </c>
    </row>
    <row r="6">
      <c r="A6" s="11" t="s">
        <v>2414</v>
      </c>
      <c r="B6" s="9" t="s">
        <v>299</v>
      </c>
      <c r="C6" s="1" t="s">
        <v>2409</v>
      </c>
      <c r="D6" s="9" t="str">
        <f> VLOOKUP(B6,'Kopie van RawV3Q1'!F:G,2,false)
</f>
        <v>activist, advocaat</v>
      </c>
      <c r="E6" s="13" t="s">
        <v>2411</v>
      </c>
    </row>
    <row r="7">
      <c r="A7" s="11" t="s">
        <v>2415</v>
      </c>
      <c r="B7" s="9" t="s">
        <v>900</v>
      </c>
      <c r="C7" s="1" t="s">
        <v>2409</v>
      </c>
      <c r="D7" s="9" t="str">
        <f> VLOOKUP(B7,'Kopie van RawV3Q1'!F:G,2,false)
</f>
        <v>advocaat, rechter, schrijver, dichter</v>
      </c>
      <c r="E7" s="12" t="s">
        <v>901</v>
      </c>
    </row>
    <row r="8">
      <c r="A8" s="11" t="s">
        <v>2416</v>
      </c>
      <c r="B8" s="9" t="s">
        <v>513</v>
      </c>
      <c r="C8" s="1" t="s">
        <v>2409</v>
      </c>
      <c r="D8" s="9" t="str">
        <f> VLOOKUP(B8,'Kopie van RawV3Q1'!F:G,2,false)
</f>
        <v>advocaat</v>
      </c>
      <c r="E8" s="13" t="s">
        <v>2411</v>
      </c>
    </row>
    <row r="9">
      <c r="A9" s="11" t="s">
        <v>2417</v>
      </c>
      <c r="B9" s="9" t="s">
        <v>1111</v>
      </c>
      <c r="C9" s="1" t="s">
        <v>2409</v>
      </c>
      <c r="D9" s="9" t="str">
        <f> VLOOKUP(B9,'Kopie van RawV3Q1'!F:G,2,false)
</f>
        <v>advocaat</v>
      </c>
      <c r="E9" s="13" t="s">
        <v>2411</v>
      </c>
    </row>
    <row r="10">
      <c r="A10" s="11" t="s">
        <v>2418</v>
      </c>
      <c r="B10" s="9" t="s">
        <v>1421</v>
      </c>
      <c r="C10" s="1" t="s">
        <v>2409</v>
      </c>
      <c r="D10" s="9" t="str">
        <f> VLOOKUP(B10,'Kopie van RawV3Q1'!F:G,2,false)
</f>
        <v>advocaat, politicus</v>
      </c>
      <c r="E10" s="12" t="s">
        <v>1422</v>
      </c>
    </row>
    <row r="11">
      <c r="A11" s="11" t="s">
        <v>2419</v>
      </c>
      <c r="B11" s="9" t="s">
        <v>540</v>
      </c>
      <c r="C11" s="1" t="s">
        <v>2409</v>
      </c>
      <c r="D11" s="9" t="str">
        <f> VLOOKUP(B11,'Kopie van RawV3Q1'!F:G,2,false)
</f>
        <v>advocaat, politicus</v>
      </c>
      <c r="E11" s="13" t="s">
        <v>2411</v>
      </c>
    </row>
    <row r="12">
      <c r="A12" s="11" t="s">
        <v>2420</v>
      </c>
      <c r="B12" s="9" t="s">
        <v>926</v>
      </c>
      <c r="C12" s="1" t="s">
        <v>2409</v>
      </c>
      <c r="D12" s="9" t="str">
        <f> VLOOKUP(B12,'Kopie van RawV3Q1'!F:G,2,false)
</f>
        <v>advocaat, politicus</v>
      </c>
      <c r="E12" s="12" t="s">
        <v>927</v>
      </c>
    </row>
    <row r="13">
      <c r="A13" s="11" t="s">
        <v>2421</v>
      </c>
      <c r="B13" s="9" t="s">
        <v>1537</v>
      </c>
      <c r="C13" s="1" t="s">
        <v>2409</v>
      </c>
      <c r="D13" s="9" t="str">
        <f> VLOOKUP(B13,'Kopie van RawV3Q1'!F:G,2,false)
</f>
        <v>advocaat</v>
      </c>
      <c r="E13" s="13" t="s">
        <v>2411</v>
      </c>
    </row>
    <row r="14">
      <c r="A14" s="11" t="s">
        <v>2422</v>
      </c>
      <c r="B14" s="9" t="s">
        <v>1798</v>
      </c>
      <c r="C14" s="1" t="s">
        <v>2409</v>
      </c>
      <c r="D14" s="9" t="str">
        <f> VLOOKUP(B14,'Kopie van RawV3Q1'!F:G,2,false)
</f>
        <v>advocaat, schrijver, historicus, archivaris</v>
      </c>
      <c r="E14" s="13" t="s">
        <v>2411</v>
      </c>
    </row>
    <row r="15">
      <c r="A15" s="11" t="s">
        <v>2423</v>
      </c>
      <c r="B15" s="9" t="s">
        <v>1515</v>
      </c>
      <c r="C15" s="1" t="s">
        <v>2409</v>
      </c>
      <c r="D15" s="9" t="str">
        <f> VLOOKUP(B15,'Kopie van RawV3Q1'!F:G,2,false)
</f>
        <v>advocaat, schrijver, professor</v>
      </c>
      <c r="E15" s="13" t="s">
        <v>2411</v>
      </c>
    </row>
    <row r="16">
      <c r="A16" s="11" t="s">
        <v>2424</v>
      </c>
      <c r="B16" s="9" t="s">
        <v>1304</v>
      </c>
      <c r="C16" s="1" t="s">
        <v>2409</v>
      </c>
      <c r="D16" s="9" t="str">
        <f> VLOOKUP(B16,'Kopie van RawV3Q1'!F:G,2,false)
</f>
        <v>advocaat, rechter, rentenier</v>
      </c>
      <c r="E16" s="13" t="s">
        <v>2411</v>
      </c>
    </row>
    <row r="17">
      <c r="A17" s="11" t="s">
        <v>2425</v>
      </c>
      <c r="B17" s="9" t="s">
        <v>969</v>
      </c>
      <c r="C17" s="1" t="s">
        <v>2409</v>
      </c>
      <c r="D17" s="9" t="str">
        <f> VLOOKUP(B17,'Kopie van RawV3Q1'!F:G,2,false)
</f>
        <v>agrariër, schrijver</v>
      </c>
      <c r="E17" s="12" t="s">
        <v>972</v>
      </c>
    </row>
    <row r="18">
      <c r="A18" s="11" t="s">
        <v>2426</v>
      </c>
      <c r="B18" s="9" t="s">
        <v>1599</v>
      </c>
      <c r="C18" s="1" t="s">
        <v>2409</v>
      </c>
      <c r="D18" s="9" t="str">
        <f> VLOOKUP(B18,'Kopie van RawV3Q1'!F:G,2,false)
</f>
        <v>ambtenaar, journalist</v>
      </c>
      <c r="E18" s="13" t="s">
        <v>2411</v>
      </c>
    </row>
    <row r="19">
      <c r="A19" s="11" t="s">
        <v>2427</v>
      </c>
      <c r="B19" s="9" t="s">
        <v>914</v>
      </c>
      <c r="C19" s="1" t="s">
        <v>2409</v>
      </c>
      <c r="D19" s="9" t="str">
        <f> VLOOKUP(B19,'Kopie van RawV3Q1'!F:G,2,false)
</f>
        <v>ambtenaar, hoofdredacteur, muziekleraar, schrijver, onderwijzer, dichter</v>
      </c>
      <c r="E19" s="13" t="s">
        <v>2411</v>
      </c>
    </row>
    <row r="20">
      <c r="A20" s="11" t="s">
        <v>2428</v>
      </c>
      <c r="B20" s="9" t="s">
        <v>213</v>
      </c>
      <c r="C20" s="1" t="s">
        <v>2409</v>
      </c>
      <c r="D20" s="9" t="str">
        <f> VLOOKUP(B20,'Kopie van RawV3Q1'!F:G,2,false)
</f>
        <v>ambtenaar, directeur, dichter</v>
      </c>
      <c r="E20" s="13" t="s">
        <v>2411</v>
      </c>
    </row>
    <row r="21">
      <c r="A21" s="11" t="s">
        <v>2429</v>
      </c>
      <c r="B21" s="9" t="s">
        <v>864</v>
      </c>
      <c r="C21" s="1" t="s">
        <v>2409</v>
      </c>
      <c r="D21" s="9" t="str">
        <f> VLOOKUP(B21,'Kopie van RawV3Q1'!F:G,2,false)
</f>
        <v>ambtenaar</v>
      </c>
      <c r="E21" s="13" t="s">
        <v>2411</v>
      </c>
    </row>
    <row r="22">
      <c r="A22" s="11" t="s">
        <v>2430</v>
      </c>
      <c r="B22" s="9" t="s">
        <v>948</v>
      </c>
      <c r="C22" s="1" t="s">
        <v>2409</v>
      </c>
      <c r="D22" s="9" t="str">
        <f> VLOOKUP(B22,'Kopie van RawV3Q1'!F:G,2,false)
</f>
        <v>ambtenaar, leerkracht, archivaris</v>
      </c>
      <c r="E22" s="12" t="s">
        <v>949</v>
      </c>
    </row>
    <row r="23">
      <c r="A23" s="11" t="s">
        <v>2431</v>
      </c>
      <c r="B23" s="9" t="s">
        <v>986</v>
      </c>
      <c r="C23" s="1" t="s">
        <v>2409</v>
      </c>
      <c r="D23" s="9" t="str">
        <f> VLOOKUP(B23,'Kopie van RawV3Q1'!F:G,2,false)
</f>
        <v>ambtenaar, academisch docent, activist</v>
      </c>
      <c r="E23" s="13" t="s">
        <v>2411</v>
      </c>
    </row>
    <row r="24">
      <c r="A24" s="11" t="s">
        <v>2432</v>
      </c>
      <c r="B24" s="9" t="s">
        <v>1407</v>
      </c>
      <c r="C24" s="1" t="s">
        <v>2409</v>
      </c>
      <c r="D24" s="9" t="str">
        <f> VLOOKUP(B24,'Kopie van RawV3Q1'!F:G,2,false)
</f>
        <v>ambtenaar, toneelschrijver, dichter</v>
      </c>
      <c r="E24" s="12" t="s">
        <v>1408</v>
      </c>
    </row>
    <row r="25">
      <c r="A25" s="11" t="s">
        <v>2433</v>
      </c>
      <c r="B25" s="9" t="s">
        <v>1448</v>
      </c>
      <c r="C25" s="1" t="s">
        <v>2409</v>
      </c>
      <c r="D25" s="9" t="str">
        <f> VLOOKUP(B25,'Kopie van RawV3Q1'!F:G,2,false)
</f>
        <v>antropoloog, rector, schrijver</v>
      </c>
      <c r="E25" s="12" t="s">
        <v>1449</v>
      </c>
    </row>
    <row r="26">
      <c r="A26" s="11" t="s">
        <v>2434</v>
      </c>
      <c r="B26" s="9" t="s">
        <v>310</v>
      </c>
      <c r="C26" s="1" t="s">
        <v>2409</v>
      </c>
      <c r="D26" s="9" t="str">
        <f> VLOOKUP(B26,'Kopie van RawV3Q1'!F:G,2,false)
</f>
        <v>apotheker</v>
      </c>
      <c r="E26" s="13" t="s">
        <v>2411</v>
      </c>
    </row>
    <row r="27">
      <c r="A27" s="11" t="s">
        <v>2435</v>
      </c>
      <c r="B27" s="9" t="s">
        <v>1292</v>
      </c>
      <c r="C27" s="1" t="s">
        <v>2409</v>
      </c>
      <c r="D27" s="9" t="str">
        <f> VLOOKUP(B27,'Kopie van RawV3Q1'!F:G,2,false)
</f>
        <v>apotheker</v>
      </c>
      <c r="E27" s="13" t="s">
        <v>2411</v>
      </c>
    </row>
    <row r="28">
      <c r="A28" s="11" t="s">
        <v>2436</v>
      </c>
      <c r="B28" s="9" t="s">
        <v>1767</v>
      </c>
      <c r="C28" s="1" t="s">
        <v>2409</v>
      </c>
      <c r="D28" s="9" t="str">
        <f> VLOOKUP(B28,'Kopie van RawV3Q1'!F:G,2,false)
</f>
        <v>apotheker</v>
      </c>
      <c r="E28" s="13" t="s">
        <v>2411</v>
      </c>
    </row>
    <row r="29">
      <c r="A29" s="11" t="s">
        <v>2437</v>
      </c>
      <c r="B29" s="9" t="s">
        <v>1424</v>
      </c>
      <c r="C29" s="1" t="s">
        <v>2409</v>
      </c>
      <c r="D29" s="9" t="str">
        <f> VLOOKUP(B29,'Kopie van RawV3Q1'!F:G,2,false)
</f>
        <v>archeoloog, pastoor, historicus, leerkracht, katholiek priester, schrijver, schoolopziener</v>
      </c>
      <c r="E29" s="12" t="s">
        <v>1425</v>
      </c>
    </row>
    <row r="30">
      <c r="A30" s="11" t="s">
        <v>2438</v>
      </c>
      <c r="B30" s="9" t="s">
        <v>1000</v>
      </c>
      <c r="C30" s="1" t="s">
        <v>2409</v>
      </c>
      <c r="D30" s="9" t="str">
        <f> VLOOKUP(B30,'Kopie van RawV3Q1'!F:G,2,false)
</f>
        <v>arts, schrijver, dichter</v>
      </c>
      <c r="E30" s="12" t="s">
        <v>1001</v>
      </c>
    </row>
    <row r="31">
      <c r="A31" s="11" t="s">
        <v>2439</v>
      </c>
      <c r="B31" s="9" t="s">
        <v>877</v>
      </c>
      <c r="C31" s="1" t="s">
        <v>2409</v>
      </c>
      <c r="D31" s="9" t="str">
        <f> VLOOKUP(B31,'Kopie van RawV3Q1'!F:G,2,false)
</f>
        <v>arts</v>
      </c>
      <c r="E31" s="13" t="s">
        <v>2411</v>
      </c>
    </row>
    <row r="32">
      <c r="A32" s="11" t="s">
        <v>2440</v>
      </c>
      <c r="B32" s="9" t="s">
        <v>955</v>
      </c>
      <c r="C32" s="1" t="s">
        <v>2409</v>
      </c>
      <c r="D32" s="9" t="str">
        <f> VLOOKUP(B32,'Kopie van RawV3Q1'!F:G,2,false)
</f>
        <v>arts, schrijver, dichter, publicist</v>
      </c>
      <c r="E32" s="12" t="s">
        <v>956</v>
      </c>
    </row>
    <row r="33">
      <c r="A33" s="11" t="s">
        <v>2441</v>
      </c>
      <c r="B33" s="9" t="s">
        <v>1451</v>
      </c>
      <c r="C33" s="1" t="s">
        <v>2409</v>
      </c>
      <c r="D33" s="9" t="str">
        <f> VLOOKUP(B33,'Kopie van RawV3Q1'!F:G,2,false)
</f>
        <v>arts, schrijver, academisch docent</v>
      </c>
      <c r="E33" s="12" t="s">
        <v>1452</v>
      </c>
    </row>
    <row r="34">
      <c r="A34" s="11" t="s">
        <v>2442</v>
      </c>
      <c r="B34" s="9" t="s">
        <v>1317</v>
      </c>
      <c r="C34" s="1" t="s">
        <v>2409</v>
      </c>
      <c r="D34" s="9" t="str">
        <f> VLOOKUP(B34,'Kopie van RawV3Q1'!F:G,2,false)
</f>
        <v>arts, politicus</v>
      </c>
      <c r="E34" s="13" t="s">
        <v>2411</v>
      </c>
    </row>
    <row r="35">
      <c r="A35" s="11" t="s">
        <v>2443</v>
      </c>
      <c r="B35" s="9" t="s">
        <v>858</v>
      </c>
      <c r="C35" s="1" t="s">
        <v>2409</v>
      </c>
      <c r="D35" s="9" t="str">
        <f> VLOOKUP(B35,'Kopie van RawV3Q1'!F:G,2,false)
</f>
        <v>arts</v>
      </c>
      <c r="E35" s="13" t="s">
        <v>2411</v>
      </c>
    </row>
    <row r="36">
      <c r="A36" s="11" t="s">
        <v>2444</v>
      </c>
      <c r="B36" s="9" t="s">
        <v>172</v>
      </c>
      <c r="C36" s="1" t="s">
        <v>2409</v>
      </c>
      <c r="D36" s="9" t="str">
        <f> VLOOKUP(B36,'Kopie van RawV3Q1'!F:G,2,false)
</f>
        <v>arts, dichter</v>
      </c>
      <c r="E36" s="13" t="s">
        <v>2411</v>
      </c>
    </row>
    <row r="37">
      <c r="A37" s="11" t="s">
        <v>2445</v>
      </c>
      <c r="B37" s="9" t="s">
        <v>1715</v>
      </c>
      <c r="C37" s="1" t="s">
        <v>2409</v>
      </c>
      <c r="D37" s="9" t="str">
        <f> VLOOKUP(B37,'Kopie van RawV3Q1'!F:G,2,false)
</f>
        <v>arts</v>
      </c>
      <c r="E37" s="13" t="s">
        <v>2411</v>
      </c>
    </row>
    <row r="38">
      <c r="A38" s="11" t="s">
        <v>2446</v>
      </c>
      <c r="B38" s="9" t="s">
        <v>1765</v>
      </c>
      <c r="C38" s="1" t="s">
        <v>2409</v>
      </c>
      <c r="D38" s="9" t="str">
        <f> VLOOKUP(B38,'Kopie van RawV3Q1'!F:G,2,false)
</f>
        <v>arts</v>
      </c>
      <c r="E38" s="13" t="s">
        <v>2411</v>
      </c>
    </row>
    <row r="39">
      <c r="A39" s="11" t="s">
        <v>2447</v>
      </c>
      <c r="B39" s="9" t="s">
        <v>1343</v>
      </c>
      <c r="C39" s="1" t="s">
        <v>2409</v>
      </c>
      <c r="D39" s="9" t="str">
        <f> VLOOKUP(B39,'Kopie van RawV3Q1'!F:G,2,false)
</f>
        <v>arts</v>
      </c>
      <c r="E39" s="13" t="s">
        <v>2411</v>
      </c>
    </row>
    <row r="40">
      <c r="A40" s="11" t="s">
        <v>2448</v>
      </c>
      <c r="B40" s="9" t="s">
        <v>862</v>
      </c>
      <c r="C40" s="1" t="s">
        <v>2409</v>
      </c>
      <c r="D40" s="9" t="str">
        <f> VLOOKUP(B40,'Kopie van RawV3Q1'!F:G,2,false)
</f>
        <v>arts</v>
      </c>
      <c r="E40" s="13" t="s">
        <v>2411</v>
      </c>
    </row>
    <row r="41">
      <c r="A41" s="11" t="s">
        <v>2449</v>
      </c>
      <c r="B41" s="9" t="s">
        <v>820</v>
      </c>
      <c r="C41" s="1" t="s">
        <v>2409</v>
      </c>
      <c r="D41" s="9" t="str">
        <f> VLOOKUP(B41,'Kopie van RawV3Q1'!F:G,2,false)
</f>
        <v>bakker, conciërge, winkelier</v>
      </c>
      <c r="E41" s="12" t="s">
        <v>821</v>
      </c>
    </row>
    <row r="42">
      <c r="A42" s="11" t="s">
        <v>2450</v>
      </c>
      <c r="B42" s="9" t="s">
        <v>1820</v>
      </c>
      <c r="C42" s="1" t="s">
        <v>2409</v>
      </c>
      <c r="D42" s="9" t="str">
        <f> VLOOKUP(B42,'Kopie van RawV3Q1'!F:G,2,false)
</f>
        <v>bankier, publicist, bibliofiel</v>
      </c>
      <c r="E42" s="13" t="s">
        <v>2411</v>
      </c>
    </row>
    <row r="43">
      <c r="A43" s="11" t="s">
        <v>2451</v>
      </c>
      <c r="B43" s="9" t="s">
        <v>1601</v>
      </c>
      <c r="C43" s="1" t="s">
        <v>2409</v>
      </c>
      <c r="D43" s="9" t="str">
        <f> VLOOKUP(B43,'Kopie van RawV3Q1'!F:G,2,false)
</f>
        <v>bankier</v>
      </c>
      <c r="E43" s="13" t="s">
        <v>2411</v>
      </c>
    </row>
    <row r="44">
      <c r="A44" s="11" t="s">
        <v>2452</v>
      </c>
      <c r="B44" s="9" t="s">
        <v>664</v>
      </c>
      <c r="C44" s="1" t="s">
        <v>2409</v>
      </c>
      <c r="D44" s="9" t="str">
        <f> VLOOKUP(B44,'Kopie van RawV3Q1'!F:G,2,false)
</f>
        <v>beeldhouwer, houtsnijder</v>
      </c>
      <c r="E44" s="13" t="s">
        <v>2411</v>
      </c>
    </row>
    <row r="45">
      <c r="A45" s="11" t="s">
        <v>2453</v>
      </c>
      <c r="B45" s="9" t="s">
        <v>1385</v>
      </c>
      <c r="C45" s="1" t="s">
        <v>2409</v>
      </c>
      <c r="D45" s="9" t="str">
        <f> VLOOKUP(B45,'Kopie van RawV3Q1'!F:G,2,false)
</f>
        <v>begijn of bogaard</v>
      </c>
      <c r="E45" s="13" t="s">
        <v>2411</v>
      </c>
    </row>
    <row r="46">
      <c r="A46" s="11" t="s">
        <v>2454</v>
      </c>
      <c r="B46" s="9" t="s">
        <v>814</v>
      </c>
      <c r="C46" s="1" t="s">
        <v>2409</v>
      </c>
      <c r="D46" s="9" t="str">
        <f> VLOOKUP(B46,'Kopie van RawV3Q1'!F:G,2,false)
</f>
        <v>behanger, winkelier</v>
      </c>
      <c r="E46" s="13" t="s">
        <v>2411</v>
      </c>
    </row>
    <row r="47">
      <c r="A47" s="11" t="s">
        <v>2455</v>
      </c>
      <c r="B47" s="9" t="s">
        <v>1427</v>
      </c>
      <c r="C47" s="1" t="s">
        <v>2409</v>
      </c>
      <c r="D47" s="9" t="str">
        <f> VLOOKUP(B47,'Kopie van RawV3Q1'!F:G,2,false)
</f>
        <v>bestuurder, directeur, historicus, rector, katholiek priester, academisch docent, secretaris</v>
      </c>
      <c r="E47" s="13" t="s">
        <v>2411</v>
      </c>
    </row>
    <row r="48">
      <c r="A48" s="11" t="s">
        <v>2456</v>
      </c>
      <c r="B48" s="9" t="s">
        <v>1585</v>
      </c>
      <c r="C48" s="1" t="s">
        <v>2409</v>
      </c>
      <c r="D48" s="9" t="str">
        <f> VLOOKUP(B48,'Kopie van RawV3Q1'!F:G,2,false)
</f>
        <v>bestuurder, non, overste</v>
      </c>
      <c r="E48" s="13" t="s">
        <v>2411</v>
      </c>
    </row>
    <row r="49">
      <c r="A49" s="11" t="s">
        <v>2457</v>
      </c>
      <c r="B49" s="9" t="s">
        <v>1161</v>
      </c>
      <c r="C49" s="1" t="s">
        <v>2409</v>
      </c>
      <c r="D49" s="9" t="str">
        <f> VLOOKUP(B49,'Kopie van RawV3Q1'!F:G,2,false)
</f>
        <v>bestuurder, katholiek priester, leerkracht, parochievicaris</v>
      </c>
      <c r="E49" s="13" t="s">
        <v>2411</v>
      </c>
    </row>
    <row r="50">
      <c r="A50" s="11" t="s">
        <v>2458</v>
      </c>
      <c r="B50" s="9" t="s">
        <v>477</v>
      </c>
      <c r="C50" s="1" t="s">
        <v>2409</v>
      </c>
      <c r="D50" s="9" t="str">
        <f> VLOOKUP(B50,'Kopie van RawV3Q1'!F:G,2,false)
</f>
        <v>bestuurder, vertaler, lector, parochievicaris, pater, priester</v>
      </c>
      <c r="E50" s="13" t="s">
        <v>2411</v>
      </c>
    </row>
    <row r="51">
      <c r="A51" s="11" t="s">
        <v>2459</v>
      </c>
      <c r="B51" s="9" t="s">
        <v>1475</v>
      </c>
      <c r="C51" s="1" t="s">
        <v>2409</v>
      </c>
      <c r="D51" s="9" t="str">
        <f> VLOOKUP(B51,'Kopie van RawV3Q1'!F:G,2,false)
</f>
        <v>bestuurder, leerkracht, conservator, katholiek priester, huiskapelaan</v>
      </c>
      <c r="E51" s="12" t="s">
        <v>1476</v>
      </c>
    </row>
    <row r="52">
      <c r="A52" s="11" t="s">
        <v>2460</v>
      </c>
      <c r="B52" s="9" t="s">
        <v>394</v>
      </c>
      <c r="C52" s="1" t="s">
        <v>2409</v>
      </c>
      <c r="D52" s="9" t="str">
        <f> VLOOKUP(B52,'Kopie van RawV3Q1'!F:G,2,false)
</f>
        <v>bibliofiel, politicus, bibliothecaris, historicus, bibliograaf</v>
      </c>
      <c r="E52" s="12" t="s">
        <v>397</v>
      </c>
    </row>
    <row r="53">
      <c r="A53" s="11" t="s">
        <v>2461</v>
      </c>
      <c r="B53" s="9" t="s">
        <v>102</v>
      </c>
      <c r="C53" s="1" t="s">
        <v>2409</v>
      </c>
      <c r="D53" s="9" t="str">
        <f> VLOOKUP(B53,'Kopie van RawV3Q1'!F:G,2,false)
</f>
        <v>bibliothecaris, historicus, kunstverzamelaar, letterkundige, archivaris</v>
      </c>
      <c r="E53" s="12" t="s">
        <v>105</v>
      </c>
    </row>
    <row r="54">
      <c r="A54" s="11" t="s">
        <v>2462</v>
      </c>
      <c r="B54" s="9" t="s">
        <v>1009</v>
      </c>
      <c r="C54" s="1" t="s">
        <v>2409</v>
      </c>
      <c r="D54" s="9" t="str">
        <f> VLOOKUP(B54,'Kopie van RawV3Q1'!F:G,2,false)
</f>
        <v>bibliothecaris, katholiek priester</v>
      </c>
      <c r="E54" s="12" t="s">
        <v>1010</v>
      </c>
    </row>
    <row r="55">
      <c r="A55" s="11" t="s">
        <v>2463</v>
      </c>
      <c r="B55" s="9" t="s">
        <v>293</v>
      </c>
      <c r="C55" s="1" t="s">
        <v>2409</v>
      </c>
      <c r="D55" s="9" t="str">
        <f> VLOOKUP(B55,'Kopie van RawV3Q1'!F:G,2,false)
</f>
        <v>bibliothecaris, boekhandelaar, bibliograaf, restaurator</v>
      </c>
      <c r="E55" s="13" t="s">
        <v>2411</v>
      </c>
    </row>
    <row r="56">
      <c r="A56" s="11" t="s">
        <v>2464</v>
      </c>
      <c r="B56" s="9" t="s">
        <v>870</v>
      </c>
      <c r="C56" s="1" t="s">
        <v>2409</v>
      </c>
      <c r="D56" s="9" t="str">
        <f> VLOOKUP(B56,'Kopie van RawV3Q1'!F:G,2,false)
</f>
        <v>bibliothecaris, archivaris, secretaris</v>
      </c>
      <c r="E56" s="13" t="s">
        <v>2411</v>
      </c>
    </row>
    <row r="57">
      <c r="A57" s="11" t="s">
        <v>2465</v>
      </c>
      <c r="B57" s="9" t="s">
        <v>208</v>
      </c>
      <c r="C57" s="1" t="s">
        <v>2409</v>
      </c>
      <c r="D57" s="9" t="str">
        <f> VLOOKUP(B57,'Kopie van RawV3Q1'!F:G,2,false)
</f>
        <v>biograaf, ambtenaar, politicus, bibliothecaris, historicus, archivaris</v>
      </c>
      <c r="E57" s="12" t="s">
        <v>211</v>
      </c>
    </row>
    <row r="58">
      <c r="A58" s="11" t="s">
        <v>2466</v>
      </c>
      <c r="B58" s="9" t="s">
        <v>1030</v>
      </c>
      <c r="C58" s="1" t="s">
        <v>2409</v>
      </c>
      <c r="D58" s="9" t="str">
        <f> VLOOKUP(B58,'Kopie van RawV3Q1'!F:G,2,false)
</f>
        <v>bloemenkweker, vuurwerkmaker, kunstschilder, taxidermist</v>
      </c>
      <c r="E58" s="13" t="s">
        <v>2411</v>
      </c>
    </row>
    <row r="59">
      <c r="A59" s="11" t="s">
        <v>2467</v>
      </c>
      <c r="B59" s="9" t="s">
        <v>778</v>
      </c>
      <c r="C59" s="1" t="s">
        <v>2409</v>
      </c>
      <c r="D59" s="9" t="str">
        <f> VLOOKUP(B59,'Kopie van RawV3Q1'!F:G,2,false)
</f>
        <v>boekbinder, boekhandelaar</v>
      </c>
      <c r="E59" s="13" t="s">
        <v>2411</v>
      </c>
    </row>
    <row r="60">
      <c r="A60" s="11" t="s">
        <v>2468</v>
      </c>
      <c r="B60" s="9" t="s">
        <v>951</v>
      </c>
      <c r="C60" s="1" t="s">
        <v>2409</v>
      </c>
      <c r="D60" s="9" t="str">
        <f> VLOOKUP(B60,'Kopie van RawV3Q1'!F:G,2,false)
</f>
        <v>botanicus, leerkracht, volkskundige, schrijver</v>
      </c>
      <c r="E60" s="13" t="s">
        <v>2411</v>
      </c>
    </row>
    <row r="61">
      <c r="A61" s="11" t="s">
        <v>2469</v>
      </c>
      <c r="B61" s="9" t="s">
        <v>756</v>
      </c>
      <c r="C61" s="1" t="s">
        <v>2409</v>
      </c>
      <c r="D61" s="9" t="str">
        <f> VLOOKUP(B61,'Kopie van RawV3Q1'!F:G,2,false)
</f>
        <v>brouwer</v>
      </c>
      <c r="E61" s="13" t="s">
        <v>2411</v>
      </c>
    </row>
    <row r="62">
      <c r="A62" s="11" t="s">
        <v>2470</v>
      </c>
      <c r="B62" s="9" t="s">
        <v>726</v>
      </c>
      <c r="C62" s="1" t="s">
        <v>2409</v>
      </c>
      <c r="D62" s="9" t="str">
        <f> VLOOKUP(B62,'Kopie van RawV3Q1'!F:G,2,false)
</f>
        <v>brouwer, onderwijzer</v>
      </c>
      <c r="E62" s="13" t="s">
        <v>2411</v>
      </c>
    </row>
    <row r="63">
      <c r="A63" s="11" t="s">
        <v>2471</v>
      </c>
      <c r="B63" s="9" t="s">
        <v>846</v>
      </c>
      <c r="C63" s="1" t="s">
        <v>2409</v>
      </c>
      <c r="D63" s="9" t="str">
        <f> VLOOKUP(B63,'Kopie van RawV3Q1'!F:G,2,false)
</f>
        <v>brouwer</v>
      </c>
      <c r="E63" s="13" t="s">
        <v>2411</v>
      </c>
    </row>
    <row r="64">
      <c r="A64" s="11" t="s">
        <v>2472</v>
      </c>
      <c r="B64" s="9" t="s">
        <v>848</v>
      </c>
      <c r="C64" s="1" t="s">
        <v>2409</v>
      </c>
      <c r="D64" s="9" t="str">
        <f> VLOOKUP(B64,'Kopie van RawV3Q1'!F:G,2,false)
</f>
        <v>burgerlijk ingenieur</v>
      </c>
      <c r="E64" s="13" t="s">
        <v>2411</v>
      </c>
    </row>
    <row r="65">
      <c r="A65" s="11" t="s">
        <v>2473</v>
      </c>
      <c r="B65" s="9" t="s">
        <v>1625</v>
      </c>
      <c r="C65" s="1" t="s">
        <v>2409</v>
      </c>
      <c r="D65" s="9" t="str">
        <f> VLOOKUP(B65,'Kopie van RawV3Q1'!F:G,2,false)
</f>
        <v>catalograaf, bibliotheekmedewerker, genealoog</v>
      </c>
      <c r="E65" s="13" t="s">
        <v>2411</v>
      </c>
    </row>
    <row r="66">
      <c r="A66" s="11" t="s">
        <v>2474</v>
      </c>
      <c r="B66" s="9" t="s">
        <v>1545</v>
      </c>
      <c r="C66" s="1" t="s">
        <v>2409</v>
      </c>
      <c r="D66" s="9" t="str">
        <f> VLOOKUP(B66,'Kopie van RawV3Q1'!F:G,2,false)
</f>
        <v>chirurg, arts</v>
      </c>
      <c r="E66" s="13" t="s">
        <v>2411</v>
      </c>
    </row>
    <row r="67">
      <c r="A67" s="11" t="s">
        <v>2475</v>
      </c>
      <c r="B67" s="9" t="s">
        <v>273</v>
      </c>
      <c r="C67" s="1" t="s">
        <v>2409</v>
      </c>
      <c r="D67" s="9" t="str">
        <f> VLOOKUP(B67,'Kopie van RawV3Q1'!F:G,2,false)
</f>
        <v>chromolithograaf, afdelingsdirecteur, drukker, kunstschilder, graveur, graficus, beeldend kunstenaar, leerkracht, lithograaf</v>
      </c>
      <c r="E67" s="13" t="s">
        <v>2411</v>
      </c>
    </row>
    <row r="68">
      <c r="A68" s="11" t="s">
        <v>2476</v>
      </c>
      <c r="B68" s="9" t="s">
        <v>1441</v>
      </c>
      <c r="C68" s="1" t="s">
        <v>2409</v>
      </c>
      <c r="D68" s="9" t="str">
        <f> VLOOKUP(B68,'Kopie van RawV3Q1'!F:G,2,false)
</f>
        <v>coadjutor, pastoor, politicus, toneelschrijver, katholiek priester, leerkracht, parochievicaris, schrijver</v>
      </c>
      <c r="E68" s="13" t="s">
        <v>2411</v>
      </c>
    </row>
    <row r="69">
      <c r="A69" s="11" t="s">
        <v>2477</v>
      </c>
      <c r="B69" s="9" t="s">
        <v>489</v>
      </c>
      <c r="C69" s="1" t="s">
        <v>2409</v>
      </c>
      <c r="D69" s="9" t="str">
        <f> VLOOKUP(B69,'Kopie van RawV3Q1'!F:G,2,false)
</f>
        <v>coadjutor, pastoor, katholiek priester, parochievicaris</v>
      </c>
      <c r="E69" s="13" t="s">
        <v>2411</v>
      </c>
    </row>
    <row r="70">
      <c r="A70" s="11" t="s">
        <v>2478</v>
      </c>
      <c r="B70" s="9" t="s">
        <v>1815</v>
      </c>
      <c r="C70" s="1" t="s">
        <v>2409</v>
      </c>
      <c r="D70" s="9" t="str">
        <f> VLOOKUP(B70,'Kopie van RawV3Q1'!F:G,2,false)
</f>
        <v>coadjutor, leerkracht, pater, parochievicaris, missionaris, katholiek priester, militair</v>
      </c>
      <c r="E70" s="12" t="s">
        <v>1816</v>
      </c>
    </row>
    <row r="71">
      <c r="A71" s="11" t="s">
        <v>2479</v>
      </c>
      <c r="B71" s="9" t="s">
        <v>1574</v>
      </c>
      <c r="C71" s="1" t="s">
        <v>2409</v>
      </c>
      <c r="D71" s="9" t="str">
        <f> VLOOKUP(B71,'Kopie van RawV3Q1'!F:G,2,false)
</f>
        <v>coadjutor, missionaris, katholiek priester, leerkracht</v>
      </c>
      <c r="E71" s="13" t="s">
        <v>2411</v>
      </c>
    </row>
    <row r="72">
      <c r="A72" s="11" t="s">
        <v>2480</v>
      </c>
      <c r="B72" s="9" t="s">
        <v>1484</v>
      </c>
      <c r="C72" s="1" t="s">
        <v>2409</v>
      </c>
      <c r="D72" s="9" t="str">
        <f> VLOOKUP(B72,'Kopie van RawV3Q1'!F:G,2,false)
</f>
        <v>coadjutor, directeur, missionaris, katholiek priester, kapelaan, parochievicaris</v>
      </c>
      <c r="E72" s="13" t="s">
        <v>2411</v>
      </c>
    </row>
    <row r="73">
      <c r="A73" s="11" t="s">
        <v>2481</v>
      </c>
      <c r="B73" s="9" t="s">
        <v>1455</v>
      </c>
      <c r="C73" s="1" t="s">
        <v>2409</v>
      </c>
      <c r="D73" s="9" t="str">
        <f> VLOOKUP(B73,'Kopie van RawV3Q1'!F:G,2,false)
</f>
        <v>coadjutor, bibliothecaris, historicus, katholiek priester, aalmoezenier, kapelaan, parochievicaris</v>
      </c>
      <c r="E73" s="13" t="s">
        <v>2411</v>
      </c>
    </row>
    <row r="74">
      <c r="A74" s="11" t="s">
        <v>2482</v>
      </c>
      <c r="B74" s="9" t="s">
        <v>1529</v>
      </c>
      <c r="C74" s="1" t="s">
        <v>2409</v>
      </c>
      <c r="D74" s="9" t="str">
        <f> VLOOKUP(B74,'Kopie van RawV3Q1'!F:G,2,false)
</f>
        <v>coadjutor, pastoor-deken, pastoor, katholiek priester, publicist, parochievicaris</v>
      </c>
      <c r="E74" s="13" t="s">
        <v>2411</v>
      </c>
    </row>
    <row r="75">
      <c r="A75" s="11" t="s">
        <v>2483</v>
      </c>
      <c r="B75" s="9" t="s">
        <v>610</v>
      </c>
      <c r="C75" s="1" t="s">
        <v>2409</v>
      </c>
      <c r="D75" s="9" t="str">
        <f> VLOOKUP(B75,'Kopie van RawV3Q1'!F:G,2,false)
</f>
        <v>coadjutor, katholiek priester, parochievicaris</v>
      </c>
      <c r="E75" s="13" t="s">
        <v>2411</v>
      </c>
    </row>
    <row r="76">
      <c r="A76" s="11" t="s">
        <v>2484</v>
      </c>
      <c r="B76" s="9" t="s">
        <v>656</v>
      </c>
      <c r="C76" s="1" t="s">
        <v>2409</v>
      </c>
      <c r="D76" s="9" t="str">
        <f> VLOOKUP(B76,'Kopie van RawV3Q1'!F:G,2,false)
</f>
        <v>coadjutor, pastoor-deken, pastoor, katholiek priester, deken, leerkracht</v>
      </c>
      <c r="E76" s="13" t="s">
        <v>2411</v>
      </c>
    </row>
    <row r="77">
      <c r="A77" s="11" t="s">
        <v>2485</v>
      </c>
      <c r="B77" s="9" t="s">
        <v>112</v>
      </c>
      <c r="C77" s="1" t="s">
        <v>2409</v>
      </c>
      <c r="D77" s="9" t="str">
        <f> VLOOKUP(B77,'Kopie van RawV3Q1'!F:G,2,false)
</f>
        <v>coadjutor, directeur, historicus, kapelaan, katholiek priester</v>
      </c>
      <c r="E77" s="12" t="s">
        <v>113</v>
      </c>
    </row>
    <row r="78">
      <c r="A78" s="11" t="s">
        <v>2486</v>
      </c>
      <c r="B78" s="9" t="s">
        <v>1300</v>
      </c>
      <c r="C78" s="1" t="s">
        <v>2409</v>
      </c>
      <c r="D78" s="9" t="str">
        <f> VLOOKUP(B78,'Kopie van RawV3Q1'!F:G,2,false)
</f>
        <v>coadjutor, pastoor-deken, pastoor, academisch docent, deken, priester</v>
      </c>
      <c r="E78" s="13" t="s">
        <v>2411</v>
      </c>
    </row>
    <row r="79">
      <c r="A79" s="11" t="s">
        <v>2487</v>
      </c>
      <c r="B79" s="9" t="s">
        <v>465</v>
      </c>
      <c r="C79" s="1" t="s">
        <v>2409</v>
      </c>
      <c r="D79" s="9" t="str">
        <f> VLOOKUP(B79,'Kopie van RawV3Q1'!F:G,2,false)
</f>
        <v>coadjutor, pastoor, katholiek priester, parochievicaris</v>
      </c>
      <c r="E79" s="13" t="s">
        <v>2411</v>
      </c>
    </row>
    <row r="80">
      <c r="A80" s="11" t="s">
        <v>2488</v>
      </c>
      <c r="B80" s="9" t="s">
        <v>1127</v>
      </c>
      <c r="C80" s="1" t="s">
        <v>2409</v>
      </c>
      <c r="D80" s="9" t="str">
        <f> VLOOKUP(B80,'Kopie van RawV3Q1'!F:G,2,false)
</f>
        <v>coadjutor</v>
      </c>
      <c r="E80" s="13" t="s">
        <v>2411</v>
      </c>
    </row>
    <row r="81">
      <c r="A81" s="11" t="s">
        <v>2489</v>
      </c>
      <c r="B81" s="9" t="s">
        <v>1081</v>
      </c>
      <c r="C81" s="1" t="s">
        <v>2409</v>
      </c>
      <c r="D81" s="9" t="str">
        <f> VLOOKUP(B81,'Kopie van RawV3Q1'!F:G,2,false)
</f>
        <v>coadjutor, pastoor, parochievicaris</v>
      </c>
      <c r="E81" s="13" t="s">
        <v>2411</v>
      </c>
    </row>
    <row r="82">
      <c r="A82" s="11" t="s">
        <v>2490</v>
      </c>
      <c r="B82" s="9" t="s">
        <v>1525</v>
      </c>
      <c r="C82" s="1" t="s">
        <v>2409</v>
      </c>
      <c r="D82" s="9" t="str">
        <f> VLOOKUP(B82,'Kopie van RawV3Q1'!F:G,2,false)
</f>
        <v>coadjutor, katholiek priester, musicoloog, parochievicaris, proost</v>
      </c>
      <c r="E82" s="13" t="s">
        <v>2411</v>
      </c>
    </row>
    <row r="83">
      <c r="A83" s="11" t="s">
        <v>2491</v>
      </c>
      <c r="B83" s="9" t="s">
        <v>52</v>
      </c>
      <c r="C83" s="1" t="s">
        <v>2409</v>
      </c>
      <c r="D83" s="9" t="str">
        <f> VLOOKUP(B83,'Kopie van RawV3Q1'!F:G,2,false)
</f>
        <v>coadjutor, directeur, kanunnik, katholiek bisschop, parochievicaris, katholiek priester, schrijver, academisch docent, theoloog, vicaris-generaal</v>
      </c>
      <c r="E83" s="12" t="s">
        <v>55</v>
      </c>
    </row>
    <row r="84">
      <c r="A84" s="11" t="s">
        <v>2492</v>
      </c>
      <c r="B84" s="9" t="s">
        <v>1147</v>
      </c>
      <c r="C84" s="1" t="s">
        <v>2409</v>
      </c>
      <c r="D84" s="9" t="str">
        <f> VLOOKUP(B84,'Kopie van RawV3Q1'!F:G,2,false)
</f>
        <v>coadjutor, katholiek priester, parochievicaris, geestelijk leidsman</v>
      </c>
      <c r="E84" s="13" t="s">
        <v>2411</v>
      </c>
    </row>
    <row r="85">
      <c r="A85" s="11" t="s">
        <v>2493</v>
      </c>
      <c r="B85" s="9" t="s">
        <v>1083</v>
      </c>
      <c r="C85" s="1" t="s">
        <v>2409</v>
      </c>
      <c r="D85" s="9" t="str">
        <f> VLOOKUP(B85,'Kopie van RawV3Q1'!F:G,2,false)
</f>
        <v>coadjutor, pastoor, soldaat, rooms-katholiek priester, parochievicaris</v>
      </c>
      <c r="E85" s="13" t="s">
        <v>2411</v>
      </c>
    </row>
    <row r="86">
      <c r="A86" s="11" t="s">
        <v>2494</v>
      </c>
      <c r="B86" s="9" t="s">
        <v>542</v>
      </c>
      <c r="C86" s="1" t="s">
        <v>2409</v>
      </c>
      <c r="D86" s="9" t="str">
        <f> VLOOKUP(B86,'Kopie van RawV3Q1'!F:G,2,false)
</f>
        <v>coadjutor, pastoor, katholiek priester, leerkracht, parochievicaris</v>
      </c>
      <c r="E86" s="13" t="s">
        <v>2411</v>
      </c>
    </row>
    <row r="87">
      <c r="A87" s="11" t="s">
        <v>2495</v>
      </c>
      <c r="B87" s="9" t="s">
        <v>1657</v>
      </c>
      <c r="C87" s="1" t="s">
        <v>2409</v>
      </c>
      <c r="D87" s="9" t="str">
        <f> VLOOKUP(B87,'Kopie van RawV3Q1'!F:G,2,false)
</f>
        <v>coadjutor, rooms-katholiek priester, parochievicaris</v>
      </c>
      <c r="E87" s="13" t="s">
        <v>2411</v>
      </c>
    </row>
    <row r="88">
      <c r="A88" s="11" t="s">
        <v>2496</v>
      </c>
      <c r="B88" s="9" t="s">
        <v>1490</v>
      </c>
      <c r="C88" s="1" t="s">
        <v>2409</v>
      </c>
      <c r="D88" s="9" t="str">
        <f> VLOOKUP(B88,'Kopie van RawV3Q1'!F:G,2,false)
</f>
        <v>coadjutor, pastoor, parochievicaris, priester</v>
      </c>
      <c r="E88" s="13" t="s">
        <v>2411</v>
      </c>
    </row>
    <row r="89">
      <c r="A89" s="11" t="s">
        <v>2497</v>
      </c>
      <c r="B89" s="9" t="s">
        <v>536</v>
      </c>
      <c r="C89" s="1" t="s">
        <v>2409</v>
      </c>
      <c r="D89" s="9" t="str">
        <f> VLOOKUP(B89,'Kopie van RawV3Q1'!F:G,2,false)
</f>
        <v>coadjutor, katholiek priester, leerkracht, parochievicaris</v>
      </c>
      <c r="E89" s="13" t="s">
        <v>2411</v>
      </c>
    </row>
    <row r="90">
      <c r="A90" s="11" t="s">
        <v>2498</v>
      </c>
      <c r="B90" s="9" t="s">
        <v>271</v>
      </c>
      <c r="C90" s="1" t="s">
        <v>2409</v>
      </c>
      <c r="D90" s="9" t="str">
        <f> VLOOKUP(B90,'Kopie van RawV3Q1'!F:G,2,false)
</f>
        <v>coadjutor, pastoor, leerkracht, parochievicaris, priester</v>
      </c>
      <c r="E90" s="13" t="s">
        <v>2411</v>
      </c>
    </row>
    <row r="91">
      <c r="A91" s="11" t="s">
        <v>2499</v>
      </c>
      <c r="B91" s="9" t="s">
        <v>1527</v>
      </c>
      <c r="C91" s="1" t="s">
        <v>2409</v>
      </c>
      <c r="D91" s="9" t="str">
        <f> VLOOKUP(B91,'Kopie van RawV3Q1'!F:G,2,false)
</f>
        <v>coadjutor, katholiek priester, parochievicaris</v>
      </c>
      <c r="E91" s="13" t="s">
        <v>2411</v>
      </c>
    </row>
    <row r="92">
      <c r="A92" s="11" t="s">
        <v>2500</v>
      </c>
      <c r="B92" s="9" t="s">
        <v>265</v>
      </c>
      <c r="C92" s="1" t="s">
        <v>2409</v>
      </c>
      <c r="D92" s="9" t="str">
        <f> VLOOKUP(B92,'Kopie van RawV3Q1'!F:G,2,false)
</f>
        <v>coadjutor, pastoor, katholiek priester, leerkracht</v>
      </c>
      <c r="E92" s="13" t="s">
        <v>2411</v>
      </c>
    </row>
    <row r="93">
      <c r="A93" s="11" t="s">
        <v>2501</v>
      </c>
      <c r="B93" s="9" t="s">
        <v>1173</v>
      </c>
      <c r="C93" s="1" t="s">
        <v>2409</v>
      </c>
      <c r="D93" s="9" t="str">
        <f> VLOOKUP(B93,'Kopie van RawV3Q1'!F:G,2,false)
</f>
        <v>coadjutor, pastoor, directeur, katholiek priester, leerkracht</v>
      </c>
      <c r="E93" s="13" t="s">
        <v>2411</v>
      </c>
    </row>
    <row r="94">
      <c r="A94" s="11" t="s">
        <v>2502</v>
      </c>
      <c r="B94" s="9" t="s">
        <v>1131</v>
      </c>
      <c r="C94" s="1" t="s">
        <v>2409</v>
      </c>
      <c r="D94" s="9" t="str">
        <f> VLOOKUP(B94,'Kopie van RawV3Q1'!F:G,2,false)
</f>
        <v>coadjutor, deservitor, pastoor, opvoeder, parochievicaris, priester</v>
      </c>
      <c r="E94" s="13" t="s">
        <v>2411</v>
      </c>
    </row>
    <row r="95">
      <c r="A95" s="11" t="s">
        <v>2503</v>
      </c>
      <c r="B95" s="9" t="s">
        <v>1331</v>
      </c>
      <c r="C95" s="1" t="s">
        <v>2409</v>
      </c>
      <c r="D95" s="9" t="str">
        <f> VLOOKUP(B95,'Kopie van RawV3Q1'!F:G,2,false)
</f>
        <v>commissaris van politie</v>
      </c>
      <c r="E95" s="13" t="s">
        <v>2411</v>
      </c>
    </row>
    <row r="96">
      <c r="A96" s="11" t="s">
        <v>2504</v>
      </c>
      <c r="B96" s="9" t="s">
        <v>1070</v>
      </c>
      <c r="C96" s="1" t="s">
        <v>2409</v>
      </c>
      <c r="D96" s="9" t="str">
        <f> VLOOKUP(B96,'Kopie van RawV3Q1'!F:G,2,false)
</f>
        <v>componist, politicus, advocaat, dichter</v>
      </c>
      <c r="E96" s="12" t="s">
        <v>1071</v>
      </c>
    </row>
    <row r="97">
      <c r="A97" s="11" t="s">
        <v>2505</v>
      </c>
      <c r="B97" s="9" t="s">
        <v>1593</v>
      </c>
      <c r="C97" s="1" t="s">
        <v>2409</v>
      </c>
      <c r="D97" s="9" t="str">
        <f> VLOOKUP(B97,'Kopie van RawV3Q1'!F:G,2,false)
</f>
        <v>componist</v>
      </c>
      <c r="E97" s="13" t="s">
        <v>2411</v>
      </c>
    </row>
    <row r="98">
      <c r="A98" s="11" t="s">
        <v>2506</v>
      </c>
      <c r="B98" s="9" t="s">
        <v>369</v>
      </c>
      <c r="C98" s="1" t="s">
        <v>2409</v>
      </c>
      <c r="D98" s="9" t="str">
        <f> VLOOKUP(B98,'Kopie van RawV3Q1'!F:G,2,false)
</f>
        <v>componist, pastoor, katholiek priester, leerkracht, parochievicaris</v>
      </c>
      <c r="E98" s="13" t="s">
        <v>2411</v>
      </c>
    </row>
    <row r="99">
      <c r="A99" s="11" t="s">
        <v>2507</v>
      </c>
      <c r="B99" s="9" t="s">
        <v>205</v>
      </c>
      <c r="C99" s="1" t="s">
        <v>2409</v>
      </c>
      <c r="D99" s="9" t="str">
        <f> VLOOKUP(B99,'Kopie van RawV3Q1'!F:G,2,false)
</f>
        <v>deken, leerkracht, katholiek priester, pastoor-deken, academisch docent</v>
      </c>
      <c r="E99" s="12" t="s">
        <v>206</v>
      </c>
    </row>
    <row r="100">
      <c r="A100" s="11" t="s">
        <v>2508</v>
      </c>
      <c r="B100" s="9" t="s">
        <v>1079</v>
      </c>
      <c r="C100" s="1" t="s">
        <v>2409</v>
      </c>
      <c r="D100" s="9" t="str">
        <f> VLOOKUP(B100,'Kopie van RawV3Q1'!F:G,2,false)
</f>
        <v>deservitor, katholiek priester</v>
      </c>
      <c r="E100" s="13" t="s">
        <v>2411</v>
      </c>
    </row>
    <row r="101">
      <c r="A101" s="11" t="s">
        <v>2509</v>
      </c>
      <c r="B101" s="9" t="s">
        <v>461</v>
      </c>
      <c r="C101" s="1" t="s">
        <v>2409</v>
      </c>
      <c r="D101" s="9" t="str">
        <f> VLOOKUP(B101,'Kopie van RawV3Q1'!F:G,2,false)
</f>
        <v>deservitor, professor, missionaris, leerkracht, diocesaan administrator, overste, priester</v>
      </c>
      <c r="E101" s="13" t="s">
        <v>2411</v>
      </c>
    </row>
    <row r="102">
      <c r="A102" s="11" t="s">
        <v>2510</v>
      </c>
      <c r="B102" s="9" t="s">
        <v>1369</v>
      </c>
      <c r="C102" s="1" t="s">
        <v>2409</v>
      </c>
      <c r="D102" s="9" t="str">
        <f> VLOOKUP(B102,'Kopie van RawV3Q1'!F:G,2,false)
</f>
        <v>diaken, missionaris, subdiaken, rooms-katholiek priester</v>
      </c>
      <c r="E102" s="13" t="s">
        <v>2411</v>
      </c>
    </row>
    <row r="103">
      <c r="A103" s="11" t="s">
        <v>2511</v>
      </c>
      <c r="B103" s="9" t="s">
        <v>1296</v>
      </c>
      <c r="C103" s="1" t="s">
        <v>2409</v>
      </c>
      <c r="D103" s="9" t="str">
        <f> VLOOKUP(B103,'Kopie van RawV3Q1'!F:G,2,false)
</f>
        <v>dichter, vertaler, redacteur, onderzoeker, corrector</v>
      </c>
      <c r="E103" s="13" t="s">
        <v>2411</v>
      </c>
    </row>
    <row r="104">
      <c r="A104" s="11" t="s">
        <v>2512</v>
      </c>
      <c r="B104" s="9" t="s">
        <v>1549</v>
      </c>
      <c r="C104" s="1" t="s">
        <v>2409</v>
      </c>
      <c r="D104" s="9" t="str">
        <f> VLOOKUP(B104,'Kopie van RawV3Q1'!F:G,2,false)
</f>
        <v>dichter, non</v>
      </c>
      <c r="E104" s="13" t="s">
        <v>2411</v>
      </c>
    </row>
    <row r="105">
      <c r="A105" s="11" t="s">
        <v>2513</v>
      </c>
      <c r="B105" s="9" t="s">
        <v>1631</v>
      </c>
      <c r="C105" s="1" t="s">
        <v>2409</v>
      </c>
      <c r="D105" s="9" t="str">
        <f> VLOOKUP(B105,'Kopie van RawV3Q1'!F:G,2,false)
</f>
        <v>dichter, pastoor, directeur, katholiek priester, leerkracht, parochievicaris</v>
      </c>
      <c r="E105" s="13" t="s">
        <v>2411</v>
      </c>
    </row>
    <row r="106">
      <c r="A106" s="11" t="s">
        <v>2514</v>
      </c>
      <c r="B106" s="9" t="s">
        <v>383</v>
      </c>
      <c r="C106" s="1" t="s">
        <v>2409</v>
      </c>
      <c r="D106" s="9" t="str">
        <f> VLOOKUP(B106,'Kopie van RawV3Q1'!F:G,2,false)
</f>
        <v>dichter, essayist, ambtenaar</v>
      </c>
      <c r="E106" s="12" t="s">
        <v>384</v>
      </c>
    </row>
    <row r="107">
      <c r="A107" s="11" t="s">
        <v>2515</v>
      </c>
      <c r="B107" s="9" t="s">
        <v>1203</v>
      </c>
      <c r="C107" s="1" t="s">
        <v>2409</v>
      </c>
      <c r="D107" s="9" t="str">
        <f> VLOOKUP(B107,'Kopie van RawV3Q1'!F:G,2,false)
</f>
        <v>dienstmeid</v>
      </c>
      <c r="E107" s="13" t="s">
        <v>2411</v>
      </c>
    </row>
    <row r="108">
      <c r="A108" s="11" t="s">
        <v>2516</v>
      </c>
      <c r="B108" s="9" t="s">
        <v>1729</v>
      </c>
      <c r="C108" s="1" t="s">
        <v>2409</v>
      </c>
      <c r="D108" s="9" t="str">
        <f> VLOOKUP(B108,'Kopie van RawV3Q1'!F:G,2,false)
</f>
        <v>dienstmeid, gouvernante</v>
      </c>
      <c r="E108" s="13" t="s">
        <v>2411</v>
      </c>
    </row>
    <row r="109">
      <c r="A109" s="11" t="s">
        <v>2517</v>
      </c>
      <c r="B109" s="9" t="s">
        <v>1557</v>
      </c>
      <c r="C109" s="1" t="s">
        <v>2409</v>
      </c>
      <c r="D109" s="9" t="str">
        <f> VLOOKUP(B109,'Kopie van RawV3Q1'!F:G,2,false)
</f>
        <v>dienstmeid, begijn of bogaard, dienstbode</v>
      </c>
      <c r="E109" s="12" t="s">
        <v>1558</v>
      </c>
    </row>
    <row r="110">
      <c r="A110" s="11" t="s">
        <v>2518</v>
      </c>
      <c r="B110" s="9" t="s">
        <v>760</v>
      </c>
      <c r="C110" s="1" t="s">
        <v>2409</v>
      </c>
      <c r="D110" s="9" t="str">
        <f> VLOOKUP(B110,'Kopie van RawV3Q1'!F:G,2,false)
</f>
        <v>dienstmeid, butler</v>
      </c>
      <c r="E110" s="13" t="s">
        <v>2411</v>
      </c>
    </row>
    <row r="111">
      <c r="A111" s="11" t="s">
        <v>2519</v>
      </c>
      <c r="B111" s="9" t="s">
        <v>742</v>
      </c>
      <c r="C111" s="1" t="s">
        <v>2409</v>
      </c>
      <c r="D111" s="9" t="str">
        <f> VLOOKUP(B111,'Kopie van RawV3Q1'!F:G,2,false)
</f>
        <v>dienstmeid, kantwerker</v>
      </c>
      <c r="E111" s="13" t="s">
        <v>2411</v>
      </c>
    </row>
    <row r="112">
      <c r="A112" s="11" t="s">
        <v>2520</v>
      </c>
      <c r="B112" s="9" t="s">
        <v>448</v>
      </c>
      <c r="C112" s="1" t="s">
        <v>2409</v>
      </c>
      <c r="D112" s="9" t="str">
        <f> VLOOKUP(B112,'Kopie van RawV3Q1'!F:G,2,false)
</f>
        <v>diplomaat, vertaler, schrijver</v>
      </c>
      <c r="E112" s="13" t="s">
        <v>2411</v>
      </c>
    </row>
    <row r="113">
      <c r="A113" s="11" t="s">
        <v>2521</v>
      </c>
      <c r="B113" s="9" t="s">
        <v>201</v>
      </c>
      <c r="C113" s="1" t="s">
        <v>2409</v>
      </c>
      <c r="D113" s="9" t="str">
        <f> VLOOKUP(B113,'Kopie van RawV3Q1'!F:G,2,false)
</f>
        <v>directeur, historicus, rector, katholiek priester, leerkracht, inspecteur</v>
      </c>
      <c r="E113" s="13" t="s">
        <v>2411</v>
      </c>
    </row>
    <row r="114">
      <c r="A114" s="11" t="s">
        <v>2522</v>
      </c>
      <c r="B114" s="9" t="s">
        <v>1507</v>
      </c>
      <c r="C114" s="1" t="s">
        <v>2409</v>
      </c>
      <c r="D114" s="9" t="str">
        <f> VLOOKUP(B114,'Kopie van RawV3Q1'!F:G,2,false)
</f>
        <v>directeur, leerkracht, rooms-katholiek priester, parochievicaris</v>
      </c>
      <c r="E114" s="13" t="s">
        <v>2411</v>
      </c>
    </row>
    <row r="115">
      <c r="A115" s="11" t="s">
        <v>2523</v>
      </c>
      <c r="B115" s="9" t="s">
        <v>730</v>
      </c>
      <c r="C115" s="1" t="s">
        <v>2409</v>
      </c>
      <c r="D115" s="9" t="str">
        <f> VLOOKUP(B115,'Kopie van RawV3Q1'!F:G,2,false)
</f>
        <v>directeur, non</v>
      </c>
      <c r="E115" s="13" t="s">
        <v>2411</v>
      </c>
    </row>
    <row r="116">
      <c r="A116" s="11" t="s">
        <v>2524</v>
      </c>
      <c r="B116" s="9" t="s">
        <v>1733</v>
      </c>
      <c r="C116" s="1" t="s">
        <v>2409</v>
      </c>
      <c r="D116" s="9" t="str">
        <f> VLOOKUP(B116,'Kopie van RawV3Q1'!F:G,2,false)
</f>
        <v>directeur, redacteur</v>
      </c>
      <c r="E116" s="13" t="s">
        <v>2411</v>
      </c>
    </row>
    <row r="117">
      <c r="A117" s="11" t="s">
        <v>2525</v>
      </c>
      <c r="B117" s="9" t="s">
        <v>796</v>
      </c>
      <c r="C117" s="1" t="s">
        <v>2409</v>
      </c>
      <c r="D117" s="9" t="str">
        <f> VLOOKUP(B117,'Kopie van RawV3Q1'!F:G,2,false)
</f>
        <v>directeur, leerkracht</v>
      </c>
      <c r="E117" s="13" t="s">
        <v>2411</v>
      </c>
    </row>
    <row r="118">
      <c r="A118" s="11" t="s">
        <v>2526</v>
      </c>
      <c r="B118" s="9" t="s">
        <v>1007</v>
      </c>
      <c r="C118" s="1" t="s">
        <v>2409</v>
      </c>
      <c r="D118" s="9" t="str">
        <f> VLOOKUP(B118,'Kopie van RawV3Q1'!F:G,2,false)
</f>
        <v>directeur, rector, katholiek priester, pastoor-deken, leerkracht</v>
      </c>
      <c r="E118" s="13" t="s">
        <v>2411</v>
      </c>
    </row>
    <row r="119">
      <c r="A119" s="11" t="s">
        <v>2527</v>
      </c>
      <c r="B119" s="9" t="s">
        <v>581</v>
      </c>
      <c r="C119" s="1" t="s">
        <v>2409</v>
      </c>
      <c r="D119" s="9" t="str">
        <f> VLOOKUP(B119,'Kopie van RawV3Q1'!F:G,2,false)
</f>
        <v>directeur, katholiek priester, leerkracht, aalmoezenier, inspecteur</v>
      </c>
      <c r="E119" s="13" t="s">
        <v>2411</v>
      </c>
    </row>
    <row r="120">
      <c r="A120" s="11" t="s">
        <v>2528</v>
      </c>
      <c r="B120" s="9" t="s">
        <v>1531</v>
      </c>
      <c r="C120" s="1" t="s">
        <v>2409</v>
      </c>
      <c r="D120" s="9" t="str">
        <f> VLOOKUP(B120,'Kopie van RawV3Q1'!F:G,2,false)
</f>
        <v>directeur, katholiek priester, leerkracht, parochievicaris</v>
      </c>
      <c r="E120" s="13" t="s">
        <v>2411</v>
      </c>
    </row>
    <row r="121">
      <c r="A121" s="11" t="s">
        <v>2529</v>
      </c>
      <c r="B121" s="9" t="s">
        <v>1153</v>
      </c>
      <c r="C121" s="1" t="s">
        <v>2409</v>
      </c>
      <c r="D121" s="9" t="str">
        <f> VLOOKUP(B121,'Kopie van RawV3Q1'!F:G,2,false)
</f>
        <v>directeur, docent, leerkracht, rooms-katholiek priester, pater, prior</v>
      </c>
      <c r="E121" s="13" t="s">
        <v>2411</v>
      </c>
    </row>
    <row r="122">
      <c r="A122" s="11" t="s">
        <v>2530</v>
      </c>
      <c r="B122" s="9" t="s">
        <v>479</v>
      </c>
      <c r="C122" s="1" t="s">
        <v>2409</v>
      </c>
      <c r="D122" s="9" t="str">
        <f> VLOOKUP(B122,'Kopie van RawV3Q1'!F:G,2,false)
</f>
        <v>directeur, rector, katholiek priester, academisch docent, leerkracht, inspecteur</v>
      </c>
      <c r="E122" s="13" t="s">
        <v>2411</v>
      </c>
    </row>
    <row r="123">
      <c r="A123" s="11" t="s">
        <v>2531</v>
      </c>
      <c r="B123" s="9" t="s">
        <v>401</v>
      </c>
      <c r="C123" s="1" t="s">
        <v>2409</v>
      </c>
      <c r="D123" s="9" t="str">
        <f> VLOOKUP(B123,'Kopie van RawV3Q1'!F:G,2,false)
</f>
        <v>directeur, boekhouder, dichter, ambtenaar</v>
      </c>
      <c r="E123" s="12" t="s">
        <v>402</v>
      </c>
    </row>
    <row r="124">
      <c r="A124" s="11" t="s">
        <v>2532</v>
      </c>
      <c r="B124" s="9" t="s">
        <v>1435</v>
      </c>
      <c r="C124" s="1" t="s">
        <v>2409</v>
      </c>
      <c r="D124" s="9" t="str">
        <f> VLOOKUP(B124,'Kopie van RawV3Q1'!F:G,2,false)
</f>
        <v>dirigent, koordirigent, pianist, organist, leerkracht, componist</v>
      </c>
      <c r="E124" s="13" t="s">
        <v>2411</v>
      </c>
    </row>
    <row r="125">
      <c r="A125" s="11" t="s">
        <v>2533</v>
      </c>
      <c r="B125" s="9" t="s">
        <v>1379</v>
      </c>
      <c r="C125" s="1" t="s">
        <v>2409</v>
      </c>
      <c r="D125" s="9" t="str">
        <f> VLOOKUP(B125,'Kopie van RawV3Q1'!F:G,2,false)
</f>
        <v>drukker</v>
      </c>
      <c r="E125" s="13" t="s">
        <v>2411</v>
      </c>
    </row>
    <row r="126">
      <c r="A126" s="11" t="s">
        <v>2534</v>
      </c>
      <c r="B126" s="9" t="s">
        <v>1256</v>
      </c>
      <c r="C126" s="1" t="s">
        <v>2409</v>
      </c>
      <c r="D126" s="9" t="str">
        <f> VLOOKUP(B126,'Kopie van RawV3Q1'!F:G,2,false)
</f>
        <v>drukker</v>
      </c>
      <c r="E126" s="13" t="s">
        <v>2411</v>
      </c>
    </row>
    <row r="127">
      <c r="A127" s="11" t="s">
        <v>2535</v>
      </c>
      <c r="B127" s="9" t="s">
        <v>589</v>
      </c>
      <c r="C127" s="1" t="s">
        <v>2409</v>
      </c>
      <c r="D127" s="9" t="str">
        <f> VLOOKUP(B127,'Kopie van RawV3Q1'!F:G,2,false)
</f>
        <v>drukker, bibliothecaris, uitgever</v>
      </c>
      <c r="E127" s="13" t="s">
        <v>2411</v>
      </c>
    </row>
    <row r="128">
      <c r="A128" s="11" t="s">
        <v>2536</v>
      </c>
      <c r="B128" s="9" t="s">
        <v>1302</v>
      </c>
      <c r="C128" s="1" t="s">
        <v>2409</v>
      </c>
      <c r="D128" s="9" t="str">
        <f> VLOOKUP(B128,'Kopie van RawV3Q1'!F:G,2,false)
</f>
        <v>drukker, uitgever, boekhandelaar</v>
      </c>
      <c r="E128" s="13" t="s">
        <v>2411</v>
      </c>
    </row>
    <row r="129">
      <c r="A129" s="11" t="s">
        <v>2537</v>
      </c>
      <c r="B129" s="9" t="s">
        <v>1523</v>
      </c>
      <c r="C129" s="1" t="s">
        <v>2409</v>
      </c>
      <c r="D129" s="9" t="str">
        <f> VLOOKUP(B129,'Kopie van RawV3Q1'!F:G,2,false)
</f>
        <v>drukker, uitgever, beeldend kunstenaar, boekhandelaar</v>
      </c>
      <c r="E129" s="13" t="s">
        <v>2411</v>
      </c>
    </row>
    <row r="130">
      <c r="A130" s="11" t="s">
        <v>2538</v>
      </c>
      <c r="B130" s="9" t="s">
        <v>1473</v>
      </c>
      <c r="C130" s="1" t="s">
        <v>2409</v>
      </c>
      <c r="D130" s="9" t="str">
        <f> VLOOKUP(B130,'Kopie van RawV3Q1'!F:G,2,false)
</f>
        <v>drukker, beeldend kunstenaar, lithograaf</v>
      </c>
      <c r="E130" s="13" t="s">
        <v>2411</v>
      </c>
    </row>
    <row r="131">
      <c r="A131" s="11" t="s">
        <v>2539</v>
      </c>
      <c r="B131" s="9" t="s">
        <v>1258</v>
      </c>
      <c r="C131" s="1" t="s">
        <v>2409</v>
      </c>
      <c r="D131" s="9" t="str">
        <f> VLOOKUP(B131,'Kopie van RawV3Q1'!F:G,2,false)
</f>
        <v>drukker</v>
      </c>
      <c r="E131" s="13" t="s">
        <v>2411</v>
      </c>
    </row>
    <row r="132">
      <c r="A132" s="11" t="s">
        <v>2540</v>
      </c>
      <c r="B132" s="9" t="s">
        <v>1073</v>
      </c>
      <c r="C132" s="1" t="s">
        <v>2409</v>
      </c>
      <c r="D132" s="9" t="str">
        <f> VLOOKUP(B132,'Kopie van RawV3Q1'!F:G,2,false)
</f>
        <v>drukker, uitgever</v>
      </c>
      <c r="E132" s="13" t="s">
        <v>2411</v>
      </c>
    </row>
    <row r="133">
      <c r="A133" s="11" t="s">
        <v>2541</v>
      </c>
      <c r="B133" s="9" t="s">
        <v>1226</v>
      </c>
      <c r="C133" s="1" t="s">
        <v>2409</v>
      </c>
      <c r="D133" s="9" t="str">
        <f> VLOOKUP(B133,'Kopie van RawV3Q1'!F:G,2,false)
</f>
        <v>drukker</v>
      </c>
      <c r="E133" s="13" t="s">
        <v>2411</v>
      </c>
    </row>
    <row r="134">
      <c r="A134" s="11" t="s">
        <v>2542</v>
      </c>
      <c r="B134" s="9" t="s">
        <v>1578</v>
      </c>
      <c r="C134" s="1" t="s">
        <v>2409</v>
      </c>
      <c r="D134" s="9" t="str">
        <f> VLOOKUP(B134,'Kopie van RawV3Q1'!F:G,2,false)
</f>
        <v>drukker, graveur, handelaar, chromolithograaf</v>
      </c>
      <c r="E134" s="13" t="s">
        <v>2411</v>
      </c>
    </row>
    <row r="135">
      <c r="A135" s="11" t="s">
        <v>2543</v>
      </c>
      <c r="B135" s="9" t="s">
        <v>485</v>
      </c>
      <c r="C135" s="1" t="s">
        <v>2409</v>
      </c>
      <c r="D135" s="9" t="str">
        <f> VLOOKUP(B135,'Kopie van RawV3Q1'!F:G,2,false)
</f>
        <v>drukker-boekverkoper, drukker, uitgever, boekhandelaar</v>
      </c>
      <c r="E135" s="13" t="s">
        <v>2411</v>
      </c>
    </row>
    <row r="136">
      <c r="A136" s="11" t="s">
        <v>2544</v>
      </c>
      <c r="B136" s="9" t="s">
        <v>1416</v>
      </c>
      <c r="C136" s="1" t="s">
        <v>2409</v>
      </c>
      <c r="D136" s="9" t="str">
        <f> VLOOKUP(B136,'Kopie van RawV3Q1'!F:G,2,false)
</f>
        <v>esperantist, onderwijzer, uitgever, beeldend kunstenaar, drukker</v>
      </c>
      <c r="E136" s="12" t="s">
        <v>1419</v>
      </c>
    </row>
    <row r="137">
      <c r="A137" s="11" t="s">
        <v>2545</v>
      </c>
      <c r="B137" s="9" t="s">
        <v>1795</v>
      </c>
      <c r="C137" s="1" t="s">
        <v>2409</v>
      </c>
      <c r="D137" s="9" t="str">
        <f> VLOOKUP(B137,'Kopie van RawV3Q1'!F:G,2,false)
</f>
        <v>etnoloog, etnograaf, studie-historicus, geograaf, cartograaf</v>
      </c>
      <c r="E137" s="12" t="s">
        <v>1796</v>
      </c>
    </row>
    <row r="138">
      <c r="A138" s="11" t="s">
        <v>2546</v>
      </c>
      <c r="B138" s="9" t="s">
        <v>792</v>
      </c>
      <c r="C138" s="1" t="s">
        <v>2409</v>
      </c>
      <c r="D138" s="9" t="str">
        <f> VLOOKUP(B138,'Kopie van RawV3Q1'!F:G,2,false)
</f>
        <v>fabrikant, manager</v>
      </c>
      <c r="E138" s="13" t="s">
        <v>2411</v>
      </c>
    </row>
    <row r="139">
      <c r="A139" s="11" t="s">
        <v>2547</v>
      </c>
      <c r="B139" s="9" t="s">
        <v>1773</v>
      </c>
      <c r="C139" s="1" t="s">
        <v>2409</v>
      </c>
      <c r="D139" s="9" t="str">
        <f> VLOOKUP(B139,'Kopie van RawV3Q1'!F:G,2,false)
</f>
        <v>fabrikant</v>
      </c>
      <c r="E139" s="13" t="s">
        <v>2411</v>
      </c>
    </row>
    <row r="140">
      <c r="A140" s="11" t="s">
        <v>2548</v>
      </c>
      <c r="B140" s="9" t="s">
        <v>168</v>
      </c>
      <c r="C140" s="1" t="s">
        <v>2409</v>
      </c>
      <c r="D140" s="9" t="str">
        <f> VLOOKUP(B140,'Kopie van RawV3Q1'!F:G,2,false)
</f>
        <v>filoloog, commentator, ambtenaar, bibliothecaris, historicus</v>
      </c>
      <c r="E140" s="13" t="s">
        <v>2411</v>
      </c>
    </row>
    <row r="141">
      <c r="A141" s="11" t="s">
        <v>2549</v>
      </c>
      <c r="B141" s="9" t="s">
        <v>59</v>
      </c>
      <c r="C141" s="1" t="s">
        <v>2409</v>
      </c>
      <c r="D141" s="9" t="str">
        <f> VLOOKUP(B141,'Kopie van RawV3Q1'!F:G,2,false)
</f>
        <v>filoloog, klassiek filoloog, historicus, dialectoloog</v>
      </c>
      <c r="E141" s="12" t="s">
        <v>62</v>
      </c>
    </row>
    <row r="142">
      <c r="A142" s="11" t="s">
        <v>2550</v>
      </c>
      <c r="B142" s="9" t="s">
        <v>918</v>
      </c>
      <c r="C142" s="1" t="s">
        <v>2409</v>
      </c>
      <c r="D142" s="9" t="str">
        <f> VLOOKUP(B142,'Kopie van RawV3Q1'!F:G,2,false)
</f>
        <v>filoloog, etymoloog, taalkundige, schrijver, academisch docent</v>
      </c>
      <c r="E142" s="12" t="s">
        <v>919</v>
      </c>
    </row>
    <row r="143">
      <c r="A143" s="11" t="s">
        <v>2551</v>
      </c>
      <c r="B143" s="9" t="s">
        <v>909</v>
      </c>
      <c r="C143" s="1" t="s">
        <v>2409</v>
      </c>
      <c r="D143" s="9" t="str">
        <f> VLOOKUP(B143,'Kopie van RawV3Q1'!F:G,2,false)
</f>
        <v>filoloog, bibliothecaris, redacteur, academisch docent</v>
      </c>
      <c r="E143" s="12" t="s">
        <v>910</v>
      </c>
    </row>
    <row r="144">
      <c r="A144" s="11" t="s">
        <v>2552</v>
      </c>
      <c r="B144" s="9" t="s">
        <v>219</v>
      </c>
      <c r="C144" s="1" t="s">
        <v>2409</v>
      </c>
      <c r="D144" s="9" t="str">
        <f> VLOOKUP(B144,'Kopie van RawV3Q1'!F:G,2,false)
</f>
        <v>filoloog, leerkracht, taalkundige, academisch docent</v>
      </c>
      <c r="E144" s="12" t="s">
        <v>220</v>
      </c>
    </row>
    <row r="145">
      <c r="A145" s="11" t="s">
        <v>2553</v>
      </c>
      <c r="B145" s="9" t="s">
        <v>916</v>
      </c>
      <c r="C145" s="1" t="s">
        <v>2409</v>
      </c>
      <c r="D145" s="9" t="str">
        <f> VLOOKUP(B145,'Kopie van RawV3Q1'!F:G,2,false)
</f>
        <v>financieel beheerder, historicus, katholiek priester, academisch docent, kanunnik</v>
      </c>
      <c r="E145" s="13" t="s">
        <v>2411</v>
      </c>
    </row>
    <row r="146">
      <c r="A146" s="11" t="s">
        <v>2554</v>
      </c>
      <c r="B146" s="9" t="s">
        <v>1564</v>
      </c>
      <c r="C146" s="1" t="s">
        <v>2409</v>
      </c>
      <c r="D146" s="9" t="str">
        <f> VLOOKUP(B146,'Kopie van RawV3Q1'!F:G,2,false)
</f>
        <v>fotograaf, kunstenaar, kunstschilder, beeldhouwer</v>
      </c>
      <c r="E146" s="13" t="s">
        <v>2411</v>
      </c>
    </row>
    <row r="147">
      <c r="A147" s="11" t="s">
        <v>2555</v>
      </c>
      <c r="B147" s="9" t="s">
        <v>714</v>
      </c>
      <c r="C147" s="1" t="s">
        <v>2409</v>
      </c>
      <c r="D147" s="9" t="str">
        <f> VLOOKUP(B147,'Kopie van RawV3Q1'!F:G,2,false)
</f>
        <v>geestelijk leidsman, pastoor, rector, leerkracht, aalmoezenier, rooms-katholiek priester</v>
      </c>
      <c r="E147" s="13" t="s">
        <v>2411</v>
      </c>
    </row>
    <row r="148">
      <c r="A148" s="11" t="s">
        <v>2556</v>
      </c>
      <c r="B148" s="9" t="s">
        <v>1327</v>
      </c>
      <c r="C148" s="1" t="s">
        <v>2409</v>
      </c>
      <c r="D148" s="9" t="str">
        <f> VLOOKUP(B148,'Kopie van RawV3Q1'!F:G,2,false)
</f>
        <v>gemeenteontvanger</v>
      </c>
      <c r="E148" s="13" t="s">
        <v>2411</v>
      </c>
    </row>
    <row r="149">
      <c r="A149" s="11" t="s">
        <v>2557</v>
      </c>
      <c r="B149" s="9" t="s">
        <v>331</v>
      </c>
      <c r="C149" s="1" t="s">
        <v>2409</v>
      </c>
      <c r="D149" s="9" t="str">
        <f> VLOOKUP(B149,'Kopie van RawV3Q1'!F:G,2,false)
</f>
        <v>gewoon hoogleraar, buitengewoon hoogleraar, academisch docent</v>
      </c>
      <c r="E149" s="12" t="s">
        <v>334</v>
      </c>
    </row>
    <row r="150">
      <c r="A150" s="11" t="s">
        <v>2558</v>
      </c>
      <c r="B150" s="9" t="s">
        <v>937</v>
      </c>
      <c r="C150" s="1" t="s">
        <v>2409</v>
      </c>
      <c r="D150" s="9" t="str">
        <f> VLOOKUP(B150,'Kopie van RawV3Q1'!F:G,2,false)
</f>
        <v>godsdienstleraar, politicus, hoofdredacteur, leerkracht, parochievicaris, priester</v>
      </c>
      <c r="E150" s="13" t="s">
        <v>2411</v>
      </c>
    </row>
    <row r="151">
      <c r="A151" s="11" t="s">
        <v>2559</v>
      </c>
      <c r="B151" s="9" t="s">
        <v>1306</v>
      </c>
      <c r="C151" s="1" t="s">
        <v>2409</v>
      </c>
      <c r="D151" s="9" t="str">
        <f> VLOOKUP(B151,'Kopie van RawV3Q1'!F:G,2,false)
</f>
        <v>gouvernante, kamenier</v>
      </c>
      <c r="E151" s="13" t="s">
        <v>2411</v>
      </c>
    </row>
    <row r="152">
      <c r="A152" s="11" t="s">
        <v>2560</v>
      </c>
      <c r="B152" s="9" t="s">
        <v>1341</v>
      </c>
      <c r="C152" s="1" t="s">
        <v>2409</v>
      </c>
      <c r="D152" s="9" t="str">
        <f> VLOOKUP(B152,'Kopie van RawV3Q1'!F:G,2,false)
</f>
        <v>gouvernante</v>
      </c>
      <c r="E152" s="13" t="s">
        <v>2411</v>
      </c>
    </row>
    <row r="153">
      <c r="A153" s="11" t="s">
        <v>2561</v>
      </c>
      <c r="B153" s="9" t="s">
        <v>680</v>
      </c>
      <c r="C153" s="1" t="s">
        <v>2409</v>
      </c>
      <c r="D153" s="9" t="str">
        <f> VLOOKUP(B153,'Kopie van RawV3Q1'!F:G,2,false)
</f>
        <v>griffier</v>
      </c>
      <c r="E153" s="13" t="s">
        <v>2411</v>
      </c>
    </row>
    <row r="154">
      <c r="A154" s="11" t="s">
        <v>2562</v>
      </c>
      <c r="B154" s="9" t="s">
        <v>1264</v>
      </c>
      <c r="C154" s="1" t="s">
        <v>2409</v>
      </c>
      <c r="D154" s="9" t="str">
        <f> VLOOKUP(B154,'Kopie van RawV3Q1'!F:G,2,false)
</f>
        <v>griffier</v>
      </c>
      <c r="E154" s="13" t="s">
        <v>2411</v>
      </c>
    </row>
    <row r="155">
      <c r="A155" s="11" t="s">
        <v>2563</v>
      </c>
      <c r="B155" s="9" t="s">
        <v>1762</v>
      </c>
      <c r="C155" s="1" t="s">
        <v>2409</v>
      </c>
      <c r="D155" s="9" t="str">
        <f> VLOOKUP(B155,'Kopie van RawV3Q1'!F:G,2,false)
</f>
        <v>grondeigenaar</v>
      </c>
      <c r="E155" s="12" t="s">
        <v>1763</v>
      </c>
    </row>
    <row r="156">
      <c r="A156" s="11" t="s">
        <v>2564</v>
      </c>
      <c r="B156" s="9" t="s">
        <v>650</v>
      </c>
      <c r="C156" s="1" t="s">
        <v>2409</v>
      </c>
      <c r="D156" s="9" t="str">
        <f> VLOOKUP(B156,'Kopie van RawV3Q1'!F:G,2,false)
</f>
        <v>grondeigenaar</v>
      </c>
      <c r="E156" s="13" t="s">
        <v>2411</v>
      </c>
    </row>
    <row r="157">
      <c r="A157" s="11" t="s">
        <v>2565</v>
      </c>
      <c r="B157" s="9" t="s">
        <v>192</v>
      </c>
      <c r="C157" s="1" t="s">
        <v>2409</v>
      </c>
      <c r="D157" s="9" t="str">
        <f> VLOOKUP(B157,'Kopie van RawV3Q1'!F:G,2,false)
</f>
        <v>hagiograaf, bibliothecaris, pater, antropoloog</v>
      </c>
      <c r="E157" s="12" t="s">
        <v>195</v>
      </c>
    </row>
    <row r="158">
      <c r="A158" s="11" t="s">
        <v>2566</v>
      </c>
      <c r="B158" s="9" t="s">
        <v>1325</v>
      </c>
      <c r="C158" s="1" t="s">
        <v>2409</v>
      </c>
      <c r="D158" s="9" t="str">
        <f> VLOOKUP(B158,'Kopie van RawV3Q1'!F:G,2,false)
</f>
        <v>handelaar, grondeigenaar</v>
      </c>
      <c r="E158" s="13" t="s">
        <v>2411</v>
      </c>
    </row>
    <row r="159">
      <c r="A159" s="11" t="s">
        <v>2567</v>
      </c>
      <c r="B159" s="9" t="s">
        <v>566</v>
      </c>
      <c r="C159" s="1" t="s">
        <v>2409</v>
      </c>
      <c r="D159" s="9" t="str">
        <f> VLOOKUP(B159,'Kopie van RawV3Q1'!F:G,2,false)
</f>
        <v>heraldicus, kunstschilder, uitgever, topograaf, schrijver, architect</v>
      </c>
      <c r="E159" s="13" t="s">
        <v>2411</v>
      </c>
    </row>
    <row r="160">
      <c r="A160" s="11" t="s">
        <v>2568</v>
      </c>
      <c r="B160" s="9" t="s">
        <v>1651</v>
      </c>
      <c r="C160" s="1" t="s">
        <v>2409</v>
      </c>
      <c r="D160" s="9" t="str">
        <f> VLOOKUP(B160,'Kopie van RawV3Q1'!F:G,2,false)
</f>
        <v>herbergier, dienstmeid</v>
      </c>
      <c r="E160" s="13" t="s">
        <v>2411</v>
      </c>
    </row>
    <row r="161">
      <c r="A161" s="11" t="s">
        <v>2569</v>
      </c>
      <c r="B161" s="9" t="s">
        <v>452</v>
      </c>
      <c r="C161" s="1" t="s">
        <v>2409</v>
      </c>
      <c r="D161" s="9" t="str">
        <f> VLOOKUP(B161,'Kopie van RawV3Q1'!F:G,2,false)
</f>
        <v>historicus, schrijver, consul, handelaar</v>
      </c>
      <c r="E161" s="12" t="s">
        <v>453</v>
      </c>
    </row>
    <row r="162">
      <c r="A162" s="11" t="s">
        <v>2570</v>
      </c>
      <c r="B162" s="9" t="s">
        <v>399</v>
      </c>
      <c r="C162" s="1" t="s">
        <v>2409</v>
      </c>
      <c r="D162" s="9" t="str">
        <f> VLOOKUP(B162,'Kopie van RawV3Q1'!F:G,2,false)
</f>
        <v>historicus, archivaris, uitgever, boekhandelaar, taalkundige</v>
      </c>
      <c r="E162" s="13" t="s">
        <v>2411</v>
      </c>
    </row>
    <row r="163">
      <c r="A163" s="11" t="s">
        <v>2571</v>
      </c>
      <c r="B163" s="9" t="s">
        <v>1077</v>
      </c>
      <c r="C163" s="1" t="s">
        <v>2409</v>
      </c>
      <c r="D163" s="9" t="str">
        <f> VLOOKUP(B163,'Kopie van RawV3Q1'!F:G,2,false)
</f>
        <v>historicus, archivaris, leerkracht, gemeentesecretaris, architect</v>
      </c>
      <c r="E163" s="13" t="s">
        <v>2411</v>
      </c>
    </row>
    <row r="164">
      <c r="A164" s="11" t="s">
        <v>2572</v>
      </c>
      <c r="B164" s="9" t="s">
        <v>344</v>
      </c>
      <c r="C164" s="1" t="s">
        <v>2409</v>
      </c>
      <c r="D164" s="9" t="str">
        <f> VLOOKUP(B164,'Kopie van RawV3Q1'!F:G,2,false)
</f>
        <v>historicus, prediker, archivaris, predikant, schoolopziener</v>
      </c>
      <c r="E164" s="13" t="s">
        <v>2411</v>
      </c>
    </row>
    <row r="165">
      <c r="A165" s="11" t="s">
        <v>2573</v>
      </c>
      <c r="B165" s="9" t="s">
        <v>438</v>
      </c>
      <c r="C165" s="1" t="s">
        <v>2409</v>
      </c>
      <c r="D165" s="9" t="str">
        <f> VLOOKUP(B165,'Kopie van RawV3Q1'!F:G,2,false)
</f>
        <v>historicus, rector, katholiek priester, leerkracht, inspecteur</v>
      </c>
      <c r="E165" s="13" t="s">
        <v>2411</v>
      </c>
    </row>
    <row r="166">
      <c r="A166" s="11" t="s">
        <v>2574</v>
      </c>
      <c r="B166" s="9" t="s">
        <v>356</v>
      </c>
      <c r="C166" s="1" t="s">
        <v>2409</v>
      </c>
      <c r="D166" s="9" t="str">
        <f> VLOOKUP(B166,'Kopie van RawV3Q1'!F:G,2,false)
</f>
        <v>historicus</v>
      </c>
      <c r="E166" s="13" t="s">
        <v>2411</v>
      </c>
    </row>
    <row r="167">
      <c r="A167" s="11" t="s">
        <v>2575</v>
      </c>
      <c r="B167" s="9" t="s">
        <v>984</v>
      </c>
      <c r="C167" s="1" t="s">
        <v>2409</v>
      </c>
      <c r="D167" s="9" t="str">
        <f> VLOOKUP(B167,'Kopie van RawV3Q1'!F:G,2,false)
</f>
        <v>historicus, filoloog</v>
      </c>
      <c r="E167" s="13" t="s">
        <v>2411</v>
      </c>
    </row>
    <row r="168">
      <c r="A168" s="11" t="s">
        <v>2576</v>
      </c>
      <c r="B168" s="9" t="s">
        <v>1034</v>
      </c>
      <c r="C168" s="1" t="s">
        <v>2409</v>
      </c>
      <c r="D168" s="9" t="str">
        <f> VLOOKUP(B168,'Kopie van RawV3Q1'!F:G,2,false)
</f>
        <v>historicus, leerkracht, schrijver, letterkundige</v>
      </c>
      <c r="E168" s="12" t="s">
        <v>1035</v>
      </c>
    </row>
    <row r="169">
      <c r="A169" s="11" t="s">
        <v>2577</v>
      </c>
      <c r="B169" s="9" t="s">
        <v>800</v>
      </c>
      <c r="C169" s="1" t="s">
        <v>2409</v>
      </c>
      <c r="D169" s="9" t="str">
        <f> VLOOKUP(B169,'Kopie van RawV3Q1'!F:G,2,false)
</f>
        <v>historicus, grondeigenaar</v>
      </c>
      <c r="E169" s="13" t="s">
        <v>2411</v>
      </c>
    </row>
    <row r="170">
      <c r="A170" s="11" t="s">
        <v>2578</v>
      </c>
      <c r="B170" s="9" t="s">
        <v>1735</v>
      </c>
      <c r="C170" s="1" t="s">
        <v>2409</v>
      </c>
      <c r="D170" s="9" t="str">
        <f> VLOOKUP(B170,'Kopie van RawV3Q1'!F:G,2,false)
</f>
        <v>hoedenmaker, wijnhandelaar</v>
      </c>
      <c r="E170" s="13" t="s">
        <v>2411</v>
      </c>
    </row>
    <row r="171">
      <c r="A171" s="11" t="s">
        <v>2579</v>
      </c>
      <c r="B171" s="9" t="s">
        <v>827</v>
      </c>
      <c r="C171" s="1" t="s">
        <v>2409</v>
      </c>
      <c r="D171" s="9" t="str">
        <f> VLOOKUP(B171,'Kopie van RawV3Q1'!F:G,2,false)
</f>
        <v>hoedenmaker</v>
      </c>
      <c r="E171" s="13" t="s">
        <v>2411</v>
      </c>
    </row>
    <row r="172">
      <c r="A172" s="11" t="s">
        <v>2580</v>
      </c>
      <c r="B172" s="9" t="s">
        <v>1497</v>
      </c>
      <c r="C172" s="1" t="s">
        <v>2409</v>
      </c>
      <c r="D172" s="9" t="str">
        <f> VLOOKUP(B172,'Kopie van RawV3Q1'!F:G,2,false)
</f>
        <v>hoofdredacteur, missionaris, pater, priester</v>
      </c>
      <c r="E172" s="13" t="s">
        <v>2411</v>
      </c>
    </row>
    <row r="173">
      <c r="A173" s="11" t="s">
        <v>2581</v>
      </c>
      <c r="B173" s="9" t="s">
        <v>1260</v>
      </c>
      <c r="C173" s="1" t="s">
        <v>2409</v>
      </c>
      <c r="D173" s="9" t="str">
        <f> VLOOKUP(B173,'Kopie van RawV3Q1'!F:G,2,false)
</f>
        <v>hoofdredacteur, uitgever</v>
      </c>
      <c r="E173" s="13" t="s">
        <v>2411</v>
      </c>
    </row>
    <row r="174">
      <c r="A174" s="11" t="s">
        <v>2582</v>
      </c>
      <c r="B174" s="9" t="s">
        <v>996</v>
      </c>
      <c r="C174" s="1" t="s">
        <v>2409</v>
      </c>
      <c r="D174" s="9" t="str">
        <f> VLOOKUP(B174,'Kopie van RawV3Q1'!F:G,2,false)
</f>
        <v>hovenier, boomkweker, schrijver</v>
      </c>
      <c r="E174" s="13" t="s">
        <v>2411</v>
      </c>
    </row>
    <row r="175">
      <c r="A175" s="11" t="s">
        <v>2583</v>
      </c>
      <c r="B175" s="9" t="s">
        <v>528</v>
      </c>
      <c r="C175" s="1" t="s">
        <v>2409</v>
      </c>
      <c r="D175" s="9" t="str">
        <f> VLOOKUP(B175,'Kopie van RawV3Q1'!F:G,2,false)
</f>
        <v>Huisprelaat van Zijne Heiligheid, rector, katholiek priester, academisch docent, vicaris-generaal, leerkracht, kanunnik, schoolopziener</v>
      </c>
      <c r="E175" s="13" t="s">
        <v>2411</v>
      </c>
    </row>
    <row r="176">
      <c r="A176" s="11" t="s">
        <v>2584</v>
      </c>
      <c r="B176" s="9" t="s">
        <v>1193</v>
      </c>
      <c r="C176" s="1" t="s">
        <v>2409</v>
      </c>
      <c r="D176" s="9" t="str">
        <f> VLOOKUP(B176,'Kopie van RawV3Q1'!F:G,2,false)
</f>
        <v>huisvrouw</v>
      </c>
      <c r="E176" s="13" t="s">
        <v>2411</v>
      </c>
    </row>
    <row r="177">
      <c r="A177" s="11" t="s">
        <v>2585</v>
      </c>
      <c r="B177" s="9" t="s">
        <v>593</v>
      </c>
      <c r="C177" s="1" t="s">
        <v>2409</v>
      </c>
      <c r="D177" s="9" t="str">
        <f> VLOOKUP(B177,'Kopie van RawV3Q1'!F:G,2,false)
</f>
        <v>huisvrouw, winkelbediende</v>
      </c>
      <c r="E177" s="13" t="s">
        <v>2411</v>
      </c>
    </row>
    <row r="178">
      <c r="A178" s="11" t="s">
        <v>2586</v>
      </c>
      <c r="B178" s="9" t="s">
        <v>1016</v>
      </c>
      <c r="C178" s="1" t="s">
        <v>2409</v>
      </c>
      <c r="D178" s="9" t="str">
        <f> VLOOKUP(B178,'Kopie van RawV3Q1'!F:G,2,false)
</f>
        <v>hymne-schrijver, hagiograaf, katholiek priester, schrijver, dichter, theoloog</v>
      </c>
      <c r="E178" s="12" t="s">
        <v>1019</v>
      </c>
    </row>
    <row r="179">
      <c r="A179" s="11" t="s">
        <v>2587</v>
      </c>
      <c r="B179" s="9" t="s">
        <v>1771</v>
      </c>
      <c r="C179" s="1" t="s">
        <v>2409</v>
      </c>
      <c r="D179" s="9" t="str">
        <f> VLOOKUP(B179,'Kopie van RawV3Q1'!F:G,2,false)
</f>
        <v>industrieel</v>
      </c>
      <c r="E179" s="13" t="s">
        <v>2411</v>
      </c>
    </row>
    <row r="180">
      <c r="A180" s="11" t="s">
        <v>2588</v>
      </c>
      <c r="B180" s="9" t="s">
        <v>599</v>
      </c>
      <c r="C180" s="1" t="s">
        <v>2409</v>
      </c>
      <c r="D180" s="9" t="str">
        <f> VLOOKUP(B180,'Kopie van RawV3Q1'!F:G,2,false)
</f>
        <v>ingenieur, manager</v>
      </c>
      <c r="E180" s="13" t="s">
        <v>2411</v>
      </c>
    </row>
    <row r="181">
      <c r="A181" s="11" t="s">
        <v>2589</v>
      </c>
      <c r="B181" s="9" t="s">
        <v>457</v>
      </c>
      <c r="C181" s="1" t="s">
        <v>2409</v>
      </c>
      <c r="D181" s="9" t="str">
        <f> VLOOKUP(B181,'Kopie van RawV3Q1'!F:G,2,false)
</f>
        <v>journalist, advocaat, schrijver</v>
      </c>
      <c r="E181" s="13" t="s">
        <v>2411</v>
      </c>
    </row>
    <row r="182">
      <c r="A182" s="11" t="s">
        <v>2590</v>
      </c>
      <c r="B182" s="9" t="s">
        <v>324</v>
      </c>
      <c r="C182" s="1" t="s">
        <v>2409</v>
      </c>
      <c r="D182" s="9" t="str">
        <f> VLOOKUP(B182,'Kopie van RawV3Q1'!F:G,2,false)
</f>
        <v>journalist, adjunct-conservator, hoofdredacteur, redacteur, schrijver</v>
      </c>
      <c r="E182" s="12" t="s">
        <v>325</v>
      </c>
    </row>
    <row r="183">
      <c r="A183" s="11" t="s">
        <v>2591</v>
      </c>
      <c r="B183" s="9" t="s">
        <v>1037</v>
      </c>
      <c r="C183" s="1" t="s">
        <v>2409</v>
      </c>
      <c r="D183" s="9" t="str">
        <f> VLOOKUP(B183,'Kopie van RawV3Q1'!F:G,2,false)
</f>
        <v>journalist, taalkundige, arts, schrijver, etnoloog</v>
      </c>
      <c r="E183" s="12" t="s">
        <v>1038</v>
      </c>
    </row>
    <row r="184">
      <c r="A184" s="11" t="s">
        <v>2592</v>
      </c>
      <c r="B184" s="9" t="s">
        <v>818</v>
      </c>
      <c r="C184" s="1" t="s">
        <v>2409</v>
      </c>
      <c r="D184" s="9" t="str">
        <f> VLOOKUP(B184,'Kopie van RawV3Q1'!F:G,2,false)
</f>
        <v>journalist, handelaar, schrijver</v>
      </c>
      <c r="E184" s="13" t="s">
        <v>2411</v>
      </c>
    </row>
    <row r="185">
      <c r="A185" s="11" t="s">
        <v>2593</v>
      </c>
      <c r="B185" s="9" t="s">
        <v>185</v>
      </c>
      <c r="C185" s="1" t="s">
        <v>2409</v>
      </c>
      <c r="D185" s="9" t="str">
        <f> VLOOKUP(B185,'Kopie van RawV3Q1'!F:G,2,false)
</f>
        <v>jurist, schrijver, musicoloog, restaurator, ambtenaar</v>
      </c>
      <c r="E185" s="12" t="s">
        <v>188</v>
      </c>
    </row>
    <row r="186">
      <c r="A186" s="11" t="s">
        <v>2594</v>
      </c>
      <c r="B186" s="9" t="s">
        <v>852</v>
      </c>
      <c r="C186" s="1" t="s">
        <v>2409</v>
      </c>
      <c r="D186" s="9" t="str">
        <f> VLOOKUP(B186,'Kopie van RawV3Q1'!F:G,2,false)
</f>
        <v>juwelier</v>
      </c>
      <c r="E186" s="13" t="s">
        <v>2411</v>
      </c>
    </row>
    <row r="187">
      <c r="A187" s="11" t="s">
        <v>2595</v>
      </c>
      <c r="B187" s="9" t="s">
        <v>1777</v>
      </c>
      <c r="C187" s="1" t="s">
        <v>2409</v>
      </c>
      <c r="D187" s="9" t="str">
        <f> VLOOKUP(B187,'Kopie van RawV3Q1'!F:G,2,false)
</f>
        <v>kapelmeester, componist, uitgever, muziekleraar</v>
      </c>
      <c r="E187" s="13" t="s">
        <v>2411</v>
      </c>
    </row>
    <row r="188">
      <c r="A188" s="11" t="s">
        <v>2596</v>
      </c>
      <c r="B188" s="9" t="s">
        <v>424</v>
      </c>
      <c r="C188" s="1" t="s">
        <v>2409</v>
      </c>
      <c r="D188" s="9" t="str">
        <f> VLOOKUP(B188,'Kopie van RawV3Q1'!F:G,2,false)
</f>
        <v>katholiek bisschop, katholiek priester, filosoof, rector, pedagoog, academisch docent</v>
      </c>
      <c r="E188" s="12" t="s">
        <v>425</v>
      </c>
    </row>
    <row r="189">
      <c r="A189" s="11" t="s">
        <v>2597</v>
      </c>
      <c r="B189" s="9" t="s">
        <v>583</v>
      </c>
      <c r="C189" s="1" t="s">
        <v>2409</v>
      </c>
      <c r="D189" s="9" t="str">
        <f> VLOOKUP(B189,'Kopie van RawV3Q1'!F:G,2,false)
</f>
        <v>katholiek bisschop, katholiek priester</v>
      </c>
      <c r="E189" s="13" t="s">
        <v>2411</v>
      </c>
    </row>
    <row r="190">
      <c r="A190" s="11" t="s">
        <v>2598</v>
      </c>
      <c r="B190" s="9" t="s">
        <v>1021</v>
      </c>
      <c r="C190" s="1" t="s">
        <v>2409</v>
      </c>
      <c r="D190" s="9" t="str">
        <f> VLOOKUP(B190,'Kopie van RawV3Q1'!F:G,2,false)
</f>
        <v>katholiek bisschop, rector, katholiek priester, secretaris, katholieke diaken</v>
      </c>
      <c r="E190" s="13" t="s">
        <v>2411</v>
      </c>
    </row>
    <row r="191">
      <c r="A191" s="11" t="s">
        <v>2599</v>
      </c>
      <c r="B191" s="9" t="s">
        <v>1109</v>
      </c>
      <c r="C191" s="1" t="s">
        <v>2409</v>
      </c>
      <c r="D191" s="9" t="str">
        <f> VLOOKUP(B191,'Kopie van RawV3Q1'!F:G,2,false)
</f>
        <v>katholiek priester, leerkracht, aalmoezenier, parochievicaris</v>
      </c>
      <c r="E191" s="13" t="s">
        <v>2411</v>
      </c>
    </row>
    <row r="192">
      <c r="A192" s="11" t="s">
        <v>2600</v>
      </c>
      <c r="B192" s="9" t="s">
        <v>1459</v>
      </c>
      <c r="C192" s="1" t="s">
        <v>2409</v>
      </c>
      <c r="D192" s="9" t="str">
        <f> VLOOKUP(B192,'Kopie van RawV3Q1'!F:G,2,false)
</f>
        <v>katholiek priester, schrijver, pastoor, katholiek bisschop</v>
      </c>
      <c r="E192" s="12" t="s">
        <v>1460</v>
      </c>
    </row>
    <row r="193">
      <c r="A193" s="11" t="s">
        <v>2601</v>
      </c>
      <c r="B193" s="9" t="s">
        <v>1165</v>
      </c>
      <c r="C193" s="1" t="s">
        <v>2409</v>
      </c>
      <c r="D193" s="9" t="str">
        <f> VLOOKUP(B193,'Kopie van RawV3Q1'!F:G,2,false)
</f>
        <v>katholiek priester, leerkracht, parochievicaris, proost</v>
      </c>
      <c r="E193" s="13" t="s">
        <v>2411</v>
      </c>
    </row>
    <row r="194">
      <c r="A194" s="11" t="s">
        <v>2602</v>
      </c>
      <c r="B194" s="9" t="s">
        <v>1207</v>
      </c>
      <c r="C194" s="1" t="s">
        <v>2409</v>
      </c>
      <c r="D194" s="9" t="str">
        <f> VLOOKUP(B194,'Kopie van RawV3Q1'!F:G,2,false)
</f>
        <v>katholiek priester, overste, oblaat</v>
      </c>
      <c r="E194" s="13" t="s">
        <v>2411</v>
      </c>
    </row>
    <row r="195">
      <c r="A195" s="11" t="s">
        <v>2603</v>
      </c>
      <c r="B195" s="9" t="s">
        <v>1312</v>
      </c>
      <c r="C195" s="1" t="s">
        <v>2409</v>
      </c>
      <c r="D195" s="9" t="str">
        <f> VLOOKUP(B195,'Kopie van RawV3Q1'!F:G,2,false)
</f>
        <v>katholiek priester, kapelaan</v>
      </c>
      <c r="E195" s="13" t="s">
        <v>2411</v>
      </c>
    </row>
    <row r="196">
      <c r="A196" s="11" t="s">
        <v>2604</v>
      </c>
      <c r="B196" s="9" t="s">
        <v>1133</v>
      </c>
      <c r="C196" s="1" t="s">
        <v>2409</v>
      </c>
      <c r="D196" s="9" t="str">
        <f> VLOOKUP(B196,'Kopie van RawV3Q1'!F:G,2,false)
</f>
        <v>katholiek priester, leerkracht, parochievicaris, pater</v>
      </c>
      <c r="E196" s="13" t="s">
        <v>2411</v>
      </c>
    </row>
    <row r="197">
      <c r="A197" s="11" t="s">
        <v>2605</v>
      </c>
      <c r="B197" s="9" t="s">
        <v>1621</v>
      </c>
      <c r="C197" s="1" t="s">
        <v>2409</v>
      </c>
      <c r="D197" s="9" t="str">
        <f> VLOOKUP(B197,'Kopie van RawV3Q1'!F:G,2,false)
</f>
        <v>katholiek priester, missionaris</v>
      </c>
      <c r="E197" s="13" t="s">
        <v>2411</v>
      </c>
    </row>
    <row r="198">
      <c r="A198" s="11" t="s">
        <v>2606</v>
      </c>
      <c r="B198" s="9" t="s">
        <v>1062</v>
      </c>
      <c r="C198" s="1" t="s">
        <v>2409</v>
      </c>
      <c r="D198" s="9" t="str">
        <f> VLOOKUP(B198,'Kopie van RawV3Q1'!F:G,2,false)
</f>
        <v>katholiek priester, leerkracht, vicerector, geestelijk leidsman</v>
      </c>
      <c r="E198" s="13" t="s">
        <v>2411</v>
      </c>
    </row>
    <row r="199">
      <c r="A199" s="11" t="s">
        <v>2607</v>
      </c>
      <c r="B199" s="9" t="s">
        <v>1266</v>
      </c>
      <c r="C199" s="1" t="s">
        <v>2409</v>
      </c>
      <c r="D199" s="9" t="str">
        <f> VLOOKUP(B199,'Kopie van RawV3Q1'!F:G,2,false)
</f>
        <v>katholiek priester, leerkracht, aalmoezenier, parochievicaris</v>
      </c>
      <c r="E199" s="13" t="s">
        <v>2411</v>
      </c>
    </row>
    <row r="200">
      <c r="A200" s="11" t="s">
        <v>2608</v>
      </c>
      <c r="B200" s="9" t="s">
        <v>548</v>
      </c>
      <c r="C200" s="1" t="s">
        <v>2409</v>
      </c>
      <c r="D200" s="9" t="str">
        <f> VLOOKUP(B200,'Kopie van RawV3Q1'!F:G,2,false)
</f>
        <v>katholiek priester, leerkracht, schoolopziener</v>
      </c>
      <c r="E200" s="13" t="s">
        <v>2411</v>
      </c>
    </row>
    <row r="201">
      <c r="A201" s="11" t="s">
        <v>2609</v>
      </c>
      <c r="B201" s="9" t="s">
        <v>475</v>
      </c>
      <c r="C201" s="1" t="s">
        <v>2409</v>
      </c>
      <c r="D201" s="9" t="str">
        <f> VLOOKUP(B201,'Kopie van RawV3Q1'!F:G,2,false)
</f>
        <v>katholiek priester, leerkracht, pater</v>
      </c>
      <c r="E201" s="13" t="s">
        <v>2411</v>
      </c>
    </row>
    <row r="202">
      <c r="A202" s="11" t="s">
        <v>2610</v>
      </c>
      <c r="B202" s="9" t="s">
        <v>1339</v>
      </c>
      <c r="C202" s="1" t="s">
        <v>2409</v>
      </c>
      <c r="D202" s="9" t="str">
        <f> VLOOKUP(B202,'Kopie van RawV3Q1'!F:G,2,false)
</f>
        <v>katholiek priester, pater</v>
      </c>
      <c r="E202" s="13" t="s">
        <v>2411</v>
      </c>
    </row>
    <row r="203">
      <c r="A203" s="11" t="s">
        <v>2611</v>
      </c>
      <c r="B203" s="9" t="s">
        <v>503</v>
      </c>
      <c r="C203" s="1" t="s">
        <v>2409</v>
      </c>
      <c r="D203" s="9" t="str">
        <f> VLOOKUP(B203,'Kopie van RawV3Q1'!F:G,2,false)
</f>
        <v>katholiek priester, pastoor, rector, leerkracht, parochievicaris</v>
      </c>
      <c r="E203" s="13" t="s">
        <v>2411</v>
      </c>
    </row>
    <row r="204">
      <c r="A204" s="11" t="s">
        <v>2612</v>
      </c>
      <c r="B204" s="9" t="s">
        <v>1137</v>
      </c>
      <c r="C204" s="1" t="s">
        <v>2409</v>
      </c>
      <c r="D204" s="9" t="str">
        <f> VLOOKUP(B204,'Kopie van RawV3Q1'!F:G,2,false)
</f>
        <v>katholiek priester, parochievicaris, pater</v>
      </c>
      <c r="E204" s="13" t="s">
        <v>2411</v>
      </c>
    </row>
    <row r="205">
      <c r="A205" s="11" t="s">
        <v>2613</v>
      </c>
      <c r="B205" s="9" t="s">
        <v>1633</v>
      </c>
      <c r="C205" s="1" t="s">
        <v>2409</v>
      </c>
      <c r="D205" s="9" t="str">
        <f> VLOOKUP(B205,'Kopie van RawV3Q1'!F:G,2,false)
</f>
        <v>katholiek priester, pater</v>
      </c>
      <c r="E205" s="13" t="s">
        <v>2411</v>
      </c>
    </row>
    <row r="206">
      <c r="A206" s="11" t="s">
        <v>2614</v>
      </c>
      <c r="B206" s="9" t="s">
        <v>269</v>
      </c>
      <c r="C206" s="1" t="s">
        <v>2409</v>
      </c>
      <c r="D206" s="9" t="str">
        <f> VLOOKUP(B206,'Kopie van RawV3Q1'!F:G,2,false)
</f>
        <v>katholiek priester, leerkracht, parochievicaris, schoolopziener, geestelijk leidsman</v>
      </c>
      <c r="E206" s="13" t="s">
        <v>2411</v>
      </c>
    </row>
    <row r="207">
      <c r="A207" s="11" t="s">
        <v>2615</v>
      </c>
      <c r="B207" s="9" t="s">
        <v>1310</v>
      </c>
      <c r="C207" s="1" t="s">
        <v>2409</v>
      </c>
      <c r="D207" s="9" t="str">
        <f> VLOOKUP(B207,'Kopie van RawV3Q1'!F:G,2,false)
</f>
        <v>katholiek priester, kanunnik</v>
      </c>
      <c r="E207" s="13" t="s">
        <v>2411</v>
      </c>
    </row>
    <row r="208">
      <c r="A208" s="11" t="s">
        <v>2616</v>
      </c>
      <c r="B208" s="9" t="s">
        <v>16</v>
      </c>
      <c r="C208" s="1" t="s">
        <v>2409</v>
      </c>
      <c r="D208" s="9" t="str">
        <f> VLOOKUP(B208,'Kopie van RawV3Q1'!F:G,2,false)
</f>
        <v>katholieke diaken, katholiek bisschop, katholiek priester, schrijver, romanschrijver</v>
      </c>
      <c r="E208" s="12" t="s">
        <v>19</v>
      </c>
    </row>
    <row r="209">
      <c r="A209" s="11" t="s">
        <v>2617</v>
      </c>
      <c r="B209" s="9" t="s">
        <v>1788</v>
      </c>
      <c r="C209" s="1" t="s">
        <v>2409</v>
      </c>
      <c r="D209" s="9" t="str">
        <f> VLOOKUP(B209,'Kopie van RawV3Q1'!F:G,2,false)
</f>
        <v>kleermaker</v>
      </c>
      <c r="E209" s="13" t="s">
        <v>2411</v>
      </c>
    </row>
    <row r="210">
      <c r="A210" s="11" t="s">
        <v>2618</v>
      </c>
      <c r="B210" s="9" t="s">
        <v>1262</v>
      </c>
      <c r="C210" s="1" t="s">
        <v>2409</v>
      </c>
      <c r="D210" s="9" t="str">
        <f> VLOOKUP(B210,'Kopie van RawV3Q1'!F:G,2,false)
</f>
        <v>kleermaker, kleuterleider</v>
      </c>
      <c r="E210" s="13" t="s">
        <v>2411</v>
      </c>
    </row>
    <row r="211">
      <c r="A211" s="11" t="s">
        <v>2619</v>
      </c>
      <c r="B211" s="9" t="s">
        <v>1745</v>
      </c>
      <c r="C211" s="1" t="s">
        <v>2409</v>
      </c>
      <c r="D211" s="9" t="str">
        <f> VLOOKUP(B211,'Kopie van RawV3Q1'!F:G,2,false)
</f>
        <v>klerk</v>
      </c>
      <c r="E211" s="13" t="s">
        <v>2411</v>
      </c>
    </row>
    <row r="212">
      <c r="A212" s="11" t="s">
        <v>2620</v>
      </c>
      <c r="B212" s="9" t="s">
        <v>1432</v>
      </c>
      <c r="C212" s="1" t="s">
        <v>2409</v>
      </c>
      <c r="D212" s="9" t="str">
        <f> VLOOKUP(B212,'Kopie van RawV3Q1'!F:G,2,false)
</f>
        <v>klerk, architect</v>
      </c>
      <c r="E212" s="12" t="s">
        <v>1433</v>
      </c>
    </row>
    <row r="213">
      <c r="A213" s="11" t="s">
        <v>2621</v>
      </c>
      <c r="B213" s="9" t="s">
        <v>1345</v>
      </c>
      <c r="C213" s="1" t="s">
        <v>2409</v>
      </c>
      <c r="D213" s="9" t="str">
        <f> VLOOKUP(B213,'Kopie van RawV3Q1'!F:G,2,false)
</f>
        <v>klerk, agrariër, advocaat</v>
      </c>
      <c r="E213" s="13" t="s">
        <v>2411</v>
      </c>
    </row>
    <row r="214">
      <c r="A214" s="11" t="s">
        <v>2622</v>
      </c>
      <c r="B214" s="9" t="s">
        <v>1641</v>
      </c>
      <c r="C214" s="1" t="s">
        <v>2409</v>
      </c>
      <c r="D214" s="9" t="str">
        <f> VLOOKUP(B214,'Kopie van RawV3Q1'!F:G,2,false)
</f>
        <v>klokkengieter, kopergieter</v>
      </c>
      <c r="E214" s="13" t="s">
        <v>2411</v>
      </c>
    </row>
    <row r="215">
      <c r="A215" s="11" t="s">
        <v>2623</v>
      </c>
      <c r="B215" s="9" t="s">
        <v>831</v>
      </c>
      <c r="C215" s="1" t="s">
        <v>2409</v>
      </c>
      <c r="D215" s="9" t="str">
        <f> VLOOKUP(B215,'Kopie van RawV3Q1'!F:G,2,false)
</f>
        <v>koopman</v>
      </c>
      <c r="E215" s="13" t="s">
        <v>2411</v>
      </c>
    </row>
    <row r="216">
      <c r="A216" s="11" t="s">
        <v>2624</v>
      </c>
      <c r="B216" s="9" t="s">
        <v>1555</v>
      </c>
      <c r="C216" s="1" t="s">
        <v>2409</v>
      </c>
      <c r="D216" s="9" t="str">
        <f> VLOOKUP(B216,'Kopie van RawV3Q1'!F:G,2,false)
</f>
        <v>koopman</v>
      </c>
      <c r="E216" s="13" t="s">
        <v>2411</v>
      </c>
    </row>
    <row r="217">
      <c r="A217" s="11" t="s">
        <v>2625</v>
      </c>
      <c r="B217" s="9" t="s">
        <v>1367</v>
      </c>
      <c r="C217" s="1" t="s">
        <v>2409</v>
      </c>
      <c r="D217" s="9" t="str">
        <f> VLOOKUP(B217,'Kopie van RawV3Q1'!F:G,2,false)
</f>
        <v>koopman, soldaat</v>
      </c>
      <c r="E217" s="13" t="s">
        <v>2411</v>
      </c>
    </row>
    <row r="218">
      <c r="A218" s="11" t="s">
        <v>2626</v>
      </c>
      <c r="B218" s="9" t="s">
        <v>376</v>
      </c>
      <c r="C218" s="1" t="s">
        <v>2409</v>
      </c>
      <c r="D218" s="9" t="str">
        <f> VLOOKUP(B218,'Kopie van RawV3Q1'!F:G,2,false)
</f>
        <v>kunstcriticus, leerkracht, literatuurcriticus, conservator, studiemeester, journalist, schrijver, kunsthistoricus</v>
      </c>
      <c r="E218" s="12" t="s">
        <v>379</v>
      </c>
    </row>
    <row r="219">
      <c r="A219" s="11" t="s">
        <v>2627</v>
      </c>
      <c r="B219" s="9" t="s">
        <v>905</v>
      </c>
      <c r="C219" s="1" t="s">
        <v>2409</v>
      </c>
      <c r="D219" s="9" t="str">
        <f> VLOOKUP(B219,'Kopie van RawV3Q1'!F:G,2,false)
</f>
        <v>kunstenaar, priester</v>
      </c>
      <c r="E219" s="13" t="s">
        <v>2411</v>
      </c>
    </row>
    <row r="220">
      <c r="A220" s="11" t="s">
        <v>2628</v>
      </c>
      <c r="B220" s="9" t="s">
        <v>413</v>
      </c>
      <c r="C220" s="1" t="s">
        <v>2409</v>
      </c>
      <c r="D220" s="9" t="str">
        <f> VLOOKUP(B220,'Kopie van RawV3Q1'!F:G,2,false)
</f>
        <v>landmeter</v>
      </c>
      <c r="E220" s="13" t="s">
        <v>2411</v>
      </c>
    </row>
    <row r="221">
      <c r="A221" s="11" t="s">
        <v>2629</v>
      </c>
      <c r="B221" s="9" t="s">
        <v>1505</v>
      </c>
      <c r="C221" s="1" t="s">
        <v>2409</v>
      </c>
      <c r="D221" s="9" t="str">
        <f> VLOOKUP(B221,'Kopie van RawV3Q1'!F:G,2,false)
</f>
        <v>leerkracht, parochievicaris, priester, geestelijk leidsman</v>
      </c>
      <c r="E221" s="13" t="s">
        <v>2411</v>
      </c>
    </row>
    <row r="222">
      <c r="A222" s="11" t="s">
        <v>2630</v>
      </c>
      <c r="B222" s="9" t="s">
        <v>737</v>
      </c>
      <c r="C222" s="1" t="s">
        <v>2409</v>
      </c>
      <c r="D222" s="9" t="str">
        <f> VLOOKUP(B222,'Kopie van RawV3Q1'!F:G,2,false)
</f>
        <v>leerkracht, rector, katholiek priester, inspecteur, schoolopziener</v>
      </c>
      <c r="E222" s="12" t="s">
        <v>738</v>
      </c>
    </row>
    <row r="223">
      <c r="A223" s="11" t="s">
        <v>2631</v>
      </c>
      <c r="B223" s="9" t="s">
        <v>1462</v>
      </c>
      <c r="C223" s="1" t="s">
        <v>2409</v>
      </c>
      <c r="D223" s="9" t="str">
        <f> VLOOKUP(B223,'Kopie van RawV3Q1'!F:G,2,false)
</f>
        <v>leerkracht, katholiek priester</v>
      </c>
      <c r="E223" s="12" t="s">
        <v>1463</v>
      </c>
    </row>
    <row r="224">
      <c r="A224" s="11" t="s">
        <v>2632</v>
      </c>
      <c r="B224" s="9" t="s">
        <v>1576</v>
      </c>
      <c r="C224" s="1" t="s">
        <v>2409</v>
      </c>
      <c r="D224" s="9" t="str">
        <f> VLOOKUP(B224,'Kopie van RawV3Q1'!F:G,2,false)
</f>
        <v>leerkracht, schrijver, dichter, priester</v>
      </c>
      <c r="E224" s="13" t="s">
        <v>2411</v>
      </c>
    </row>
    <row r="225">
      <c r="A225" s="11" t="s">
        <v>2633</v>
      </c>
      <c r="B225" s="9" t="s">
        <v>1469</v>
      </c>
      <c r="C225" s="1" t="s">
        <v>2409</v>
      </c>
      <c r="D225" s="9" t="str">
        <f> VLOOKUP(B225,'Kopie van RawV3Q1'!F:G,2,false)
</f>
        <v>leerkracht, schoolopziener, priester</v>
      </c>
      <c r="E225" s="13" t="s">
        <v>2411</v>
      </c>
    </row>
    <row r="226">
      <c r="A226" s="11" t="s">
        <v>2634</v>
      </c>
      <c r="B226" s="9" t="s">
        <v>893</v>
      </c>
      <c r="C226" s="1" t="s">
        <v>2409</v>
      </c>
      <c r="D226" s="9" t="str">
        <f> VLOOKUP(B226,'Kopie van RawV3Q1'!F:G,2,false)
</f>
        <v>leerkracht, beeldhouwer, beeldend kunstenaar</v>
      </c>
      <c r="E226" s="12" t="s">
        <v>894</v>
      </c>
    </row>
    <row r="227">
      <c r="A227" s="11" t="s">
        <v>2635</v>
      </c>
      <c r="B227" s="9" t="s">
        <v>358</v>
      </c>
      <c r="C227" s="1" t="s">
        <v>2409</v>
      </c>
      <c r="D227" s="9" t="str">
        <f> VLOOKUP(B227,'Kopie van RawV3Q1'!F:G,2,false)
</f>
        <v>leerkracht</v>
      </c>
      <c r="E227" s="13" t="s">
        <v>2411</v>
      </c>
    </row>
    <row r="228">
      <c r="A228" s="11" t="s">
        <v>2636</v>
      </c>
      <c r="B228" s="9" t="s">
        <v>525</v>
      </c>
      <c r="C228" s="1" t="s">
        <v>2409</v>
      </c>
      <c r="D228" s="9" t="str">
        <f> VLOOKUP(B228,'Kopie van RawV3Q1'!F:G,2,false)
</f>
        <v>leerkracht, hoofdredacteur, journalist, rector, katholiek priester, schrijver, letterkundige, pastoor, historicus</v>
      </c>
      <c r="E228" s="12" t="s">
        <v>526</v>
      </c>
    </row>
    <row r="229">
      <c r="A229" s="11" t="s">
        <v>2637</v>
      </c>
      <c r="B229" s="9" t="s">
        <v>1723</v>
      </c>
      <c r="C229" s="1" t="s">
        <v>2409</v>
      </c>
      <c r="D229" s="9" t="str">
        <f> VLOOKUP(B229,'Kopie van RawV3Q1'!F:G,2,false)
</f>
        <v>leerkracht</v>
      </c>
      <c r="E229" s="13" t="s">
        <v>2411</v>
      </c>
    </row>
    <row r="230">
      <c r="A230" s="11" t="s">
        <v>2638</v>
      </c>
      <c r="B230" s="9" t="s">
        <v>981</v>
      </c>
      <c r="C230" s="1" t="s">
        <v>2409</v>
      </c>
      <c r="D230" s="9" t="str">
        <f> VLOOKUP(B230,'Kopie van RawV3Q1'!F:G,2,false)
</f>
        <v>leerkracht, katholiek priester, schrijver, coadjutor</v>
      </c>
      <c r="E230" s="12" t="s">
        <v>982</v>
      </c>
    </row>
    <row r="231">
      <c r="A231" s="11" t="s">
        <v>2639</v>
      </c>
      <c r="B231" s="9" t="s">
        <v>228</v>
      </c>
      <c r="C231" s="1" t="s">
        <v>2409</v>
      </c>
      <c r="D231" s="9" t="str">
        <f> VLOOKUP(B231,'Kopie van RawV3Q1'!F:G,2,false)
</f>
        <v>leerkracht, kapelaan, katholiek priester, schrijver</v>
      </c>
      <c r="E231" s="12" t="s">
        <v>229</v>
      </c>
    </row>
    <row r="232">
      <c r="A232" s="11" t="s">
        <v>2640</v>
      </c>
      <c r="B232" s="9" t="s">
        <v>574</v>
      </c>
      <c r="C232" s="1" t="s">
        <v>2409</v>
      </c>
      <c r="D232" s="9" t="str">
        <f> VLOOKUP(B232,'Kopie van RawV3Q1'!F:G,2,false)
</f>
        <v>leerkracht, architect</v>
      </c>
      <c r="E232" s="12" t="s">
        <v>575</v>
      </c>
    </row>
    <row r="233">
      <c r="A233" s="11" t="s">
        <v>2641</v>
      </c>
      <c r="B233" s="9" t="s">
        <v>1543</v>
      </c>
      <c r="C233" s="1" t="s">
        <v>2409</v>
      </c>
      <c r="D233" s="9" t="str">
        <f> VLOOKUP(B233,'Kopie van RawV3Q1'!F:G,2,false)
</f>
        <v>leerkracht, parochievicaris, pastoor, katholiek priester</v>
      </c>
      <c r="E233" s="13" t="s">
        <v>2411</v>
      </c>
    </row>
    <row r="234">
      <c r="A234" s="11" t="s">
        <v>2642</v>
      </c>
      <c r="B234" s="9" t="s">
        <v>1290</v>
      </c>
      <c r="C234" s="1" t="s">
        <v>2409</v>
      </c>
      <c r="D234" s="9" t="str">
        <f> VLOOKUP(B234,'Kopie van RawV3Q1'!F:G,2,false)
</f>
        <v>leerkracht, rector, katholiek priester</v>
      </c>
      <c r="E234" s="13" t="s">
        <v>2411</v>
      </c>
    </row>
    <row r="235">
      <c r="A235" s="11" t="s">
        <v>2643</v>
      </c>
      <c r="B235" s="9" t="s">
        <v>263</v>
      </c>
      <c r="C235" s="1" t="s">
        <v>2409</v>
      </c>
      <c r="D235" s="9" t="str">
        <f> VLOOKUP(B235,'Kopie van RawV3Q1'!F:G,2,false)
</f>
        <v>letterkundige, biograaf, etnograaf, heemkundige, volkskundige, schrijver, historicus, journalist</v>
      </c>
      <c r="E235" s="13" t="s">
        <v>2411</v>
      </c>
    </row>
    <row r="236">
      <c r="A236" s="11" t="s">
        <v>2644</v>
      </c>
      <c r="B236" s="9" t="s">
        <v>241</v>
      </c>
      <c r="C236" s="1" t="s">
        <v>2409</v>
      </c>
      <c r="D236" s="9" t="str">
        <f> VLOOKUP(B236,'Kopie van RawV3Q1'!F:G,2,false)
</f>
        <v>literatuurcriticus, schrijver, dichter</v>
      </c>
      <c r="E236" s="12" t="s">
        <v>242</v>
      </c>
    </row>
    <row r="237">
      <c r="A237" s="11" t="s">
        <v>2645</v>
      </c>
      <c r="B237" s="9" t="s">
        <v>1671</v>
      </c>
      <c r="C237" s="1" t="s">
        <v>2409</v>
      </c>
      <c r="D237" s="9" t="str">
        <f> VLOOKUP(B237,'Kopie van RawV3Q1'!F:G,2,false)
</f>
        <v>lithograaf</v>
      </c>
      <c r="E237" s="13" t="s">
        <v>2411</v>
      </c>
    </row>
    <row r="238">
      <c r="A238" s="11" t="s">
        <v>2646</v>
      </c>
      <c r="B238" s="9" t="s">
        <v>386</v>
      </c>
      <c r="C238" s="1" t="s">
        <v>2409</v>
      </c>
      <c r="D238" s="9" t="str">
        <f> VLOOKUP(B238,'Kopie van RawV3Q1'!F:G,2,false)
</f>
        <v>liturgist, katholiek bisschop, monnik, missionaris, rector, katholiek priester</v>
      </c>
      <c r="E238" s="12" t="s">
        <v>389</v>
      </c>
    </row>
    <row r="239">
      <c r="A239" s="11" t="s">
        <v>2647</v>
      </c>
      <c r="B239" s="9" t="s">
        <v>1201</v>
      </c>
      <c r="C239" s="1" t="s">
        <v>2409</v>
      </c>
      <c r="D239" s="9" t="str">
        <f> VLOOKUP(B239,'Kopie van RawV3Q1'!F:G,2,false)
</f>
        <v>magistraat</v>
      </c>
      <c r="E239" s="13" t="s">
        <v>2411</v>
      </c>
    </row>
    <row r="240">
      <c r="A240" s="11" t="s">
        <v>2648</v>
      </c>
      <c r="B240" s="9" t="s">
        <v>990</v>
      </c>
      <c r="C240" s="1" t="s">
        <v>2409</v>
      </c>
      <c r="D240" s="9" t="str">
        <f> VLOOKUP(B240,'Kopie van RawV3Q1'!F:G,2,false)
</f>
        <v>magistraat, historicus, advocaat, schrijver, uitgever</v>
      </c>
      <c r="E240" s="12" t="s">
        <v>991</v>
      </c>
    </row>
    <row r="241">
      <c r="A241" s="11" t="s">
        <v>2649</v>
      </c>
      <c r="B241" s="9" t="s">
        <v>660</v>
      </c>
      <c r="C241" s="1" t="s">
        <v>2409</v>
      </c>
      <c r="D241" s="9" t="str">
        <f> VLOOKUP(B241,'Kopie van RawV3Q1'!F:G,2,false)
</f>
        <v>manager</v>
      </c>
      <c r="E241" s="13" t="s">
        <v>2411</v>
      </c>
    </row>
    <row r="242">
      <c r="A242" s="11" t="s">
        <v>2650</v>
      </c>
      <c r="B242" s="9" t="s">
        <v>1739</v>
      </c>
      <c r="C242" s="1" t="s">
        <v>2409</v>
      </c>
      <c r="D242" s="9" t="str">
        <f> VLOOKUP(B242,'Kopie van RawV3Q1'!F:G,2,false)
</f>
        <v>marskramer</v>
      </c>
      <c r="E242" s="13" t="s">
        <v>2411</v>
      </c>
    </row>
    <row r="243">
      <c r="A243" s="11" t="s">
        <v>2651</v>
      </c>
      <c r="B243" s="9" t="s">
        <v>1402</v>
      </c>
      <c r="C243" s="1" t="s">
        <v>2409</v>
      </c>
      <c r="D243" s="9" t="str">
        <f> VLOOKUP(B243,'Kopie van RawV3Q1'!F:G,2,false)
</f>
        <v>medailleur, ontwerper, beeldhouwer, beeldend kunstenaar</v>
      </c>
      <c r="E243" s="12" t="s">
        <v>1405</v>
      </c>
    </row>
    <row r="244">
      <c r="A244" s="11" t="s">
        <v>2652</v>
      </c>
      <c r="B244" s="9" t="s">
        <v>1246</v>
      </c>
      <c r="C244" s="1" t="s">
        <v>2409</v>
      </c>
      <c r="D244" s="9" t="str">
        <f> VLOOKUP(B244,'Kopie van RawV3Q1'!F:G,2,false)
</f>
        <v>metselaar, herbergier</v>
      </c>
      <c r="E244" s="13" t="s">
        <v>2411</v>
      </c>
    </row>
    <row r="245">
      <c r="A245" s="11" t="s">
        <v>2653</v>
      </c>
      <c r="B245" s="9" t="s">
        <v>1169</v>
      </c>
      <c r="C245" s="1" t="s">
        <v>2409</v>
      </c>
      <c r="D245" s="9" t="str">
        <f> VLOOKUP(B245,'Kopie van RawV3Q1'!F:G,2,false)
</f>
        <v>missionaris, parochievicaris, priester</v>
      </c>
      <c r="E245" s="13" t="s">
        <v>2411</v>
      </c>
    </row>
    <row r="246">
      <c r="A246" s="11" t="s">
        <v>2654</v>
      </c>
      <c r="B246" s="9" t="s">
        <v>1042</v>
      </c>
      <c r="C246" s="1" t="s">
        <v>2409</v>
      </c>
      <c r="D246" s="9" t="str">
        <f> VLOOKUP(B246,'Kopie van RawV3Q1'!F:G,2,false)
</f>
        <v>missionaris, katholiek priester, apostolic prefect, theoloog</v>
      </c>
      <c r="E246" s="12" t="s">
        <v>1043</v>
      </c>
    </row>
    <row r="247">
      <c r="A247" s="11" t="s">
        <v>2655</v>
      </c>
      <c r="B247" s="9" t="s">
        <v>285</v>
      </c>
      <c r="C247" s="1" t="s">
        <v>2409</v>
      </c>
      <c r="D247" s="9" t="str">
        <f> VLOOKUP(B247,'Kopie van RawV3Q1'!F:G,2,false)
</f>
        <v>missionaris, katholiek priester, pater</v>
      </c>
      <c r="E247" s="13" t="s">
        <v>2411</v>
      </c>
    </row>
    <row r="248">
      <c r="A248" s="11" t="s">
        <v>2656</v>
      </c>
      <c r="B248" s="9" t="s">
        <v>618</v>
      </c>
      <c r="C248" s="1" t="s">
        <v>2409</v>
      </c>
      <c r="D248" s="9" t="str">
        <f> VLOOKUP(B248,'Kopie van RawV3Q1'!F:G,2,false)
</f>
        <v>missionaris, rooms-katholiek priester</v>
      </c>
      <c r="E248" s="13" t="s">
        <v>2411</v>
      </c>
    </row>
    <row r="249">
      <c r="A249" s="11" t="s">
        <v>2657</v>
      </c>
      <c r="B249" s="9" t="s">
        <v>1139</v>
      </c>
      <c r="C249" s="1" t="s">
        <v>2409</v>
      </c>
      <c r="D249" s="9" t="str">
        <f> VLOOKUP(B249,'Kopie van RawV3Q1'!F:G,2,false)
</f>
        <v>missionaris, pater, priester</v>
      </c>
      <c r="E249" s="13" t="s">
        <v>2411</v>
      </c>
    </row>
    <row r="250">
      <c r="A250" s="11" t="s">
        <v>2658</v>
      </c>
      <c r="B250" s="9" t="s">
        <v>591</v>
      </c>
      <c r="C250" s="1" t="s">
        <v>2409</v>
      </c>
      <c r="D250" s="9" t="str">
        <f> VLOOKUP(B250,'Kopie van RawV3Q1'!F:G,2,false)
</f>
        <v>missionaris, rector, katholiek priester</v>
      </c>
      <c r="E250" s="13" t="s">
        <v>2411</v>
      </c>
    </row>
    <row r="251">
      <c r="A251" s="11" t="s">
        <v>2659</v>
      </c>
      <c r="B251" s="9" t="s">
        <v>534</v>
      </c>
      <c r="C251" s="1" t="s">
        <v>2409</v>
      </c>
      <c r="D251" s="9" t="str">
        <f> VLOOKUP(B251,'Kopie van RawV3Q1'!F:G,2,false)
</f>
        <v>missionaris, katholiek priester, leerkracht, pater</v>
      </c>
      <c r="E251" s="13" t="s">
        <v>2411</v>
      </c>
    </row>
    <row r="252">
      <c r="A252" s="11" t="s">
        <v>2660</v>
      </c>
      <c r="B252" s="9" t="s">
        <v>1363</v>
      </c>
      <c r="C252" s="1" t="s">
        <v>2409</v>
      </c>
      <c r="D252" s="9" t="str">
        <f> VLOOKUP(B252,'Kopie van RawV3Q1'!F:G,2,false)
</f>
        <v>missionaris</v>
      </c>
      <c r="E252" s="13" t="s">
        <v>2411</v>
      </c>
    </row>
    <row r="253">
      <c r="A253" s="11" t="s">
        <v>2661</v>
      </c>
      <c r="B253" s="9" t="s">
        <v>1756</v>
      </c>
      <c r="C253" s="1" t="s">
        <v>2409</v>
      </c>
      <c r="D253" s="9" t="str">
        <f> VLOOKUP(B253,'Kopie van RawV3Q1'!F:G,2,false)
</f>
        <v>missionaris</v>
      </c>
      <c r="E253" s="13" t="s">
        <v>2411</v>
      </c>
    </row>
    <row r="254">
      <c r="A254" s="11" t="s">
        <v>2662</v>
      </c>
      <c r="B254" s="9" t="s">
        <v>1541</v>
      </c>
      <c r="C254" s="1" t="s">
        <v>2409</v>
      </c>
      <c r="D254" s="9" t="str">
        <f> VLOOKUP(B254,'Kopie van RawV3Q1'!F:G,2,false)
</f>
        <v>missionaris, pater, priester</v>
      </c>
      <c r="E254" s="13" t="s">
        <v>2411</v>
      </c>
    </row>
    <row r="255">
      <c r="A255" s="11" t="s">
        <v>2663</v>
      </c>
      <c r="B255" s="9" t="s">
        <v>640</v>
      </c>
      <c r="C255" s="1" t="s">
        <v>2409</v>
      </c>
      <c r="D255" s="9" t="str">
        <f> VLOOKUP(B255,'Kopie van RawV3Q1'!F:G,2,false)
</f>
        <v>missionaris, katholiek priester</v>
      </c>
      <c r="E255" s="13" t="s">
        <v>2411</v>
      </c>
    </row>
    <row r="256">
      <c r="A256" s="11" t="s">
        <v>2664</v>
      </c>
      <c r="B256" s="9" t="s">
        <v>1511</v>
      </c>
      <c r="C256" s="1" t="s">
        <v>2409</v>
      </c>
      <c r="D256" s="9" t="str">
        <f> VLOOKUP(B256,'Kopie van RawV3Q1'!F:G,2,false)
</f>
        <v>missionaris, katholiek priester, kapelaan, parochievicaris, proost</v>
      </c>
      <c r="E256" s="13" t="s">
        <v>2411</v>
      </c>
    </row>
    <row r="257">
      <c r="A257" s="11" t="s">
        <v>2665</v>
      </c>
      <c r="B257" s="9" t="s">
        <v>1349</v>
      </c>
      <c r="C257" s="1" t="s">
        <v>2409</v>
      </c>
      <c r="D257" s="9" t="str">
        <f> VLOOKUP(B257,'Kopie van RawV3Q1'!F:G,2,false)
</f>
        <v>missionaris, katholiek priester, pater</v>
      </c>
      <c r="E257" s="13" t="s">
        <v>2411</v>
      </c>
    </row>
    <row r="258">
      <c r="A258" s="11" t="s">
        <v>2666</v>
      </c>
      <c r="B258" s="9" t="s">
        <v>1177</v>
      </c>
      <c r="C258" s="1" t="s">
        <v>2409</v>
      </c>
      <c r="D258" s="9" t="str">
        <f> VLOOKUP(B258,'Kopie van RawV3Q1'!F:G,2,false)
</f>
        <v>missionaris, pater, katholiek priester, overste, parochievicaris, financieel beheerder</v>
      </c>
      <c r="E258" s="13" t="s">
        <v>2411</v>
      </c>
    </row>
    <row r="259">
      <c r="A259" s="11" t="s">
        <v>2667</v>
      </c>
      <c r="B259" s="9" t="s">
        <v>1587</v>
      </c>
      <c r="C259" s="1" t="s">
        <v>2409</v>
      </c>
      <c r="D259" s="9" t="str">
        <f> VLOOKUP(B259,'Kopie van RawV3Q1'!F:G,2,false)
</f>
        <v>missionaris, non, onderwijzer</v>
      </c>
      <c r="E259" s="13" t="s">
        <v>2411</v>
      </c>
    </row>
    <row r="260">
      <c r="A260" s="11" t="s">
        <v>2668</v>
      </c>
      <c r="B260" s="9" t="s">
        <v>750</v>
      </c>
      <c r="C260" s="1" t="s">
        <v>2409</v>
      </c>
      <c r="D260" s="9" t="str">
        <f> VLOOKUP(B260,'Kopie van RawV3Q1'!F:G,2,false)
</f>
        <v>missionaris, rector</v>
      </c>
      <c r="E260" s="13" t="s">
        <v>2411</v>
      </c>
    </row>
    <row r="261">
      <c r="A261" s="11" t="s">
        <v>2669</v>
      </c>
      <c r="B261" s="9" t="s">
        <v>1068</v>
      </c>
      <c r="C261" s="1" t="s">
        <v>2409</v>
      </c>
      <c r="D261" s="9" t="str">
        <f> VLOOKUP(B261,'Kopie van RawV3Q1'!F:G,2,false)
</f>
        <v>missionaris, pater, priester</v>
      </c>
      <c r="E261" s="13" t="s">
        <v>2411</v>
      </c>
    </row>
    <row r="262">
      <c r="A262" s="11" t="s">
        <v>2670</v>
      </c>
      <c r="B262" s="9" t="s">
        <v>532</v>
      </c>
      <c r="C262" s="1" t="s">
        <v>2409</v>
      </c>
      <c r="D262" s="9" t="str">
        <f> VLOOKUP(B262,'Kopie van RawV3Q1'!F:G,2,false)
</f>
        <v>missionaris, katholiek priester</v>
      </c>
      <c r="E262" s="13" t="s">
        <v>2411</v>
      </c>
    </row>
    <row r="263">
      <c r="A263" s="11" t="s">
        <v>2671</v>
      </c>
      <c r="B263" s="9" t="s">
        <v>806</v>
      </c>
      <c r="C263" s="1" t="s">
        <v>2409</v>
      </c>
      <c r="D263" s="9" t="str">
        <f> VLOOKUP(B263,'Kopie van RawV3Q1'!F:G,2,false)
</f>
        <v>muzikant, muziekleraar</v>
      </c>
      <c r="E263" s="13" t="s">
        <v>2411</v>
      </c>
    </row>
    <row r="264">
      <c r="A264" s="11" t="s">
        <v>2672</v>
      </c>
      <c r="B264" s="9" t="s">
        <v>469</v>
      </c>
      <c r="C264" s="1" t="s">
        <v>2409</v>
      </c>
      <c r="D264" s="9" t="str">
        <f> VLOOKUP(B264,'Kopie van RawV3Q1'!F:G,2,false)
</f>
        <v>muzikant, katholiek priester, leerkracht, geestelijk leidsman</v>
      </c>
      <c r="E264" s="13" t="s">
        <v>2411</v>
      </c>
    </row>
    <row r="265">
      <c r="A265" s="11" t="s">
        <v>2673</v>
      </c>
      <c r="B265" s="9" t="s">
        <v>702</v>
      </c>
      <c r="C265" s="1" t="s">
        <v>2409</v>
      </c>
      <c r="D265" s="9" t="str">
        <f> VLOOKUP(B265,'Kopie van RawV3Q1'!F:G,2,false)
</f>
        <v>naaier</v>
      </c>
      <c r="E265" s="13" t="s">
        <v>2411</v>
      </c>
    </row>
    <row r="266">
      <c r="A266" s="11" t="s">
        <v>2674</v>
      </c>
      <c r="B266" s="9" t="s">
        <v>1494</v>
      </c>
      <c r="C266" s="1" t="s">
        <v>2409</v>
      </c>
      <c r="D266" s="9" t="str">
        <f> VLOOKUP(B266,'Kopie van RawV3Q1'!F:G,2,false)
</f>
        <v>naaier, onderwijzer</v>
      </c>
      <c r="E266" s="12" t="s">
        <v>1495</v>
      </c>
    </row>
    <row r="267">
      <c r="A267" s="11" t="s">
        <v>2675</v>
      </c>
      <c r="B267" s="9" t="s">
        <v>1191</v>
      </c>
      <c r="C267" s="1" t="s">
        <v>2409</v>
      </c>
      <c r="D267" s="9" t="str">
        <f> VLOOKUP(B267,'Kopie van RawV3Q1'!F:G,2,false)
</f>
        <v>naaier, handelaar, arbeider, dienstmeid</v>
      </c>
      <c r="E267" s="13" t="s">
        <v>2411</v>
      </c>
    </row>
    <row r="268">
      <c r="A268" s="11" t="s">
        <v>2676</v>
      </c>
      <c r="B268" s="9" t="s">
        <v>1655</v>
      </c>
      <c r="C268" s="1" t="s">
        <v>2409</v>
      </c>
      <c r="D268" s="9" t="str">
        <f> VLOOKUP(B268,'Kopie van RawV3Q1'!F:G,2,false)
</f>
        <v>non, overste</v>
      </c>
      <c r="E268" s="13" t="s">
        <v>2411</v>
      </c>
    </row>
    <row r="269">
      <c r="A269" s="11" t="s">
        <v>2677</v>
      </c>
      <c r="B269" s="9" t="s">
        <v>1828</v>
      </c>
      <c r="C269" s="1" t="s">
        <v>2409</v>
      </c>
      <c r="D269" s="9" t="str">
        <f> VLOOKUP(B269,'Kopie van RawV3Q1'!F:G,2,false)
</f>
        <v>non, verpleegkundige, prior, abdis</v>
      </c>
      <c r="E269" s="12" t="s">
        <v>1829</v>
      </c>
    </row>
    <row r="270">
      <c r="A270" s="11" t="s">
        <v>2678</v>
      </c>
      <c r="B270" s="9" t="s">
        <v>1639</v>
      </c>
      <c r="C270" s="1" t="s">
        <v>2409</v>
      </c>
      <c r="D270" s="9" t="str">
        <f> VLOOKUP(B270,'Kopie van RawV3Q1'!F:G,2,false)
</f>
        <v>non, prior</v>
      </c>
      <c r="E270" s="13" t="s">
        <v>2411</v>
      </c>
    </row>
    <row r="271">
      <c r="A271" s="11" t="s">
        <v>2679</v>
      </c>
      <c r="B271" s="9" t="s">
        <v>810</v>
      </c>
      <c r="C271" s="1" t="s">
        <v>2409</v>
      </c>
      <c r="D271" s="9" t="str">
        <f> VLOOKUP(B271,'Kopie van RawV3Q1'!F:G,2,false)
</f>
        <v>non, overste, onderwijzer</v>
      </c>
      <c r="E271" s="13" t="s">
        <v>2411</v>
      </c>
    </row>
    <row r="272">
      <c r="A272" s="11" t="s">
        <v>2680</v>
      </c>
      <c r="B272" s="9" t="s">
        <v>1254</v>
      </c>
      <c r="C272" s="1" t="s">
        <v>2409</v>
      </c>
      <c r="D272" s="9" t="str">
        <f> VLOOKUP(B272,'Kopie van RawV3Q1'!F:G,2,false)
</f>
        <v>non, overste</v>
      </c>
      <c r="E272" s="13" t="s">
        <v>2411</v>
      </c>
    </row>
    <row r="273">
      <c r="A273" s="11" t="s">
        <v>2681</v>
      </c>
      <c r="B273" s="9" t="s">
        <v>1784</v>
      </c>
      <c r="C273" s="1" t="s">
        <v>2409</v>
      </c>
      <c r="D273" s="9" t="str">
        <f> VLOOKUP(B273,'Kopie van RawV3Q1'!F:G,2,false)
</f>
        <v>non, overste</v>
      </c>
      <c r="E273" s="13" t="s">
        <v>2411</v>
      </c>
    </row>
    <row r="274">
      <c r="A274" s="11" t="s">
        <v>2682</v>
      </c>
      <c r="B274" s="9" t="s">
        <v>1119</v>
      </c>
      <c r="C274" s="1" t="s">
        <v>2409</v>
      </c>
      <c r="D274" s="9" t="str">
        <f> VLOOKUP(B274,'Kopie van RawV3Q1'!F:G,2,false)
</f>
        <v>non</v>
      </c>
      <c r="E274" s="13" t="s">
        <v>2411</v>
      </c>
    </row>
    <row r="275">
      <c r="A275" s="11" t="s">
        <v>2683</v>
      </c>
      <c r="B275" s="9" t="s">
        <v>1240</v>
      </c>
      <c r="C275" s="1" t="s">
        <v>2409</v>
      </c>
      <c r="D275" s="9" t="str">
        <f> VLOOKUP(B275,'Kopie van RawV3Q1'!F:G,2,false)
</f>
        <v>non, overste</v>
      </c>
      <c r="E275" s="13" t="s">
        <v>2411</v>
      </c>
    </row>
    <row r="276">
      <c r="A276" s="11" t="s">
        <v>2684</v>
      </c>
      <c r="B276" s="9" t="s">
        <v>603</v>
      </c>
      <c r="C276" s="1" t="s">
        <v>2409</v>
      </c>
      <c r="D276" s="9" t="str">
        <f> VLOOKUP(B276,'Kopie van RawV3Q1'!F:G,2,false)
</f>
        <v>non, onderwijzer</v>
      </c>
      <c r="E276" s="12" t="s">
        <v>606</v>
      </c>
    </row>
    <row r="277">
      <c r="A277" s="11" t="s">
        <v>2685</v>
      </c>
      <c r="B277" s="9" t="s">
        <v>1286</v>
      </c>
      <c r="C277" s="1" t="s">
        <v>2409</v>
      </c>
      <c r="D277" s="9" t="str">
        <f> VLOOKUP(B277,'Kopie van RawV3Q1'!F:G,2,false)
</f>
        <v>non</v>
      </c>
      <c r="E277" s="13" t="s">
        <v>2411</v>
      </c>
    </row>
    <row r="278">
      <c r="A278" s="11" t="s">
        <v>2686</v>
      </c>
      <c r="B278" s="9" t="s">
        <v>1758</v>
      </c>
      <c r="C278" s="1" t="s">
        <v>2409</v>
      </c>
      <c r="D278" s="9" t="str">
        <f> VLOOKUP(B278,'Kopie van RawV3Q1'!F:G,2,false)
</f>
        <v>non, overste</v>
      </c>
      <c r="E278" s="13" t="s">
        <v>2411</v>
      </c>
    </row>
    <row r="279">
      <c r="A279" s="11" t="s">
        <v>2687</v>
      </c>
      <c r="B279" s="9" t="s">
        <v>1357</v>
      </c>
      <c r="C279" s="1" t="s">
        <v>2409</v>
      </c>
      <c r="D279" s="9" t="str">
        <f> VLOOKUP(B279,'Kopie van RawV3Q1'!F:G,2,false)
</f>
        <v>non</v>
      </c>
      <c r="E279" s="13" t="s">
        <v>2411</v>
      </c>
    </row>
    <row r="280">
      <c r="A280" s="11" t="s">
        <v>2688</v>
      </c>
      <c r="B280" s="9" t="s">
        <v>856</v>
      </c>
      <c r="C280" s="1" t="s">
        <v>2409</v>
      </c>
      <c r="D280" s="9" t="str">
        <f> VLOOKUP(B280,'Kopie van RawV3Q1'!F:G,2,false)
</f>
        <v>non</v>
      </c>
      <c r="E280" s="13" t="s">
        <v>2411</v>
      </c>
    </row>
    <row r="281">
      <c r="A281" s="11" t="s">
        <v>2689</v>
      </c>
      <c r="B281" s="9" t="s">
        <v>1521</v>
      </c>
      <c r="C281" s="1" t="s">
        <v>2409</v>
      </c>
      <c r="D281" s="9" t="str">
        <f> VLOOKUP(B281,'Kopie van RawV3Q1'!F:G,2,false)
</f>
        <v>non, overste</v>
      </c>
      <c r="E281" s="13" t="s">
        <v>2411</v>
      </c>
    </row>
    <row r="282">
      <c r="A282" s="11" t="s">
        <v>2690</v>
      </c>
      <c r="B282" s="9" t="s">
        <v>1760</v>
      </c>
      <c r="C282" s="1" t="s">
        <v>2409</v>
      </c>
      <c r="D282" s="9" t="str">
        <f> VLOOKUP(B282,'Kopie van RawV3Q1'!F:G,2,false)
</f>
        <v>non, overste</v>
      </c>
      <c r="E282" s="13" t="s">
        <v>2411</v>
      </c>
    </row>
    <row r="283">
      <c r="A283" s="11" t="s">
        <v>2691</v>
      </c>
      <c r="B283" s="9" t="s">
        <v>1653</v>
      </c>
      <c r="C283" s="1" t="s">
        <v>2409</v>
      </c>
      <c r="D283" s="9" t="str">
        <f> VLOOKUP(B283,'Kopie van RawV3Q1'!F:G,2,false)
</f>
        <v>non</v>
      </c>
      <c r="E283" s="13" t="s">
        <v>2411</v>
      </c>
    </row>
    <row r="284">
      <c r="A284" s="11" t="s">
        <v>2692</v>
      </c>
      <c r="B284" s="9" t="s">
        <v>1250</v>
      </c>
      <c r="C284" s="1" t="s">
        <v>2409</v>
      </c>
      <c r="D284" s="9" t="str">
        <f> VLOOKUP(B284,'Kopie van RawV3Q1'!F:G,2,false)
</f>
        <v>non, overste</v>
      </c>
      <c r="E284" s="13" t="s">
        <v>2411</v>
      </c>
    </row>
    <row r="285">
      <c r="A285" s="11" t="s">
        <v>2693</v>
      </c>
      <c r="B285" s="9" t="s">
        <v>1754</v>
      </c>
      <c r="C285" s="1" t="s">
        <v>2409</v>
      </c>
      <c r="D285" s="9" t="str">
        <f> VLOOKUP(B285,'Kopie van RawV3Q1'!F:G,2,false)
</f>
        <v>non</v>
      </c>
      <c r="E285" s="13" t="s">
        <v>2411</v>
      </c>
    </row>
    <row r="286">
      <c r="A286" s="11" t="s">
        <v>2694</v>
      </c>
      <c r="B286" s="9" t="s">
        <v>1737</v>
      </c>
      <c r="C286" s="1" t="s">
        <v>2409</v>
      </c>
      <c r="D286" s="9" t="str">
        <f> VLOOKUP(B286,'Kopie van RawV3Q1'!F:G,2,false)
</f>
        <v>non, overste</v>
      </c>
      <c r="E286" s="13" t="s">
        <v>2411</v>
      </c>
    </row>
    <row r="287">
      <c r="A287" s="11" t="s">
        <v>2695</v>
      </c>
      <c r="B287" s="9" t="s">
        <v>839</v>
      </c>
      <c r="C287" s="1" t="s">
        <v>2409</v>
      </c>
      <c r="D287" s="9" t="str">
        <f> VLOOKUP(B287,'Kopie van RawV3Q1'!F:G,2,false)
</f>
        <v>non, overste, onderwijzer</v>
      </c>
      <c r="E287" s="13" t="s">
        <v>2411</v>
      </c>
    </row>
    <row r="288">
      <c r="A288" s="11" t="s">
        <v>2696</v>
      </c>
      <c r="B288" s="9" t="s">
        <v>1359</v>
      </c>
      <c r="C288" s="1" t="s">
        <v>2409</v>
      </c>
      <c r="D288" s="9" t="str">
        <f> VLOOKUP(B288,'Kopie van RawV3Q1'!F:G,2,false)
</f>
        <v>non</v>
      </c>
      <c r="E288" s="13" t="s">
        <v>2411</v>
      </c>
    </row>
    <row r="289">
      <c r="A289" s="11" t="s">
        <v>2697</v>
      </c>
      <c r="B289" s="9" t="s">
        <v>1107</v>
      </c>
      <c r="C289" s="1" t="s">
        <v>2409</v>
      </c>
      <c r="D289" s="9" t="str">
        <f> VLOOKUP(B289,'Kopie van RawV3Q1'!F:G,2,false)
</f>
        <v>non, prior</v>
      </c>
      <c r="E289" s="13" t="s">
        <v>2411</v>
      </c>
    </row>
    <row r="290">
      <c r="A290" s="11" t="s">
        <v>2698</v>
      </c>
      <c r="B290" s="9" t="s">
        <v>626</v>
      </c>
      <c r="C290" s="1" t="s">
        <v>2409</v>
      </c>
      <c r="D290" s="9" t="str">
        <f> VLOOKUP(B290,'Kopie van RawV3Q1'!F:G,2,false)
</f>
        <v>non</v>
      </c>
      <c r="E290" s="13" t="s">
        <v>2411</v>
      </c>
    </row>
    <row r="291">
      <c r="A291" s="11" t="s">
        <v>2699</v>
      </c>
      <c r="B291" s="9" t="s">
        <v>1560</v>
      </c>
      <c r="C291" s="1" t="s">
        <v>2409</v>
      </c>
      <c r="D291" s="9" t="str">
        <f> VLOOKUP(B291,'Kopie van RawV3Q1'!F:G,2,false)
</f>
        <v>non, overste</v>
      </c>
      <c r="E291" s="13" t="s">
        <v>2411</v>
      </c>
    </row>
    <row r="292">
      <c r="A292" s="11" t="s">
        <v>2700</v>
      </c>
      <c r="B292" s="9" t="s">
        <v>1383</v>
      </c>
      <c r="C292" s="1" t="s">
        <v>2409</v>
      </c>
      <c r="D292" s="9" t="str">
        <f> VLOOKUP(B292,'Kopie van RawV3Q1'!F:G,2,false)
</f>
        <v>non, overste</v>
      </c>
      <c r="E292" s="13" t="s">
        <v>2411</v>
      </c>
    </row>
    <row r="293">
      <c r="A293" s="11" t="s">
        <v>2701</v>
      </c>
      <c r="B293" s="9" t="s">
        <v>1649</v>
      </c>
      <c r="C293" s="1" t="s">
        <v>2409</v>
      </c>
      <c r="D293" s="9" t="str">
        <f> VLOOKUP(B293,'Kopie van RawV3Q1'!F:G,2,false)
</f>
        <v>non, overste</v>
      </c>
      <c r="E293" s="13" t="s">
        <v>2411</v>
      </c>
    </row>
    <row r="294">
      <c r="A294" s="11" t="s">
        <v>2702</v>
      </c>
      <c r="B294" s="9" t="s">
        <v>1113</v>
      </c>
      <c r="C294" s="1" t="s">
        <v>2409</v>
      </c>
      <c r="D294" s="9" t="str">
        <f> VLOOKUP(B294,'Kopie van RawV3Q1'!F:G,2,false)
</f>
        <v>non, overste</v>
      </c>
      <c r="E294" s="13" t="s">
        <v>2411</v>
      </c>
    </row>
    <row r="295">
      <c r="A295" s="11" t="s">
        <v>2703</v>
      </c>
      <c r="B295" s="9" t="s">
        <v>1589</v>
      </c>
      <c r="C295" s="1" t="s">
        <v>2409</v>
      </c>
      <c r="D295" s="9" t="str">
        <f> VLOOKUP(B295,'Kopie van RawV3Q1'!F:G,2,false)
</f>
        <v>non, overste, ziekenhuisdirecteur, onderwijzer</v>
      </c>
      <c r="E295" s="13" t="s">
        <v>2411</v>
      </c>
    </row>
    <row r="296">
      <c r="A296" s="11" t="s">
        <v>2704</v>
      </c>
      <c r="B296" s="9" t="s">
        <v>1242</v>
      </c>
      <c r="C296" s="1" t="s">
        <v>2409</v>
      </c>
      <c r="D296" s="9" t="str">
        <f> VLOOKUP(B296,'Kopie van RawV3Q1'!F:G,2,false)
</f>
        <v>non</v>
      </c>
      <c r="E296" s="13" t="s">
        <v>2411</v>
      </c>
    </row>
    <row r="297">
      <c r="A297" s="11" t="s">
        <v>2705</v>
      </c>
      <c r="B297" s="9" t="s">
        <v>1752</v>
      </c>
      <c r="C297" s="1" t="s">
        <v>2409</v>
      </c>
      <c r="D297" s="9" t="str">
        <f> VLOOKUP(B297,'Kopie van RawV3Q1'!F:G,2,false)
</f>
        <v>non</v>
      </c>
      <c r="E297" s="13" t="s">
        <v>2411</v>
      </c>
    </row>
    <row r="298">
      <c r="A298" s="11" t="s">
        <v>2706</v>
      </c>
      <c r="B298" s="9" t="s">
        <v>1377</v>
      </c>
      <c r="C298" s="1" t="s">
        <v>2409</v>
      </c>
      <c r="D298" s="9" t="str">
        <f> VLOOKUP(B298,'Kopie van RawV3Q1'!F:G,2,false)
</f>
        <v>non, overste</v>
      </c>
      <c r="E298" s="13" t="s">
        <v>2411</v>
      </c>
    </row>
    <row r="299">
      <c r="A299" s="11" t="s">
        <v>2707</v>
      </c>
      <c r="B299" s="9" t="s">
        <v>515</v>
      </c>
      <c r="C299" s="1" t="s">
        <v>2409</v>
      </c>
      <c r="D299" s="9" t="str">
        <f> VLOOKUP(B299,'Kopie van RawV3Q1'!F:G,2,false)
</f>
        <v>notaris, schrijver</v>
      </c>
      <c r="E299" s="13" t="s">
        <v>2411</v>
      </c>
    </row>
    <row r="300">
      <c r="A300" s="11" t="s">
        <v>2708</v>
      </c>
      <c r="B300" s="9" t="s">
        <v>1323</v>
      </c>
      <c r="C300" s="1" t="s">
        <v>2409</v>
      </c>
      <c r="D300" s="9" t="str">
        <f> VLOOKUP(B300,'Kopie van RawV3Q1'!F:G,2,false)
</f>
        <v>onderwijzer, non</v>
      </c>
      <c r="E300" s="13" t="s">
        <v>2411</v>
      </c>
    </row>
    <row r="301">
      <c r="A301" s="11" t="s">
        <v>2709</v>
      </c>
      <c r="B301" s="9" t="s">
        <v>1228</v>
      </c>
      <c r="C301" s="1" t="s">
        <v>2409</v>
      </c>
      <c r="D301" s="9" t="str">
        <f> VLOOKUP(B301,'Kopie van RawV3Q1'!F:G,2,false)
</f>
        <v>onderwijzer, rector, katholiek priester, leerkracht</v>
      </c>
      <c r="E301" s="13" t="s">
        <v>2411</v>
      </c>
    </row>
    <row r="302">
      <c r="A302" s="11" t="s">
        <v>2710</v>
      </c>
      <c r="B302" s="9" t="s">
        <v>784</v>
      </c>
      <c r="C302" s="1" t="s">
        <v>2409</v>
      </c>
      <c r="D302" s="9" t="str">
        <f> VLOOKUP(B302,'Kopie van RawV3Q1'!F:G,2,false)
</f>
        <v>onderwijzer, kantoorbediende, schaapherder, magazijnmedewerker</v>
      </c>
      <c r="E302" s="13" t="s">
        <v>2411</v>
      </c>
    </row>
    <row r="303">
      <c r="A303" s="11" t="s">
        <v>2711</v>
      </c>
      <c r="B303" s="9" t="s">
        <v>825</v>
      </c>
      <c r="C303" s="1" t="s">
        <v>2409</v>
      </c>
      <c r="D303" s="9" t="str">
        <f> VLOOKUP(B303,'Kopie van RawV3Q1'!F:G,2,false)
</f>
        <v>onderwijzer</v>
      </c>
      <c r="E303" s="13" t="s">
        <v>2411</v>
      </c>
    </row>
    <row r="304">
      <c r="A304" s="11" t="s">
        <v>2712</v>
      </c>
      <c r="B304" s="9" t="s">
        <v>1721</v>
      </c>
      <c r="C304" s="1" t="s">
        <v>2409</v>
      </c>
      <c r="D304" s="9" t="str">
        <f> VLOOKUP(B304,'Kopie van RawV3Q1'!F:G,2,false)
</f>
        <v>onderwijzer</v>
      </c>
      <c r="E304" s="13" t="s">
        <v>2411</v>
      </c>
    </row>
    <row r="305">
      <c r="A305" s="11" t="s">
        <v>2713</v>
      </c>
      <c r="B305" s="9" t="s">
        <v>788</v>
      </c>
      <c r="C305" s="1" t="s">
        <v>2409</v>
      </c>
      <c r="D305" s="9" t="str">
        <f> VLOOKUP(B305,'Kopie van RawV3Q1'!F:G,2,false)
</f>
        <v>onderwijzer</v>
      </c>
      <c r="E305" s="13" t="s">
        <v>2411</v>
      </c>
    </row>
    <row r="306">
      <c r="A306" s="11" t="s">
        <v>2714</v>
      </c>
      <c r="B306" s="9" t="s">
        <v>734</v>
      </c>
      <c r="C306" s="1" t="s">
        <v>2409</v>
      </c>
      <c r="D306" s="9" t="str">
        <f> VLOOKUP(B306,'Kopie van RawV3Q1'!F:G,2,false)
</f>
        <v>onderwijzer, dienstmeid, huisvrouw</v>
      </c>
      <c r="E306" s="12" t="s">
        <v>735</v>
      </c>
    </row>
    <row r="307">
      <c r="A307" s="11" t="s">
        <v>2715</v>
      </c>
      <c r="B307" s="9" t="s">
        <v>1211</v>
      </c>
      <c r="C307" s="1" t="s">
        <v>2409</v>
      </c>
      <c r="D307" s="9" t="str">
        <f> VLOOKUP(B307,'Kopie van RawV3Q1'!F:G,2,false)
</f>
        <v>onderwijzer, non, overste</v>
      </c>
      <c r="E307" s="13" t="s">
        <v>2411</v>
      </c>
    </row>
    <row r="308">
      <c r="A308" s="11" t="s">
        <v>2716</v>
      </c>
      <c r="B308" s="9" t="s">
        <v>1381</v>
      </c>
      <c r="C308" s="1" t="s">
        <v>2409</v>
      </c>
      <c r="D308" s="9" t="str">
        <f> VLOOKUP(B308,'Kopie van RawV3Q1'!F:G,2,false)
</f>
        <v>onderwijzer</v>
      </c>
      <c r="E308" s="13" t="s">
        <v>2411</v>
      </c>
    </row>
    <row r="309">
      <c r="A309" s="11" t="s">
        <v>2717</v>
      </c>
      <c r="B309" s="9" t="s">
        <v>1645</v>
      </c>
      <c r="C309" s="1" t="s">
        <v>2409</v>
      </c>
      <c r="D309" s="9" t="str">
        <f> VLOOKUP(B309,'Kopie van RawV3Q1'!F:G,2,false)
</f>
        <v>onderwijzer, non</v>
      </c>
      <c r="E309" s="13" t="s">
        <v>2411</v>
      </c>
    </row>
    <row r="310">
      <c r="A310" s="11" t="s">
        <v>2718</v>
      </c>
      <c r="B310" s="9" t="s">
        <v>1052</v>
      </c>
      <c r="C310" s="1" t="s">
        <v>2409</v>
      </c>
      <c r="D310" s="9" t="str">
        <f> VLOOKUP(B310,'Kopie van RawV3Q1'!F:G,2,false)
</f>
        <v>onderwijzer, non</v>
      </c>
      <c r="E310" s="13" t="s">
        <v>2411</v>
      </c>
    </row>
    <row r="311">
      <c r="A311" s="11" t="s">
        <v>2719</v>
      </c>
      <c r="B311" s="9" t="s">
        <v>1689</v>
      </c>
      <c r="C311" s="1" t="s">
        <v>2409</v>
      </c>
      <c r="D311" s="9" t="str">
        <f> VLOOKUP(B311,'Kopie van RawV3Q1'!F:G,2,false)
</f>
        <v>onderwijzer, politicus</v>
      </c>
      <c r="E311" s="13" t="s">
        <v>2411</v>
      </c>
    </row>
    <row r="312">
      <c r="A312" s="11" t="s">
        <v>2720</v>
      </c>
      <c r="B312" s="9" t="s">
        <v>696</v>
      </c>
      <c r="C312" s="1" t="s">
        <v>2409</v>
      </c>
      <c r="D312" s="9" t="str">
        <f> VLOOKUP(B312,'Kopie van RawV3Q1'!F:G,2,false)
</f>
        <v>onderwijzer, redacteur</v>
      </c>
      <c r="E312" s="13" t="s">
        <v>2411</v>
      </c>
    </row>
    <row r="313">
      <c r="A313" s="11" t="s">
        <v>2721</v>
      </c>
      <c r="B313" s="9" t="s">
        <v>622</v>
      </c>
      <c r="C313" s="1" t="s">
        <v>2409</v>
      </c>
      <c r="D313" s="9" t="str">
        <f> VLOOKUP(B313,'Kopie van RawV3Q1'!F:G,2,false)
</f>
        <v>onderwijzer, secretaris</v>
      </c>
      <c r="E313" s="13" t="s">
        <v>2411</v>
      </c>
    </row>
    <row r="314">
      <c r="A314" s="11" t="s">
        <v>2722</v>
      </c>
      <c r="B314" s="9" t="s">
        <v>150</v>
      </c>
      <c r="C314" s="1" t="s">
        <v>2409</v>
      </c>
      <c r="D314" s="9" t="str">
        <f> VLOOKUP(B314,'Kopie van RawV3Q1'!F:G,2,false)
</f>
        <v>onderwijzer, kunsthistoricus, vertegenwoordiger, museummedewerker, ambtenaar, importeur, conservator, curator</v>
      </c>
      <c r="E314" s="12" t="s">
        <v>153</v>
      </c>
    </row>
    <row r="315">
      <c r="A315" s="11" t="s">
        <v>2723</v>
      </c>
      <c r="B315" s="9" t="s">
        <v>305</v>
      </c>
      <c r="C315" s="1" t="s">
        <v>2409</v>
      </c>
      <c r="D315" s="9" t="str">
        <f> VLOOKUP(B315,'Kopie van RawV3Q1'!F:G,2,false)
</f>
        <v>overste, auteur, begijn of bogaard</v>
      </c>
      <c r="E315" s="12" t="s">
        <v>308</v>
      </c>
    </row>
    <row r="316">
      <c r="A316" s="11" t="s">
        <v>2724</v>
      </c>
      <c r="B316" s="9" t="s">
        <v>1314</v>
      </c>
      <c r="C316" s="1" t="s">
        <v>2409</v>
      </c>
      <c r="D316" s="9" t="str">
        <f> VLOOKUP(B316,'Kopie van RawV3Q1'!F:G,2,false)
</f>
        <v>overste, missionaris, non</v>
      </c>
      <c r="E316" s="12" t="s">
        <v>1315</v>
      </c>
    </row>
    <row r="317">
      <c r="A317" s="11" t="s">
        <v>2725</v>
      </c>
      <c r="B317" s="9" t="s">
        <v>1826</v>
      </c>
      <c r="C317" s="1" t="s">
        <v>2409</v>
      </c>
      <c r="D317" s="9" t="str">
        <f> VLOOKUP(B317,'Kopie van RawV3Q1'!F:G,2,false)
</f>
        <v>overste, leerkracht, non</v>
      </c>
      <c r="E317" s="13" t="s">
        <v>2411</v>
      </c>
    </row>
    <row r="318">
      <c r="A318" s="11" t="s">
        <v>2726</v>
      </c>
      <c r="B318" s="9" t="s">
        <v>786</v>
      </c>
      <c r="C318" s="1" t="s">
        <v>2409</v>
      </c>
      <c r="D318" s="9" t="str">
        <f> VLOOKUP(B318,'Kopie van RawV3Q1'!F:G,2,false)
</f>
        <v>parochievicaris, pastoor, directeur, katholiek priester, leerkracht</v>
      </c>
      <c r="E318" s="13" t="s">
        <v>2411</v>
      </c>
    </row>
    <row r="319">
      <c r="A319" s="11" t="s">
        <v>2727</v>
      </c>
      <c r="B319" s="9" t="s">
        <v>698</v>
      </c>
      <c r="C319" s="1" t="s">
        <v>2409</v>
      </c>
      <c r="D319" s="9" t="str">
        <f> VLOOKUP(B319,'Kopie van RawV3Q1'!F:G,2,false)
</f>
        <v>parochievicaris, katholiek priester, leerkracht</v>
      </c>
      <c r="E319" s="13" t="s">
        <v>2411</v>
      </c>
    </row>
    <row r="320">
      <c r="A320" s="11" t="s">
        <v>2728</v>
      </c>
      <c r="B320" s="9" t="s">
        <v>896</v>
      </c>
      <c r="C320" s="1" t="s">
        <v>2409</v>
      </c>
      <c r="D320" s="9" t="str">
        <f> VLOOKUP(B320,'Kopie van RawV3Q1'!F:G,2,false)
</f>
        <v>parochievicaris, schrijver, dichter, pastoor, liedtekstschrijver, katholiek priester, aalmoezenier</v>
      </c>
      <c r="E320" s="13" t="s">
        <v>2411</v>
      </c>
    </row>
    <row r="321">
      <c r="A321" s="11" t="s">
        <v>2729</v>
      </c>
      <c r="B321" s="9" t="s">
        <v>1159</v>
      </c>
      <c r="C321" s="1" t="s">
        <v>2409</v>
      </c>
      <c r="D321" s="9" t="str">
        <f> VLOOKUP(B321,'Kopie van RawV3Q1'!F:G,2,false)
</f>
        <v>parochievicaris</v>
      </c>
      <c r="E321" s="13" t="s">
        <v>2411</v>
      </c>
    </row>
    <row r="322">
      <c r="A322" s="11" t="s">
        <v>2730</v>
      </c>
      <c r="B322" s="9" t="s">
        <v>1568</v>
      </c>
      <c r="C322" s="1" t="s">
        <v>2409</v>
      </c>
      <c r="D322" s="9" t="str">
        <f> VLOOKUP(B322,'Kopie van RawV3Q1'!F:G,2,false)
</f>
        <v>parochievicaris, priester</v>
      </c>
      <c r="E322" s="13" t="s">
        <v>2411</v>
      </c>
    </row>
    <row r="323">
      <c r="A323" s="11" t="s">
        <v>2731</v>
      </c>
      <c r="B323" s="9" t="s">
        <v>538</v>
      </c>
      <c r="C323" s="1" t="s">
        <v>2409</v>
      </c>
      <c r="D323" s="9" t="str">
        <f> VLOOKUP(B323,'Kopie van RawV3Q1'!F:G,2,false)
</f>
        <v>parochievicaris, historicus, katholiek priester, vicaris-generaal, kanunnik</v>
      </c>
      <c r="E323" s="13" t="s">
        <v>2411</v>
      </c>
    </row>
    <row r="324">
      <c r="A324" s="11" t="s">
        <v>2732</v>
      </c>
      <c r="B324" s="9" t="s">
        <v>690</v>
      </c>
      <c r="C324" s="1" t="s">
        <v>2409</v>
      </c>
      <c r="D324" s="9" t="str">
        <f> VLOOKUP(B324,'Kopie van RawV3Q1'!F:G,2,false)
</f>
        <v>parochievicaris, pastoor-deken, pastoor, katholiek priester, leerkracht</v>
      </c>
      <c r="E324" s="13" t="s">
        <v>2411</v>
      </c>
    </row>
    <row r="325">
      <c r="A325" s="11" t="s">
        <v>2733</v>
      </c>
      <c r="B325" s="9" t="s">
        <v>692</v>
      </c>
      <c r="C325" s="1" t="s">
        <v>2409</v>
      </c>
      <c r="D325" s="9" t="str">
        <f> VLOOKUP(B325,'Kopie van RawV3Q1'!F:G,2,false)
</f>
        <v>parochievicaris, pastoor, katholiek priester, leerkracht, aalmoezenier</v>
      </c>
      <c r="E325" s="13" t="s">
        <v>2411</v>
      </c>
    </row>
    <row r="326">
      <c r="A326" s="11" t="s">
        <v>2734</v>
      </c>
      <c r="B326" s="9" t="s">
        <v>798</v>
      </c>
      <c r="C326" s="1" t="s">
        <v>2409</v>
      </c>
      <c r="D326" s="9" t="str">
        <f> VLOOKUP(B326,'Kopie van RawV3Q1'!F:G,2,false)
</f>
        <v>parochievicaris, pastoor, katholiek priester, leerkracht</v>
      </c>
      <c r="E326" s="13" t="s">
        <v>2411</v>
      </c>
    </row>
    <row r="327">
      <c r="A327" s="11" t="s">
        <v>2735</v>
      </c>
      <c r="B327" s="9" t="s">
        <v>1719</v>
      </c>
      <c r="C327" s="1" t="s">
        <v>2409</v>
      </c>
      <c r="D327" s="9" t="str">
        <f> VLOOKUP(B327,'Kopie van RawV3Q1'!F:G,2,false)
</f>
        <v>parochievicaris, vicerector</v>
      </c>
      <c r="E327" s="13" t="s">
        <v>2411</v>
      </c>
    </row>
    <row r="328">
      <c r="A328" s="11" t="s">
        <v>2736</v>
      </c>
      <c r="B328" s="9" t="s">
        <v>1492</v>
      </c>
      <c r="C328" s="1" t="s">
        <v>2409</v>
      </c>
      <c r="D328" s="9" t="str">
        <f> VLOOKUP(B328,'Kopie van RawV3Q1'!F:G,2,false)
</f>
        <v>pastoor, rector, katholiek priester, leerkracht, parochievicaris, financieel beheerder</v>
      </c>
      <c r="E328" s="13" t="s">
        <v>2411</v>
      </c>
    </row>
    <row r="329">
      <c r="A329" s="11" t="s">
        <v>2737</v>
      </c>
      <c r="B329" s="9" t="s">
        <v>318</v>
      </c>
      <c r="C329" s="1" t="s">
        <v>2409</v>
      </c>
      <c r="D329" s="9" t="str">
        <f> VLOOKUP(B329,'Kopie van RawV3Q1'!F:G,2,false)
</f>
        <v>pastoor, katholiek priester, leerkracht, parochievicaris</v>
      </c>
      <c r="E329" s="13" t="s">
        <v>2411</v>
      </c>
    </row>
    <row r="330">
      <c r="A330" s="11" t="s">
        <v>2738</v>
      </c>
      <c r="B330" s="9" t="s">
        <v>1088</v>
      </c>
      <c r="C330" s="1" t="s">
        <v>2409</v>
      </c>
      <c r="D330" s="9" t="str">
        <f> VLOOKUP(B330,'Kopie van RawV3Q1'!F:G,2,false)
</f>
        <v>pastoor, katholiek priester, academisch docent, opvoeder, leerkracht</v>
      </c>
      <c r="E330" s="13" t="s">
        <v>2411</v>
      </c>
    </row>
    <row r="331">
      <c r="A331" s="11" t="s">
        <v>2739</v>
      </c>
      <c r="B331" s="9" t="s">
        <v>1471</v>
      </c>
      <c r="C331" s="1" t="s">
        <v>2409</v>
      </c>
      <c r="D331" s="9" t="str">
        <f> VLOOKUP(B331,'Kopie van RawV3Q1'!F:G,2,false)
</f>
        <v>pastoor, directeur, katholiek priester, leerkracht, aalmoezenier</v>
      </c>
      <c r="E331" s="13" t="s">
        <v>2411</v>
      </c>
    </row>
    <row r="332">
      <c r="A332" s="11" t="s">
        <v>2740</v>
      </c>
      <c r="B332" s="9" t="s">
        <v>1023</v>
      </c>
      <c r="C332" s="1" t="s">
        <v>2409</v>
      </c>
      <c r="D332" s="9" t="str">
        <f> VLOOKUP(B332,'Kopie van RawV3Q1'!F:G,2,false)
</f>
        <v>pastoor, katholiek priester, leerkracht, parochievicaris, componist</v>
      </c>
      <c r="E332" s="13" t="s">
        <v>2411</v>
      </c>
    </row>
    <row r="333">
      <c r="A333" s="11" t="s">
        <v>2741</v>
      </c>
      <c r="B333" s="9" t="s">
        <v>46</v>
      </c>
      <c r="C333" s="1" t="s">
        <v>2409</v>
      </c>
      <c r="D333" s="9" t="str">
        <f> VLOOKUP(B333,'Kopie van RawV3Q1'!F:G,2,false)
</f>
        <v>pastoor, leerkracht, schrijver, dichter, priester</v>
      </c>
      <c r="E333" s="13" t="s">
        <v>2411</v>
      </c>
    </row>
    <row r="334">
      <c r="A334" s="11" t="s">
        <v>2742</v>
      </c>
      <c r="B334" s="9" t="s">
        <v>1060</v>
      </c>
      <c r="C334" s="1" t="s">
        <v>2409</v>
      </c>
      <c r="D334" s="9" t="str">
        <f> VLOOKUP(B334,'Kopie van RawV3Q1'!F:G,2,false)
</f>
        <v>pastoor, leerkracht, parochievicaris, priester</v>
      </c>
      <c r="E334" s="13" t="s">
        <v>2411</v>
      </c>
    </row>
    <row r="335">
      <c r="A335" s="11" t="s">
        <v>2743</v>
      </c>
      <c r="B335" s="9" t="s">
        <v>668</v>
      </c>
      <c r="C335" s="1" t="s">
        <v>2409</v>
      </c>
      <c r="D335" s="9" t="str">
        <f> VLOOKUP(B335,'Kopie van RawV3Q1'!F:G,2,false)
</f>
        <v>pastoor, bestuurder, katholiek priester, leerkracht, aalmoezenier, parochievicaris</v>
      </c>
      <c r="E335" s="13" t="s">
        <v>2411</v>
      </c>
    </row>
    <row r="336">
      <c r="A336" s="11" t="s">
        <v>2744</v>
      </c>
      <c r="B336" s="9" t="s">
        <v>215</v>
      </c>
      <c r="C336" s="1" t="s">
        <v>2409</v>
      </c>
      <c r="D336" s="9" t="str">
        <f> VLOOKUP(B336,'Kopie van RawV3Q1'!F:G,2,false)
</f>
        <v>pastoor, katholiek bisschop, missionaris, katholiek priester, pater</v>
      </c>
      <c r="E336" s="13" t="s">
        <v>2411</v>
      </c>
    </row>
    <row r="337">
      <c r="A337" s="11" t="s">
        <v>2745</v>
      </c>
      <c r="B337" s="9" t="s">
        <v>544</v>
      </c>
      <c r="C337" s="1" t="s">
        <v>2409</v>
      </c>
      <c r="D337" s="9" t="str">
        <f> VLOOKUP(B337,'Kopie van RawV3Q1'!F:G,2,false)
</f>
        <v>pastoor, rooms-katholiek priester, parochievicaris</v>
      </c>
      <c r="E337" s="13" t="s">
        <v>2411</v>
      </c>
    </row>
    <row r="338">
      <c r="A338" s="11" t="s">
        <v>2746</v>
      </c>
      <c r="B338" s="9" t="s">
        <v>1619</v>
      </c>
      <c r="C338" s="1" t="s">
        <v>2409</v>
      </c>
      <c r="D338" s="9" t="str">
        <f> VLOOKUP(B338,'Kopie van RawV3Q1'!F:G,2,false)
</f>
        <v>pastoor, directeur, katholiek priester, leerkracht</v>
      </c>
      <c r="E338" s="13" t="s">
        <v>2411</v>
      </c>
    </row>
    <row r="339">
      <c r="A339" s="11" t="s">
        <v>2747</v>
      </c>
      <c r="B339" s="9" t="s">
        <v>1145</v>
      </c>
      <c r="C339" s="1" t="s">
        <v>2409</v>
      </c>
      <c r="D339" s="9" t="str">
        <f> VLOOKUP(B339,'Kopie van RawV3Q1'!F:G,2,false)
</f>
        <v>pastoor, rector, leerkracht, priester, geestelijk leidsman</v>
      </c>
      <c r="E339" s="13" t="s">
        <v>2411</v>
      </c>
    </row>
    <row r="340">
      <c r="A340" s="11" t="s">
        <v>2748</v>
      </c>
      <c r="B340" s="9" t="s">
        <v>624</v>
      </c>
      <c r="C340" s="1" t="s">
        <v>2409</v>
      </c>
      <c r="D340" s="9" t="str">
        <f> VLOOKUP(B340,'Kopie van RawV3Q1'!F:G,2,false)
</f>
        <v>pastoor, katholiek priester, uitgever, leerkracht, proost</v>
      </c>
      <c r="E340" s="13" t="s">
        <v>2411</v>
      </c>
    </row>
    <row r="341">
      <c r="A341" s="11" t="s">
        <v>2749</v>
      </c>
      <c r="B341" s="9" t="s">
        <v>873</v>
      </c>
      <c r="C341" s="1" t="s">
        <v>2409</v>
      </c>
      <c r="D341" s="9" t="str">
        <f> VLOOKUP(B341,'Kopie van RawV3Q1'!F:G,2,false)
</f>
        <v>pastoor, katholiek priester, leerkracht, parochievicaris</v>
      </c>
      <c r="E341" s="13" t="s">
        <v>2411</v>
      </c>
    </row>
    <row r="342">
      <c r="A342" s="11" t="s">
        <v>2750</v>
      </c>
      <c r="B342" s="9" t="s">
        <v>546</v>
      </c>
      <c r="C342" s="1" t="s">
        <v>2409</v>
      </c>
      <c r="D342" s="9" t="str">
        <f> VLOOKUP(B342,'Kopie van RawV3Q1'!F:G,2,false)
</f>
        <v>pastoor, katholiek priester, parochievicaris</v>
      </c>
      <c r="E342" s="13" t="s">
        <v>2411</v>
      </c>
    </row>
    <row r="343">
      <c r="A343" s="11" t="s">
        <v>2751</v>
      </c>
      <c r="B343" s="9" t="s">
        <v>1533</v>
      </c>
      <c r="C343" s="1" t="s">
        <v>2409</v>
      </c>
      <c r="D343" s="9" t="str">
        <f> VLOOKUP(B343,'Kopie van RawV3Q1'!F:G,2,false)
</f>
        <v>pastoor, rector, katholiek priester, directeur, leerkracht</v>
      </c>
      <c r="E343" s="13" t="s">
        <v>2411</v>
      </c>
    </row>
    <row r="344">
      <c r="A344" s="11" t="s">
        <v>2752</v>
      </c>
      <c r="B344" s="9" t="s">
        <v>1163</v>
      </c>
      <c r="C344" s="1" t="s">
        <v>2409</v>
      </c>
      <c r="D344" s="9" t="str">
        <f> VLOOKUP(B344,'Kopie van RawV3Q1'!F:G,2,false)
</f>
        <v>pastoor, katholiek priester, leerkracht, adjunct-directeur</v>
      </c>
      <c r="E344" s="13" t="s">
        <v>2411</v>
      </c>
    </row>
    <row r="345">
      <c r="A345" s="11" t="s">
        <v>2753</v>
      </c>
      <c r="B345" s="9" t="s">
        <v>620</v>
      </c>
      <c r="C345" s="1" t="s">
        <v>2409</v>
      </c>
      <c r="D345" s="9" t="str">
        <f> VLOOKUP(B345,'Kopie van RawV3Q1'!F:G,2,false)
</f>
        <v>pastoor, rector, katholiek priester, leerkracht</v>
      </c>
      <c r="E345" s="13" t="s">
        <v>2411</v>
      </c>
    </row>
    <row r="346">
      <c r="A346" s="11" t="s">
        <v>2754</v>
      </c>
      <c r="B346" s="9" t="s">
        <v>724</v>
      </c>
      <c r="C346" s="1" t="s">
        <v>2409</v>
      </c>
      <c r="D346" s="9" t="str">
        <f> VLOOKUP(B346,'Kopie van RawV3Q1'!F:G,2,false)
</f>
        <v>pastoor, rector, katholiek priester, leerkracht, parochievicaris</v>
      </c>
      <c r="E346" s="13" t="s">
        <v>2411</v>
      </c>
    </row>
    <row r="347">
      <c r="A347" s="11" t="s">
        <v>2755</v>
      </c>
      <c r="B347" s="9" t="s">
        <v>572</v>
      </c>
      <c r="C347" s="1" t="s">
        <v>2409</v>
      </c>
      <c r="D347" s="9" t="str">
        <f> VLOOKUP(B347,'Kopie van RawV3Q1'!F:G,2,false)
</f>
        <v>pastoor, hoofdredacteur, katholiek priester, leerkracht, parochievicaris</v>
      </c>
      <c r="E347" s="13" t="s">
        <v>2411</v>
      </c>
    </row>
    <row r="348">
      <c r="A348" s="11" t="s">
        <v>2756</v>
      </c>
      <c r="B348" s="9" t="s">
        <v>556</v>
      </c>
      <c r="C348" s="1" t="s">
        <v>2409</v>
      </c>
      <c r="D348" s="9" t="str">
        <f> VLOOKUP(B348,'Kopie van RawV3Q1'!F:G,2,false)
</f>
        <v>pastoor, katholiek priester, leerkracht</v>
      </c>
      <c r="E348" s="13" t="s">
        <v>2411</v>
      </c>
    </row>
    <row r="349">
      <c r="A349" s="11" t="s">
        <v>2757</v>
      </c>
      <c r="B349" s="9" t="s">
        <v>564</v>
      </c>
      <c r="C349" s="1" t="s">
        <v>2409</v>
      </c>
      <c r="D349" s="9" t="str">
        <f> VLOOKUP(B349,'Kopie van RawV3Q1'!F:G,2,false)
</f>
        <v>pastoor, katholiek priester, leerkracht, aalmoezenier</v>
      </c>
      <c r="E349" s="13" t="s">
        <v>2411</v>
      </c>
    </row>
    <row r="350">
      <c r="A350" s="11" t="s">
        <v>2758</v>
      </c>
      <c r="B350" s="9" t="s">
        <v>1094</v>
      </c>
      <c r="C350" s="1" t="s">
        <v>2409</v>
      </c>
      <c r="D350" s="9" t="str">
        <f> VLOOKUP(B350,'Kopie van RawV3Q1'!F:G,2,false)
</f>
        <v>pastoor, katholiek priester, leerkracht</v>
      </c>
      <c r="E350" s="13" t="s">
        <v>2411</v>
      </c>
    </row>
    <row r="351">
      <c r="A351" s="11" t="s">
        <v>2759</v>
      </c>
      <c r="B351" s="9" t="s">
        <v>670</v>
      </c>
      <c r="C351" s="1" t="s">
        <v>2409</v>
      </c>
      <c r="D351" s="9" t="str">
        <f> VLOOKUP(B351,'Kopie van RawV3Q1'!F:G,2,false)
</f>
        <v>pastoor, bestuurder, katholiek priester, leerkracht, parochievicaris</v>
      </c>
      <c r="E351" s="13" t="s">
        <v>2411</v>
      </c>
    </row>
    <row r="352">
      <c r="A352" s="11" t="s">
        <v>2760</v>
      </c>
      <c r="B352" s="9" t="s">
        <v>1488</v>
      </c>
      <c r="C352" s="1" t="s">
        <v>2409</v>
      </c>
      <c r="D352" s="9" t="str">
        <f> VLOOKUP(B352,'Kopie van RawV3Q1'!F:G,2,false)
</f>
        <v>pastoor, katholiek priester, aalmoezenier, parochievicaris</v>
      </c>
      <c r="E352" s="13" t="s">
        <v>2411</v>
      </c>
    </row>
    <row r="353">
      <c r="A353" s="11" t="s">
        <v>2761</v>
      </c>
      <c r="B353" s="9" t="s">
        <v>720</v>
      </c>
      <c r="C353" s="1" t="s">
        <v>2409</v>
      </c>
      <c r="D353" s="9" t="str">
        <f> VLOOKUP(B353,'Kopie van RawV3Q1'!F:G,2,false)
</f>
        <v>pastoor, rector, katholiek priester, leerkracht, kanunnik</v>
      </c>
      <c r="E353" s="13" t="s">
        <v>2411</v>
      </c>
    </row>
    <row r="354">
      <c r="A354" s="11" t="s">
        <v>2762</v>
      </c>
      <c r="B354" s="9" t="s">
        <v>1056</v>
      </c>
      <c r="C354" s="1" t="s">
        <v>2409</v>
      </c>
      <c r="D354" s="9" t="str">
        <f> VLOOKUP(B354,'Kopie van RawV3Q1'!F:G,2,false)
</f>
        <v>pastoor, katholiek priester, leerkracht, parochievicaris</v>
      </c>
      <c r="E354" s="13" t="s">
        <v>2411</v>
      </c>
    </row>
    <row r="355">
      <c r="A355" s="11" t="s">
        <v>2763</v>
      </c>
      <c r="B355" s="9" t="s">
        <v>1075</v>
      </c>
      <c r="C355" s="1" t="s">
        <v>2409</v>
      </c>
      <c r="D355" s="9" t="str">
        <f> VLOOKUP(B355,'Kopie van RawV3Q1'!F:G,2,false)
</f>
        <v>pastoor, rector, katholiek priester, leerkracht, aalmoezenier, pater, militair geestelijk verzorger</v>
      </c>
      <c r="E355" s="13" t="s">
        <v>2411</v>
      </c>
    </row>
    <row r="356">
      <c r="A356" s="11" t="s">
        <v>2764</v>
      </c>
      <c r="B356" s="9" t="s">
        <v>1129</v>
      </c>
      <c r="C356" s="1" t="s">
        <v>2409</v>
      </c>
      <c r="D356" s="9" t="str">
        <f> VLOOKUP(B356,'Kopie van RawV3Q1'!F:G,2,false)
</f>
        <v>pastoor, missionaris, katholiek priester, leerkracht, assistent</v>
      </c>
      <c r="E356" s="13" t="s">
        <v>2411</v>
      </c>
    </row>
    <row r="357">
      <c r="A357" s="11" t="s">
        <v>2765</v>
      </c>
      <c r="B357" s="9" t="s">
        <v>562</v>
      </c>
      <c r="C357" s="1" t="s">
        <v>2409</v>
      </c>
      <c r="D357" s="9" t="str">
        <f> VLOOKUP(B357,'Kopie van RawV3Q1'!F:G,2,false)
</f>
        <v>pastoor, katholiek priester, parochievicaris, leerkracht</v>
      </c>
      <c r="E357" s="13" t="s">
        <v>2411</v>
      </c>
    </row>
    <row r="358">
      <c r="A358" s="11" t="s">
        <v>2766</v>
      </c>
      <c r="B358" s="9" t="s">
        <v>158</v>
      </c>
      <c r="C358" s="1" t="s">
        <v>2409</v>
      </c>
      <c r="D358" s="9" t="str">
        <f> VLOOKUP(B358,'Kopie van RawV3Q1'!F:G,2,false)
</f>
        <v>pastoor, historicus, leerkracht, rector, katholiek priester, pastoor-deken, schrijver</v>
      </c>
      <c r="E358" s="12" t="s">
        <v>159</v>
      </c>
    </row>
    <row r="359">
      <c r="A359" s="11" t="s">
        <v>2767</v>
      </c>
      <c r="B359" s="9" t="s">
        <v>1605</v>
      </c>
      <c r="C359" s="1" t="s">
        <v>2409</v>
      </c>
      <c r="D359" s="9" t="str">
        <f> VLOOKUP(B359,'Kopie van RawV3Q1'!F:G,2,false)
</f>
        <v>pastoor, bestuurder, rector, katholiek priester, leerkracht, aalmoezenier</v>
      </c>
      <c r="E359" s="13" t="s">
        <v>2411</v>
      </c>
    </row>
    <row r="360">
      <c r="A360" s="11" t="s">
        <v>2768</v>
      </c>
      <c r="B360" s="9" t="s">
        <v>1373</v>
      </c>
      <c r="C360" s="1" t="s">
        <v>2409</v>
      </c>
      <c r="D360" s="9" t="str">
        <f> VLOOKUP(B360,'Kopie van RawV3Q1'!F:G,2,false)
</f>
        <v>pastoor, katholiek priester, leerkracht</v>
      </c>
      <c r="E360" s="13" t="s">
        <v>2411</v>
      </c>
    </row>
    <row r="361">
      <c r="A361" s="11" t="s">
        <v>2769</v>
      </c>
      <c r="B361" s="9" t="s">
        <v>1199</v>
      </c>
      <c r="C361" s="1" t="s">
        <v>2409</v>
      </c>
      <c r="D361" s="9" t="str">
        <f> VLOOKUP(B361,'Kopie van RawV3Q1'!F:G,2,false)
</f>
        <v>pastoor, katholiek priester, aalmoezenier, parochievicaris</v>
      </c>
      <c r="E361" s="13" t="s">
        <v>2411</v>
      </c>
    </row>
    <row r="362">
      <c r="A362" s="11" t="s">
        <v>2770</v>
      </c>
      <c r="B362" s="9" t="s">
        <v>1831</v>
      </c>
      <c r="C362" s="1" t="s">
        <v>2409</v>
      </c>
      <c r="D362" s="9" t="str">
        <f> VLOOKUP(B362,'Kopie van RawV3Q1'!F:G,2,false)
</f>
        <v>pastoor, directeur, katholiek priester, leerkracht, parochievicaris</v>
      </c>
      <c r="E362" s="13" t="s">
        <v>2411</v>
      </c>
    </row>
    <row r="363">
      <c r="A363" s="11" t="s">
        <v>2771</v>
      </c>
      <c r="B363" s="9" t="s">
        <v>446</v>
      </c>
      <c r="C363" s="1" t="s">
        <v>2409</v>
      </c>
      <c r="D363" s="9" t="str">
        <f> VLOOKUP(B363,'Kopie van RawV3Q1'!F:G,2,false)
</f>
        <v>pastoor, directeur, missionaris, katholiek priester, parochievicaris</v>
      </c>
      <c r="E363" s="13" t="s">
        <v>2411</v>
      </c>
    </row>
    <row r="364">
      <c r="A364" s="11" t="s">
        <v>2772</v>
      </c>
      <c r="B364" s="9" t="s">
        <v>835</v>
      </c>
      <c r="C364" s="1" t="s">
        <v>2409</v>
      </c>
      <c r="D364" s="9" t="str">
        <f> VLOOKUP(B364,'Kopie van RawV3Q1'!F:G,2,false)
</f>
        <v>pastoor, missionaris, katholiek priester, aalmoezenier, pater</v>
      </c>
      <c r="E364" s="13" t="s">
        <v>2411</v>
      </c>
    </row>
    <row r="365">
      <c r="A365" s="11" t="s">
        <v>2773</v>
      </c>
      <c r="B365" s="9" t="s">
        <v>501</v>
      </c>
      <c r="C365" s="1" t="s">
        <v>2409</v>
      </c>
      <c r="D365" s="9" t="str">
        <f> VLOOKUP(B365,'Kopie van RawV3Q1'!F:G,2,false)
</f>
        <v>pastoor, directeur, leerkracht, rooms-katholiek priester</v>
      </c>
      <c r="E365" s="13" t="s">
        <v>2411</v>
      </c>
    </row>
    <row r="366">
      <c r="A366" s="11" t="s">
        <v>2774</v>
      </c>
      <c r="B366" s="9" t="s">
        <v>672</v>
      </c>
      <c r="C366" s="1" t="s">
        <v>2409</v>
      </c>
      <c r="D366" s="9" t="str">
        <f> VLOOKUP(B366,'Kopie van RawV3Q1'!F:G,2,false)
</f>
        <v>pastoor, katholiek priester, leerkracht, parochievicaris</v>
      </c>
      <c r="E366" s="13" t="s">
        <v>2411</v>
      </c>
    </row>
    <row r="367">
      <c r="A367" s="11" t="s">
        <v>2775</v>
      </c>
      <c r="B367" s="9" t="s">
        <v>1501</v>
      </c>
      <c r="C367" s="1" t="s">
        <v>2409</v>
      </c>
      <c r="D367" s="9" t="str">
        <f> VLOOKUP(B367,'Kopie van RawV3Q1'!F:G,2,false)
</f>
        <v>pastoor, katholiek priester, leerkracht, parochievicaris</v>
      </c>
      <c r="E367" s="13" t="s">
        <v>2411</v>
      </c>
    </row>
    <row r="368">
      <c r="A368" s="11" t="s">
        <v>2776</v>
      </c>
      <c r="B368" s="9" t="s">
        <v>410</v>
      </c>
      <c r="C368" s="1" t="s">
        <v>2409</v>
      </c>
      <c r="D368" s="9" t="str">
        <f> VLOOKUP(B368,'Kopie van RawV3Q1'!F:G,2,false)
</f>
        <v>pastoor, directeur, leerkracht, rector, katholiek priester, schrijver, dichter</v>
      </c>
      <c r="E368" s="12" t="s">
        <v>411</v>
      </c>
    </row>
    <row r="369">
      <c r="A369" s="11" t="s">
        <v>2777</v>
      </c>
      <c r="B369" s="9" t="s">
        <v>1583</v>
      </c>
      <c r="C369" s="1" t="s">
        <v>2409</v>
      </c>
      <c r="D369" s="9" t="str">
        <f> VLOOKUP(B369,'Kopie van RawV3Q1'!F:G,2,false)
</f>
        <v>pastoor, katholiek priester, parochievicaris</v>
      </c>
      <c r="E369" s="13" t="s">
        <v>2411</v>
      </c>
    </row>
    <row r="370">
      <c r="A370" s="11" t="s">
        <v>2778</v>
      </c>
      <c r="B370" s="9" t="s">
        <v>417</v>
      </c>
      <c r="C370" s="1" t="s">
        <v>2409</v>
      </c>
      <c r="D370" s="9" t="str">
        <f> VLOOKUP(B370,'Kopie van RawV3Q1'!F:G,2,false)
</f>
        <v>pastoor, politicus, leerkracht, rector, taalkundige, pedagoog, schrijver, priester</v>
      </c>
      <c r="E370" s="12" t="s">
        <v>418</v>
      </c>
    </row>
    <row r="371">
      <c r="A371" s="11" t="s">
        <v>2779</v>
      </c>
      <c r="B371" s="9" t="s">
        <v>291</v>
      </c>
      <c r="C371" s="1" t="s">
        <v>2409</v>
      </c>
      <c r="D371" s="9" t="str">
        <f> VLOOKUP(B371,'Kopie van RawV3Q1'!F:G,2,false)
</f>
        <v>pastoor, leerkracht, aalmoezenier, schrijver, priester</v>
      </c>
      <c r="E371" s="13" t="s">
        <v>2411</v>
      </c>
    </row>
    <row r="372">
      <c r="A372" s="11" t="s">
        <v>2780</v>
      </c>
      <c r="B372" s="9" t="s">
        <v>72</v>
      </c>
      <c r="C372" s="1" t="s">
        <v>2409</v>
      </c>
      <c r="D372" s="9" t="str">
        <f> VLOOKUP(B372,'Kopie van RawV3Q1'!F:G,2,false)
</f>
        <v>pastoor, katholiek priester, academisch docent, deken, aalmoezenier, parochievicaris</v>
      </c>
      <c r="E372" s="13" t="s">
        <v>2411</v>
      </c>
    </row>
    <row r="373">
      <c r="A373" s="11" t="s">
        <v>2781</v>
      </c>
      <c r="B373" s="9" t="s">
        <v>1361</v>
      </c>
      <c r="C373" s="1" t="s">
        <v>2409</v>
      </c>
      <c r="D373" s="9" t="str">
        <f> VLOOKUP(B373,'Kopie van RawV3Q1'!F:G,2,false)
</f>
        <v>pastoor, missionaris, rector, katholiek priester, parochievicaris</v>
      </c>
      <c r="E373" s="13" t="s">
        <v>2411</v>
      </c>
    </row>
    <row r="374">
      <c r="A374" s="11" t="s">
        <v>2782</v>
      </c>
      <c r="B374" s="9" t="s">
        <v>558</v>
      </c>
      <c r="C374" s="1" t="s">
        <v>2409</v>
      </c>
      <c r="D374" s="9" t="str">
        <f> VLOOKUP(B374,'Kopie van RawV3Q1'!F:G,2,false)
</f>
        <v>pastoor, directeur, katholiek priester, leerkracht, adjunct-directeur</v>
      </c>
      <c r="E374" s="13" t="s">
        <v>2411</v>
      </c>
    </row>
    <row r="375">
      <c r="A375" s="11" t="s">
        <v>2783</v>
      </c>
      <c r="B375" s="9" t="s">
        <v>1096</v>
      </c>
      <c r="C375" s="1" t="s">
        <v>2409</v>
      </c>
      <c r="D375" s="9" t="str">
        <f> VLOOKUP(B375,'Kopie van RawV3Q1'!F:G,2,false)
</f>
        <v>pastoor, leerkracht, rooms-katholiek priester, parochievicaris</v>
      </c>
      <c r="E375" s="13" t="s">
        <v>2411</v>
      </c>
    </row>
    <row r="376">
      <c r="A376" s="11" t="s">
        <v>2784</v>
      </c>
      <c r="B376" s="9" t="s">
        <v>459</v>
      </c>
      <c r="C376" s="1" t="s">
        <v>2409</v>
      </c>
      <c r="D376" s="9" t="str">
        <f> VLOOKUP(B376,'Kopie van RawV3Q1'!F:G,2,false)
</f>
        <v>pastoor, Anglicaans priester, rentenier</v>
      </c>
      <c r="E376" s="13" t="s">
        <v>2411</v>
      </c>
    </row>
    <row r="377">
      <c r="A377" s="11" t="s">
        <v>2785</v>
      </c>
      <c r="B377" s="9" t="s">
        <v>1467</v>
      </c>
      <c r="C377" s="1" t="s">
        <v>2409</v>
      </c>
      <c r="D377" s="9" t="str">
        <f> VLOOKUP(B377,'Kopie van RawV3Q1'!F:G,2,false)
</f>
        <v>pastoor, rector, katholiek priester, leerkracht</v>
      </c>
      <c r="E377" s="13" t="s">
        <v>2411</v>
      </c>
    </row>
    <row r="378">
      <c r="A378" s="11" t="s">
        <v>2786</v>
      </c>
      <c r="B378" s="9" t="s">
        <v>314</v>
      </c>
      <c r="C378" s="1" t="s">
        <v>2409</v>
      </c>
      <c r="D378" s="9" t="str">
        <f> VLOOKUP(B378,'Kopie van RawV3Q1'!F:G,2,false)
</f>
        <v>pastoor, directeur, katholiek priester, parochievicaris</v>
      </c>
      <c r="E378" s="13" t="s">
        <v>2411</v>
      </c>
    </row>
    <row r="379">
      <c r="A379" s="11" t="s">
        <v>2787</v>
      </c>
      <c r="B379" s="9" t="s">
        <v>1058</v>
      </c>
      <c r="C379" s="1" t="s">
        <v>2409</v>
      </c>
      <c r="D379" s="9" t="str">
        <f> VLOOKUP(B379,'Kopie van RawV3Q1'!F:G,2,false)
</f>
        <v>pastoor, bestuurder, katholiek priester, leerkracht, parochievicaris</v>
      </c>
      <c r="E379" s="13" t="s">
        <v>2411</v>
      </c>
    </row>
    <row r="380">
      <c r="A380" s="11" t="s">
        <v>2788</v>
      </c>
      <c r="B380" s="9" t="s">
        <v>974</v>
      </c>
      <c r="C380" s="1" t="s">
        <v>2409</v>
      </c>
      <c r="D380" s="9" t="str">
        <f> VLOOKUP(B380,'Kopie van RawV3Q1'!F:G,2,false)
</f>
        <v>pastoor, politicus, historicus, leerkracht, studiemeester, parochievicaris, katholiek priester</v>
      </c>
      <c r="E380" s="12" t="s">
        <v>975</v>
      </c>
    </row>
    <row r="381">
      <c r="A381" s="11" t="s">
        <v>2789</v>
      </c>
      <c r="B381" s="9" t="s">
        <v>455</v>
      </c>
      <c r="C381" s="1" t="s">
        <v>2409</v>
      </c>
      <c r="D381" s="9" t="str">
        <f> VLOOKUP(B381,'Kopie van RawV3Q1'!F:G,2,false)
</f>
        <v>pastoor, directeur, katholiek priester, leerkracht, aalmoezenier, financieel beheerder</v>
      </c>
      <c r="E381" s="13" t="s">
        <v>2411</v>
      </c>
    </row>
    <row r="382">
      <c r="A382" s="11" t="s">
        <v>2790</v>
      </c>
      <c r="B382" s="9" t="s">
        <v>287</v>
      </c>
      <c r="C382" s="1" t="s">
        <v>2409</v>
      </c>
      <c r="D382" s="9" t="str">
        <f> VLOOKUP(B382,'Kopie van RawV3Q1'!F:G,2,false)
</f>
        <v>pastoor, bestuurder, katholiek priester, leerkracht, parochievicaris</v>
      </c>
      <c r="E382" s="13" t="s">
        <v>2411</v>
      </c>
    </row>
    <row r="383">
      <c r="A383" s="11" t="s">
        <v>2791</v>
      </c>
      <c r="B383" s="9" t="s">
        <v>612</v>
      </c>
      <c r="C383" s="1" t="s">
        <v>2409</v>
      </c>
      <c r="D383" s="9" t="str">
        <f> VLOOKUP(B383,'Kopie van RawV3Q1'!F:G,2,false)
</f>
        <v>pastoor, missionaris, katholiek priester, leerkracht, pater, schrijver</v>
      </c>
      <c r="E383" s="13" t="s">
        <v>2411</v>
      </c>
    </row>
    <row r="384">
      <c r="A384" s="11" t="s">
        <v>2792</v>
      </c>
      <c r="B384" s="9" t="s">
        <v>1054</v>
      </c>
      <c r="C384" s="1" t="s">
        <v>2409</v>
      </c>
      <c r="D384" s="9" t="str">
        <f> VLOOKUP(B384,'Kopie van RawV3Q1'!F:G,2,false)
</f>
        <v>pastoor, leerkracht, parochievicaris, priester</v>
      </c>
      <c r="E384" s="13" t="s">
        <v>2411</v>
      </c>
    </row>
    <row r="385">
      <c r="A385" s="11" t="s">
        <v>2793</v>
      </c>
      <c r="B385" s="9" t="s">
        <v>511</v>
      </c>
      <c r="C385" s="1" t="s">
        <v>2409</v>
      </c>
      <c r="D385" s="9" t="str">
        <f> VLOOKUP(B385,'Kopie van RawV3Q1'!F:G,2,false)
</f>
        <v>pastoor, rector, archeoloog, leerkracht, rooms-katholiek priester, parochievicaris</v>
      </c>
      <c r="E385" s="13" t="s">
        <v>2411</v>
      </c>
    </row>
    <row r="386">
      <c r="A386" s="11" t="s">
        <v>2794</v>
      </c>
      <c r="B386" s="9" t="s">
        <v>1141</v>
      </c>
      <c r="C386" s="1" t="s">
        <v>2409</v>
      </c>
      <c r="D386" s="9" t="str">
        <f> VLOOKUP(B386,'Kopie van RawV3Q1'!F:G,2,false)
</f>
        <v>pastoor, katholiek priester, leerkracht, parochievicaris</v>
      </c>
      <c r="E386" s="13" t="s">
        <v>2411</v>
      </c>
    </row>
    <row r="387">
      <c r="A387" s="11" t="s">
        <v>2795</v>
      </c>
      <c r="B387" s="9" t="s">
        <v>1167</v>
      </c>
      <c r="C387" s="1" t="s">
        <v>2409</v>
      </c>
      <c r="D387" s="9" t="str">
        <f> VLOOKUP(B387,'Kopie van RawV3Q1'!F:G,2,false)
</f>
        <v>pastoor, katholiek priester, leerkracht, parochievicaris</v>
      </c>
      <c r="E387" s="13" t="s">
        <v>2411</v>
      </c>
    </row>
    <row r="388">
      <c r="A388" s="11" t="s">
        <v>2796</v>
      </c>
      <c r="B388" s="9" t="s">
        <v>929</v>
      </c>
      <c r="C388" s="1" t="s">
        <v>2409</v>
      </c>
      <c r="D388" s="9" t="str">
        <f> VLOOKUP(B388,'Kopie van RawV3Q1'!F:G,2,false)
</f>
        <v>pastoor, katholiek priester, schrijver, leerkracht, parochievicaris</v>
      </c>
      <c r="E388" s="13" t="s">
        <v>2411</v>
      </c>
    </row>
    <row r="389">
      <c r="A389" s="11" t="s">
        <v>2797</v>
      </c>
      <c r="B389" s="9" t="s">
        <v>875</v>
      </c>
      <c r="C389" s="1" t="s">
        <v>2409</v>
      </c>
      <c r="D389" s="9" t="str">
        <f> VLOOKUP(B389,'Kopie van RawV3Q1'!F:G,2,false)
</f>
        <v>pastoor, katholiek priester, leerkracht, parochievicaris</v>
      </c>
      <c r="E389" s="13" t="s">
        <v>2411</v>
      </c>
    </row>
    <row r="390">
      <c r="A390" s="11" t="s">
        <v>2798</v>
      </c>
      <c r="B390" s="9" t="s">
        <v>1064</v>
      </c>
      <c r="C390" s="1" t="s">
        <v>2409</v>
      </c>
      <c r="D390" s="9" t="str">
        <f> VLOOKUP(B390,'Kopie van RawV3Q1'!F:G,2,false)
</f>
        <v>pastoor, directeur, katholiek priester, parochievicaris, proost, grondvoertuigbestuurder</v>
      </c>
      <c r="E390" s="13" t="s">
        <v>2411</v>
      </c>
    </row>
    <row r="391">
      <c r="A391" s="11" t="s">
        <v>2799</v>
      </c>
      <c r="B391" s="9" t="s">
        <v>732</v>
      </c>
      <c r="C391" s="1" t="s">
        <v>2409</v>
      </c>
      <c r="D391" s="9" t="str">
        <f> VLOOKUP(B391,'Kopie van RawV3Q1'!F:G,2,false)
</f>
        <v>pastoor, katholiek priester, kleermaker, leerkracht, kanunnik, parochievicaris</v>
      </c>
      <c r="E391" s="13" t="s">
        <v>2411</v>
      </c>
    </row>
    <row r="392">
      <c r="A392" s="11" t="s">
        <v>2800</v>
      </c>
      <c r="B392" s="9" t="s">
        <v>560</v>
      </c>
      <c r="C392" s="1" t="s">
        <v>2409</v>
      </c>
      <c r="D392" s="9" t="str">
        <f> VLOOKUP(B392,'Kopie van RawV3Q1'!F:G,2,false)
</f>
        <v>pastoor, katholiek priester, leerkracht, parochievicaris</v>
      </c>
      <c r="E392" s="13" t="s">
        <v>2411</v>
      </c>
    </row>
    <row r="393">
      <c r="A393" s="11" t="s">
        <v>2801</v>
      </c>
      <c r="B393" s="9" t="s">
        <v>1066</v>
      </c>
      <c r="C393" s="1" t="s">
        <v>2409</v>
      </c>
      <c r="D393" s="9" t="str">
        <f> VLOOKUP(B393,'Kopie van RawV3Q1'!F:G,2,false)
</f>
        <v>pastoor, katholiek priester, leerkracht, parochievicaris, inspecteur</v>
      </c>
      <c r="E393" s="13" t="s">
        <v>2411</v>
      </c>
    </row>
    <row r="394">
      <c r="A394" s="11" t="s">
        <v>2802</v>
      </c>
      <c r="B394" s="9" t="s">
        <v>844</v>
      </c>
      <c r="C394" s="1" t="s">
        <v>2409</v>
      </c>
      <c r="D394" s="9" t="str">
        <f> VLOOKUP(B394,'Kopie van RawV3Q1'!F:G,2,false)
</f>
        <v>pastoor, katholiek priester, leerkracht, parochievicaris</v>
      </c>
      <c r="E394" s="13" t="s">
        <v>2411</v>
      </c>
    </row>
    <row r="395">
      <c r="A395" s="11" t="s">
        <v>2803</v>
      </c>
      <c r="B395" s="9" t="s">
        <v>40</v>
      </c>
      <c r="C395" s="1" t="s">
        <v>2409</v>
      </c>
      <c r="D395" s="9" t="str">
        <f> VLOOKUP(B395,'Kopie van RawV3Q1'!F:G,2,false)
</f>
        <v>pastoor, katholiek priester, verzamelaar, leerkracht, heemkundige, parochievicaris</v>
      </c>
      <c r="E395" s="13" t="s">
        <v>2411</v>
      </c>
    </row>
    <row r="396">
      <c r="A396" s="11" t="s">
        <v>2804</v>
      </c>
      <c r="B396" s="9" t="s">
        <v>1480</v>
      </c>
      <c r="C396" s="1" t="s">
        <v>2409</v>
      </c>
      <c r="D396" s="9" t="str">
        <f> VLOOKUP(B396,'Kopie van RawV3Q1'!F:G,2,false)
</f>
        <v>pastoor, katholiek priester, parochievicaris</v>
      </c>
      <c r="E396" s="13" t="s">
        <v>2411</v>
      </c>
    </row>
    <row r="397">
      <c r="A397" s="11" t="s">
        <v>2805</v>
      </c>
      <c r="B397" s="9" t="s">
        <v>1220</v>
      </c>
      <c r="C397" s="1" t="s">
        <v>2409</v>
      </c>
      <c r="D397" s="9" t="str">
        <f> VLOOKUP(B397,'Kopie van RawV3Q1'!F:G,2,false)
</f>
        <v>pastoor, bestuurder, katholiek priester, leerkracht</v>
      </c>
      <c r="E397" s="13" t="s">
        <v>2411</v>
      </c>
    </row>
    <row r="398">
      <c r="A398" s="11" t="s">
        <v>2806</v>
      </c>
      <c r="B398" s="9" t="s">
        <v>662</v>
      </c>
      <c r="C398" s="1" t="s">
        <v>2409</v>
      </c>
      <c r="D398" s="9" t="str">
        <f> VLOOKUP(B398,'Kopie van RawV3Q1'!F:G,2,false)
</f>
        <v>pastoor, katholiek priester, parochievicaris</v>
      </c>
      <c r="E398" s="13" t="s">
        <v>2411</v>
      </c>
    </row>
    <row r="399">
      <c r="A399" s="11" t="s">
        <v>2807</v>
      </c>
      <c r="B399" s="9" t="s">
        <v>499</v>
      </c>
      <c r="C399" s="1" t="s">
        <v>2409</v>
      </c>
      <c r="D399" s="9" t="str">
        <f> VLOOKUP(B399,'Kopie van RawV3Q1'!F:G,2,false)
</f>
        <v>pastoor, missionaris, katholiek priester, aalmoezenier, parochievicaris</v>
      </c>
      <c r="E399" s="13" t="s">
        <v>2411</v>
      </c>
    </row>
    <row r="400">
      <c r="A400" s="11" t="s">
        <v>2808</v>
      </c>
      <c r="B400" s="9" t="s">
        <v>1123</v>
      </c>
      <c r="C400" s="1" t="s">
        <v>2409</v>
      </c>
      <c r="D400" s="9" t="str">
        <f> VLOOKUP(B400,'Kopie van RawV3Q1'!F:G,2,false)
</f>
        <v>pastoor, katholiek priester, parochievicaris, leerkracht</v>
      </c>
      <c r="E400" s="13" t="s">
        <v>2411</v>
      </c>
    </row>
    <row r="401">
      <c r="A401" s="11" t="s">
        <v>2809</v>
      </c>
      <c r="B401" s="9" t="s">
        <v>1553</v>
      </c>
      <c r="C401" s="1" t="s">
        <v>2409</v>
      </c>
      <c r="D401" s="9" t="str">
        <f> VLOOKUP(B401,'Kopie van RawV3Q1'!F:G,2,false)
</f>
        <v>pastoor, directeur, katholiek priester, secretaris, vicaris-generaal, leerkracht, kanunnik, parochievicaris</v>
      </c>
      <c r="E401" s="13" t="s">
        <v>2411</v>
      </c>
    </row>
    <row r="402">
      <c r="A402" s="11" t="s">
        <v>2810</v>
      </c>
      <c r="B402" s="9" t="s">
        <v>1519</v>
      </c>
      <c r="C402" s="1" t="s">
        <v>2409</v>
      </c>
      <c r="D402" s="9" t="str">
        <f> VLOOKUP(B402,'Kopie van RawV3Q1'!F:G,2,false)
</f>
        <v>pastoor, rector, katholiek priester, leerkracht, dichter</v>
      </c>
      <c r="E402" s="13" t="s">
        <v>2411</v>
      </c>
    </row>
    <row r="403">
      <c r="A403" s="11" t="s">
        <v>2811</v>
      </c>
      <c r="B403" s="9" t="s">
        <v>1517</v>
      </c>
      <c r="C403" s="1" t="s">
        <v>2409</v>
      </c>
      <c r="D403" s="9" t="str">
        <f> VLOOKUP(B403,'Kopie van RawV3Q1'!F:G,2,false)
</f>
        <v>pastoor, directeur, katholiek priester, deken, leerkracht, schrijver</v>
      </c>
      <c r="E403" s="13" t="s">
        <v>2411</v>
      </c>
    </row>
    <row r="404">
      <c r="A404" s="11" t="s">
        <v>2812</v>
      </c>
      <c r="B404" s="9" t="s">
        <v>1135</v>
      </c>
      <c r="C404" s="1" t="s">
        <v>2409</v>
      </c>
      <c r="D404" s="9" t="str">
        <f> VLOOKUP(B404,'Kopie van RawV3Q1'!F:G,2,false)
</f>
        <v>pastoor, rector, katholiek priester, leerkracht</v>
      </c>
      <c r="E404" s="13" t="s">
        <v>2411</v>
      </c>
    </row>
    <row r="405">
      <c r="A405" s="11" t="s">
        <v>2813</v>
      </c>
      <c r="B405" s="9" t="s">
        <v>1499</v>
      </c>
      <c r="C405" s="1" t="s">
        <v>2409</v>
      </c>
      <c r="D405" s="9" t="str">
        <f> VLOOKUP(B405,'Kopie van RawV3Q1'!F:G,2,false)
</f>
        <v>pastoor, katholiek priester, leerkracht, parochievicaris, schrijver</v>
      </c>
      <c r="E405" s="13" t="s">
        <v>2411</v>
      </c>
    </row>
    <row r="406">
      <c r="A406" s="11" t="s">
        <v>2814</v>
      </c>
      <c r="B406" s="9" t="s">
        <v>694</v>
      </c>
      <c r="C406" s="1" t="s">
        <v>2409</v>
      </c>
      <c r="D406" s="9" t="str">
        <f> VLOOKUP(B406,'Kopie van RawV3Q1'!F:G,2,false)
</f>
        <v>pastoor, leerkracht, rooms-katholiek priester, parochievicaris</v>
      </c>
      <c r="E406" s="13" t="s">
        <v>2411</v>
      </c>
    </row>
    <row r="407">
      <c r="A407" s="11" t="s">
        <v>2815</v>
      </c>
      <c r="B407" s="9" t="s">
        <v>1503</v>
      </c>
      <c r="C407" s="1" t="s">
        <v>2409</v>
      </c>
      <c r="D407" s="9" t="str">
        <f> VLOOKUP(B407,'Kopie van RawV3Q1'!F:G,2,false)
</f>
        <v>pastoor, katholiek priester, leerkracht, parochievicaris, geestelijk leidsman</v>
      </c>
      <c r="E407" s="13" t="s">
        <v>2411</v>
      </c>
    </row>
    <row r="408">
      <c r="A408" s="11" t="s">
        <v>2816</v>
      </c>
      <c r="B408" s="9" t="s">
        <v>658</v>
      </c>
      <c r="C408" s="1" t="s">
        <v>2409</v>
      </c>
      <c r="D408" s="9" t="str">
        <f> VLOOKUP(B408,'Kopie van RawV3Q1'!F:G,2,false)
</f>
        <v>pastoor-deken, pastoor, rector, katholiek priester, deken, leerkracht</v>
      </c>
      <c r="E408" s="13" t="s">
        <v>2411</v>
      </c>
    </row>
    <row r="409">
      <c r="A409" s="11" t="s">
        <v>2817</v>
      </c>
      <c r="B409" s="9" t="s">
        <v>1143</v>
      </c>
      <c r="C409" s="1" t="s">
        <v>2409</v>
      </c>
      <c r="D409" s="9" t="str">
        <f> VLOOKUP(B409,'Kopie van RawV3Q1'!F:G,2,false)
</f>
        <v>pastoor-deken, missionaris, deken, leerkracht, kanunnik, priester</v>
      </c>
      <c r="E409" s="13" t="s">
        <v>2411</v>
      </c>
    </row>
    <row r="410">
      <c r="A410" s="11" t="s">
        <v>2818</v>
      </c>
      <c r="B410" s="9" t="s">
        <v>1353</v>
      </c>
      <c r="C410" s="1" t="s">
        <v>2409</v>
      </c>
      <c r="D410" s="9" t="str">
        <f> VLOOKUP(B410,'Kopie van RawV3Q1'!F:G,2,false)
</f>
        <v>pastoor-deken, pastoor, directeur, katholiek priester, leerkracht</v>
      </c>
      <c r="E410" s="13" t="s">
        <v>2411</v>
      </c>
    </row>
    <row r="411">
      <c r="A411" s="11" t="s">
        <v>2819</v>
      </c>
      <c r="B411" s="9" t="s">
        <v>1209</v>
      </c>
      <c r="C411" s="1" t="s">
        <v>2409</v>
      </c>
      <c r="D411" s="9" t="str">
        <f> VLOOKUP(B411,'Kopie van RawV3Q1'!F:G,2,false)
</f>
        <v>pastoor-deken, pastoor, katholiek priester</v>
      </c>
      <c r="E411" s="13" t="s">
        <v>2411</v>
      </c>
    </row>
    <row r="412">
      <c r="A412" s="11" t="s">
        <v>2820</v>
      </c>
      <c r="B412" s="9" t="s">
        <v>1149</v>
      </c>
      <c r="C412" s="1" t="s">
        <v>2409</v>
      </c>
      <c r="D412" s="9" t="str">
        <f> VLOOKUP(B412,'Kopie van RawV3Q1'!F:G,2,false)
</f>
        <v>pastoor-deken, pastoor, historicus, katholiek priester, leerkracht, biograaf, schoolopziener, schrijver</v>
      </c>
      <c r="E412" s="13" t="s">
        <v>2411</v>
      </c>
    </row>
    <row r="413">
      <c r="A413" s="11" t="s">
        <v>2821</v>
      </c>
      <c r="B413" s="9" t="s">
        <v>633</v>
      </c>
      <c r="C413" s="1" t="s">
        <v>2409</v>
      </c>
      <c r="D413" s="9" t="str">
        <f> VLOOKUP(B413,'Kopie van RawV3Q1'!F:G,2,false)
</f>
        <v>pastoor-deken, katholiek priester, academisch docent, overste</v>
      </c>
      <c r="E413" s="13" t="s">
        <v>2411</v>
      </c>
    </row>
    <row r="414">
      <c r="A414" s="11" t="s">
        <v>2822</v>
      </c>
      <c r="B414" s="9" t="s">
        <v>467</v>
      </c>
      <c r="C414" s="1" t="s">
        <v>2409</v>
      </c>
      <c r="D414" s="9" t="str">
        <f> VLOOKUP(B414,'Kopie van RawV3Q1'!F:G,2,false)
</f>
        <v>pastoor-deken, pastoor, katholiek priester, kapelaan, parochievicaris, dichter</v>
      </c>
      <c r="E414" s="13" t="s">
        <v>2411</v>
      </c>
    </row>
    <row r="415">
      <c r="A415" s="11" t="s">
        <v>2823</v>
      </c>
      <c r="B415" s="9" t="s">
        <v>1175</v>
      </c>
      <c r="C415" s="1" t="s">
        <v>2409</v>
      </c>
      <c r="D415" s="9" t="str">
        <f> VLOOKUP(B415,'Kopie van RawV3Q1'!F:G,2,false)
</f>
        <v>pater</v>
      </c>
      <c r="E415" s="13" t="s">
        <v>2411</v>
      </c>
    </row>
    <row r="416">
      <c r="A416" s="11" t="s">
        <v>2824</v>
      </c>
      <c r="B416" s="9" t="s">
        <v>1294</v>
      </c>
      <c r="C416" s="1" t="s">
        <v>2409</v>
      </c>
      <c r="D416" s="9" t="str">
        <f> VLOOKUP(B416,'Kopie van RawV3Q1'!F:G,2,false)
</f>
        <v>pater</v>
      </c>
      <c r="E416" s="13" t="s">
        <v>2411</v>
      </c>
    </row>
    <row r="417">
      <c r="A417" s="11" t="s">
        <v>2825</v>
      </c>
      <c r="B417" s="9" t="s">
        <v>898</v>
      </c>
      <c r="C417" s="1" t="s">
        <v>2409</v>
      </c>
      <c r="D417" s="9" t="str">
        <f> VLOOKUP(B417,'Kopie van RawV3Q1'!F:G,2,false)
</f>
        <v>pater, priester, pastoor, academisch docent, theoloog, parochievicaris, definitor</v>
      </c>
      <c r="E417" s="13" t="s">
        <v>2411</v>
      </c>
    </row>
    <row r="418">
      <c r="A418" s="11" t="s">
        <v>2826</v>
      </c>
      <c r="B418" s="9" t="s">
        <v>1551</v>
      </c>
      <c r="C418" s="1" t="s">
        <v>2409</v>
      </c>
      <c r="D418" s="9" t="str">
        <f> VLOOKUP(B418,'Kopie van RawV3Q1'!F:G,2,false)
</f>
        <v>pater, katholiek priester, leerkracht</v>
      </c>
      <c r="E418" s="13" t="s">
        <v>2411</v>
      </c>
    </row>
    <row r="419">
      <c r="A419" s="11" t="s">
        <v>2827</v>
      </c>
      <c r="B419" s="9" t="s">
        <v>1717</v>
      </c>
      <c r="C419" s="1" t="s">
        <v>2409</v>
      </c>
      <c r="D419" s="9" t="str">
        <f> VLOOKUP(B419,'Kopie van RawV3Q1'!F:G,2,false)
</f>
        <v>pater, schrijver, componist</v>
      </c>
      <c r="E419" s="13" t="s">
        <v>2411</v>
      </c>
    </row>
    <row r="420">
      <c r="A420" s="11" t="s">
        <v>2828</v>
      </c>
      <c r="B420" s="9" t="s">
        <v>1351</v>
      </c>
      <c r="C420" s="1" t="s">
        <v>2409</v>
      </c>
      <c r="D420" s="9" t="str">
        <f> VLOOKUP(B420,'Kopie van RawV3Q1'!F:G,2,false)
</f>
        <v>pater, priester</v>
      </c>
      <c r="E420" s="13" t="s">
        <v>2411</v>
      </c>
    </row>
    <row r="421">
      <c r="A421" s="11" t="s">
        <v>2829</v>
      </c>
      <c r="B421" s="9" t="s">
        <v>752</v>
      </c>
      <c r="C421" s="1" t="s">
        <v>2409</v>
      </c>
      <c r="D421" s="9" t="str">
        <f> VLOOKUP(B421,'Kopie van RawV3Q1'!F:G,2,false)
</f>
        <v>pater, onderwijzer, priester</v>
      </c>
      <c r="E421" s="13" t="s">
        <v>2411</v>
      </c>
    </row>
    <row r="422">
      <c r="A422" s="11" t="s">
        <v>2830</v>
      </c>
      <c r="B422" s="9" t="s">
        <v>860</v>
      </c>
      <c r="C422" s="1" t="s">
        <v>2409</v>
      </c>
      <c r="D422" s="9" t="str">
        <f> VLOOKUP(B422,'Kopie van RawV3Q1'!F:G,2,false)
</f>
        <v>pianist</v>
      </c>
      <c r="E422" s="13" t="s">
        <v>2411</v>
      </c>
    </row>
    <row r="423">
      <c r="A423" s="11" t="s">
        <v>2831</v>
      </c>
      <c r="B423" s="9" t="s">
        <v>921</v>
      </c>
      <c r="C423" s="1" t="s">
        <v>2409</v>
      </c>
      <c r="D423" s="9" t="str">
        <f> VLOOKUP(B423,'Kopie van RawV3Q1'!F:G,2,false)
</f>
        <v>politicus, redacteur, advocaat</v>
      </c>
      <c r="E423" s="13" t="s">
        <v>2411</v>
      </c>
    </row>
    <row r="424">
      <c r="A424" s="11" t="s">
        <v>2832</v>
      </c>
      <c r="B424" s="9" t="s">
        <v>1809</v>
      </c>
      <c r="C424" s="1" t="s">
        <v>2409</v>
      </c>
      <c r="D424" s="9" t="str">
        <f> VLOOKUP(B424,'Kopie van RawV3Q1'!F:G,2,false)
</f>
        <v>politicus, advocaat</v>
      </c>
      <c r="E424" s="12" t="s">
        <v>1810</v>
      </c>
    </row>
    <row r="425">
      <c r="A425" s="11" t="s">
        <v>2833</v>
      </c>
      <c r="B425" s="9" t="s">
        <v>946</v>
      </c>
      <c r="C425" s="1" t="s">
        <v>2409</v>
      </c>
      <c r="D425" s="9" t="str">
        <f> VLOOKUP(B425,'Kopie van RawV3Q1'!F:G,2,false)
</f>
        <v>politicus, leerkracht, parochievicaris, dichter, componist, priester</v>
      </c>
      <c r="E425" s="13" t="s">
        <v>2411</v>
      </c>
    </row>
    <row r="426">
      <c r="A426" s="11" t="s">
        <v>2834</v>
      </c>
      <c r="B426" s="9" t="s">
        <v>993</v>
      </c>
      <c r="C426" s="1" t="s">
        <v>2409</v>
      </c>
      <c r="D426" s="9" t="str">
        <f> VLOOKUP(B426,'Kopie van RawV3Q1'!F:G,2,false)
</f>
        <v>politicus, auteur, industrieel, dichter, militair</v>
      </c>
      <c r="E426" s="12" t="s">
        <v>994</v>
      </c>
    </row>
    <row r="427">
      <c r="A427" s="11" t="s">
        <v>2835</v>
      </c>
      <c r="B427" s="9" t="s">
        <v>923</v>
      </c>
      <c r="C427" s="1" t="s">
        <v>2409</v>
      </c>
      <c r="D427" s="9" t="str">
        <f> VLOOKUP(B427,'Kopie van RawV3Q1'!F:G,2,false)
</f>
        <v>politicus, boekhandelaar, schrijver, uitgever, drukker</v>
      </c>
      <c r="E427" s="12" t="s">
        <v>924</v>
      </c>
    </row>
    <row r="428">
      <c r="A428" s="11" t="s">
        <v>2836</v>
      </c>
      <c r="B428" s="9" t="s">
        <v>1365</v>
      </c>
      <c r="C428" s="1" t="s">
        <v>2409</v>
      </c>
      <c r="D428" s="9" t="str">
        <f> VLOOKUP(B428,'Kopie van RawV3Q1'!F:G,2,false)
</f>
        <v>politicus, notaris</v>
      </c>
      <c r="E428" s="13" t="s">
        <v>2411</v>
      </c>
    </row>
    <row r="429">
      <c r="A429" s="11" t="s">
        <v>2837</v>
      </c>
      <c r="B429" s="9" t="s">
        <v>427</v>
      </c>
      <c r="C429" s="1" t="s">
        <v>2409</v>
      </c>
      <c r="D429" s="9" t="str">
        <f> VLOOKUP(B429,'Kopie van RawV3Q1'!F:G,2,false)
</f>
        <v>politicus, hoofdredacteur, journalist, uitgever, schrijver</v>
      </c>
      <c r="E429" s="13" t="s">
        <v>2411</v>
      </c>
    </row>
    <row r="430">
      <c r="A430" s="11" t="s">
        <v>2838</v>
      </c>
      <c r="B430" s="9" t="s">
        <v>1781</v>
      </c>
      <c r="C430" s="1" t="s">
        <v>2409</v>
      </c>
      <c r="D430" s="9" t="str">
        <f> VLOOKUP(B430,'Kopie van RawV3Q1'!F:G,2,false)
</f>
        <v>politicus, boomkweker, advocaat</v>
      </c>
      <c r="E430" s="12" t="s">
        <v>1782</v>
      </c>
    </row>
    <row r="431">
      <c r="A431" s="11" t="s">
        <v>2839</v>
      </c>
      <c r="B431" s="9" t="s">
        <v>944</v>
      </c>
      <c r="C431" s="1" t="s">
        <v>2409</v>
      </c>
      <c r="D431" s="9" t="str">
        <f> VLOOKUP(B431,'Kopie van RawV3Q1'!F:G,2,false)
</f>
        <v>politicus, archivaris, uitgever</v>
      </c>
      <c r="E431" s="13" t="s">
        <v>2411</v>
      </c>
    </row>
    <row r="432">
      <c r="A432" s="11" t="s">
        <v>2840</v>
      </c>
      <c r="B432" s="9" t="s">
        <v>879</v>
      </c>
      <c r="C432" s="1" t="s">
        <v>2409</v>
      </c>
      <c r="D432" s="9" t="str">
        <f> VLOOKUP(B432,'Kopie van RawV3Q1'!F:G,2,false)
</f>
        <v>politicus, handelaar</v>
      </c>
      <c r="E432" s="13" t="s">
        <v>2411</v>
      </c>
    </row>
    <row r="433">
      <c r="A433" s="11" t="s">
        <v>2841</v>
      </c>
      <c r="B433" s="9" t="s">
        <v>1413</v>
      </c>
      <c r="C433" s="1" t="s">
        <v>2409</v>
      </c>
      <c r="D433" s="9" t="str">
        <f> VLOOKUP(B433,'Kopie van RawV3Q1'!F:G,2,false)
</f>
        <v>politicus, literatuurcriticus, schrijver, redacteur, academisch docent, letterkundige, kunsthistoricus</v>
      </c>
      <c r="E433" s="12" t="s">
        <v>1414</v>
      </c>
    </row>
    <row r="434">
      <c r="A434" s="11" t="s">
        <v>2842</v>
      </c>
      <c r="B434" s="9" t="s">
        <v>941</v>
      </c>
      <c r="C434" s="1" t="s">
        <v>2409</v>
      </c>
      <c r="D434" s="9" t="str">
        <f> VLOOKUP(B434,'Kopie van RawV3Q1'!F:G,2,false)
</f>
        <v>politicus, advocaat</v>
      </c>
      <c r="E434" s="12" t="s">
        <v>942</v>
      </c>
    </row>
    <row r="435">
      <c r="A435" s="11" t="s">
        <v>2843</v>
      </c>
      <c r="B435" s="9" t="s">
        <v>1812</v>
      </c>
      <c r="C435" s="1" t="s">
        <v>2409</v>
      </c>
      <c r="D435" s="9" t="str">
        <f> VLOOKUP(B435,'Kopie van RawV3Q1'!F:G,2,false)
</f>
        <v>politicus, advocaat, gewoon hoogleraar, buitengewoon hoogleraar</v>
      </c>
      <c r="E435" s="12" t="s">
        <v>1813</v>
      </c>
    </row>
    <row r="436">
      <c r="A436" s="11" t="s">
        <v>2844</v>
      </c>
      <c r="B436" s="9" t="s">
        <v>1465</v>
      </c>
      <c r="C436" s="1" t="s">
        <v>2409</v>
      </c>
      <c r="D436" s="9" t="str">
        <f> VLOOKUP(B436,'Kopie van RawV3Q1'!F:G,2,false)
</f>
        <v>politicus, jurist, historicus</v>
      </c>
      <c r="E436" s="13" t="s">
        <v>2411</v>
      </c>
    </row>
    <row r="437">
      <c r="A437" s="11" t="s">
        <v>2845</v>
      </c>
      <c r="B437" s="9" t="s">
        <v>131</v>
      </c>
      <c r="C437" s="1" t="s">
        <v>2409</v>
      </c>
      <c r="D437" s="9" t="str">
        <f> VLOOKUP(B437,'Kopie van RawV3Q1'!F:G,2,false)
</f>
        <v>politicus</v>
      </c>
      <c r="E437" s="12" t="s">
        <v>132</v>
      </c>
    </row>
    <row r="438">
      <c r="A438" s="11" t="s">
        <v>2846</v>
      </c>
      <c r="B438" s="9" t="s">
        <v>1197</v>
      </c>
      <c r="C438" s="1" t="s">
        <v>2409</v>
      </c>
      <c r="D438" s="9" t="str">
        <f> VLOOKUP(B438,'Kopie van RawV3Q1'!F:G,2,false)
</f>
        <v>politicus, handelaar</v>
      </c>
      <c r="E438" s="13" t="s">
        <v>2411</v>
      </c>
    </row>
    <row r="439">
      <c r="A439" s="11" t="s">
        <v>2847</v>
      </c>
      <c r="B439" s="9" t="s">
        <v>107</v>
      </c>
      <c r="C439" s="1" t="s">
        <v>2409</v>
      </c>
      <c r="D439" s="9" t="str">
        <f> VLOOKUP(B439,'Kopie van RawV3Q1'!F:G,2,false)
</f>
        <v>politicus, bibliothecaris, leerkracht, vertaler, archivaris, boekhouder, journalist, schrijver</v>
      </c>
      <c r="E439" s="12" t="s">
        <v>108</v>
      </c>
    </row>
    <row r="440">
      <c r="A440" s="11" t="s">
        <v>2848</v>
      </c>
      <c r="B440" s="9" t="s">
        <v>34</v>
      </c>
      <c r="C440" s="1" t="s">
        <v>2409</v>
      </c>
      <c r="D440" s="9" t="str">
        <f> VLOOKUP(B440,'Kopie van RawV3Q1'!F:G,2,false)
</f>
        <v>politicus, vertaler, advocaat, dichter</v>
      </c>
      <c r="E440" s="13" t="s">
        <v>2411</v>
      </c>
    </row>
    <row r="441">
      <c r="A441" s="11" t="s">
        <v>2849</v>
      </c>
      <c r="B441" s="9" t="s">
        <v>958</v>
      </c>
      <c r="C441" s="1" t="s">
        <v>2409</v>
      </c>
      <c r="D441" s="9" t="str">
        <f> VLOOKUP(B441,'Kopie van RawV3Q1'!F:G,2,false)
</f>
        <v>politicus, vertaler, chirurg, arts</v>
      </c>
      <c r="E441" s="12" t="s">
        <v>959</v>
      </c>
    </row>
    <row r="442">
      <c r="A442" s="11" t="s">
        <v>2850</v>
      </c>
      <c r="B442" s="9" t="s">
        <v>931</v>
      </c>
      <c r="C442" s="1" t="s">
        <v>2409</v>
      </c>
      <c r="D442" s="9" t="str">
        <f> VLOOKUP(B442,'Kopie van RawV3Q1'!F:G,2,false)
</f>
        <v>politicus, advocaat</v>
      </c>
      <c r="E442" s="13" t="s">
        <v>2411</v>
      </c>
    </row>
    <row r="443">
      <c r="A443" s="11" t="s">
        <v>2851</v>
      </c>
      <c r="B443" s="9" t="s">
        <v>1486</v>
      </c>
      <c r="C443" s="1" t="s">
        <v>2409</v>
      </c>
      <c r="D443" s="9" t="str">
        <f> VLOOKUP(B443,'Kopie van RawV3Q1'!F:G,2,false)
</f>
        <v>politicus, legerarts, arts</v>
      </c>
      <c r="E443" s="13" t="s">
        <v>2411</v>
      </c>
    </row>
    <row r="444">
      <c r="A444" s="11" t="s">
        <v>2852</v>
      </c>
      <c r="B444" s="9" t="s">
        <v>179</v>
      </c>
      <c r="C444" s="1" t="s">
        <v>2409</v>
      </c>
      <c r="D444" s="9" t="str">
        <f> VLOOKUP(B444,'Kopie van RawV3Q1'!F:G,2,false)
</f>
        <v>politicus, arts</v>
      </c>
      <c r="E444" s="13" t="s">
        <v>2411</v>
      </c>
    </row>
    <row r="445">
      <c r="A445" s="11" t="s">
        <v>2853</v>
      </c>
      <c r="B445" s="9" t="s">
        <v>404</v>
      </c>
      <c r="C445" s="1" t="s">
        <v>2409</v>
      </c>
      <c r="D445" s="9" t="str">
        <f> VLOOKUP(B445,'Kopie van RawV3Q1'!F:G,2,false)
</f>
        <v>politicus, bibliothecaris, vertaler, hoofdredacteur, journalist, taalkundige, schrijver, dichter</v>
      </c>
      <c r="E445" s="13" t="s">
        <v>2411</v>
      </c>
    </row>
    <row r="446">
      <c r="A446" s="11" t="s">
        <v>2854</v>
      </c>
      <c r="B446" s="9" t="s">
        <v>1105</v>
      </c>
      <c r="C446" s="1" t="s">
        <v>2409</v>
      </c>
      <c r="D446" s="9" t="str">
        <f> VLOOKUP(B446,'Kopie van RawV3Q1'!F:G,2,false)
</f>
        <v>politicus, arts</v>
      </c>
      <c r="E446" s="13" t="s">
        <v>2411</v>
      </c>
    </row>
    <row r="447">
      <c r="A447" s="11" t="s">
        <v>2855</v>
      </c>
      <c r="B447" s="9" t="s">
        <v>748</v>
      </c>
      <c r="C447" s="1" t="s">
        <v>2409</v>
      </c>
      <c r="D447" s="9" t="str">
        <f> VLOOKUP(B447,'Kopie van RawV3Q1'!F:G,2,false)
</f>
        <v>politicus, uitgever, boekhandelaar, letterkundige</v>
      </c>
      <c r="E447" s="13" t="s">
        <v>2411</v>
      </c>
    </row>
    <row r="448">
      <c r="A448" s="11" t="s">
        <v>2856</v>
      </c>
      <c r="B448" s="9" t="s">
        <v>11</v>
      </c>
      <c r="C448" s="1" t="s">
        <v>2409</v>
      </c>
      <c r="D448" s="9" t="str">
        <f> VLOOKUP(B448,'Kopie van RawV3Q1'!F:G,2,false)
</f>
        <v>politicus, schrijver, dichter, militair</v>
      </c>
      <c r="E448" s="12" t="s">
        <v>14</v>
      </c>
    </row>
    <row r="449">
      <c r="A449" s="11" t="s">
        <v>2857</v>
      </c>
      <c r="B449" s="9" t="s">
        <v>979</v>
      </c>
      <c r="C449" s="1" t="s">
        <v>2409</v>
      </c>
      <c r="D449" s="9" t="str">
        <f> VLOOKUP(B449,'Kopie van RawV3Q1'!F:G,2,false)
</f>
        <v>politicus</v>
      </c>
      <c r="E449" s="13" t="s">
        <v>2411</v>
      </c>
    </row>
    <row r="450">
      <c r="A450" s="11" t="s">
        <v>2858</v>
      </c>
      <c r="B450" s="9" t="s">
        <v>1679</v>
      </c>
      <c r="C450" s="1" t="s">
        <v>2409</v>
      </c>
      <c r="D450" s="9" t="str">
        <f> VLOOKUP(B450,'Kopie van RawV3Q1'!F:G,2,false)
</f>
        <v>politicus, tandarts, schrijver</v>
      </c>
      <c r="E450" s="13" t="s">
        <v>2411</v>
      </c>
    </row>
    <row r="451">
      <c r="A451" s="11" t="s">
        <v>2859</v>
      </c>
      <c r="B451" s="9" t="s">
        <v>366</v>
      </c>
      <c r="C451" s="1" t="s">
        <v>2409</v>
      </c>
      <c r="D451" s="9" t="str">
        <f> VLOOKUP(B451,'Kopie van RawV3Q1'!F:G,2,false)
</f>
        <v>politicus, industrieel</v>
      </c>
      <c r="E451" s="12" t="s">
        <v>367</v>
      </c>
    </row>
    <row r="452">
      <c r="A452" s="11" t="s">
        <v>2860</v>
      </c>
      <c r="B452" s="9" t="s">
        <v>1443</v>
      </c>
      <c r="C452" s="1" t="s">
        <v>2409</v>
      </c>
      <c r="D452" s="9" t="str">
        <f> VLOOKUP(B452,'Kopie van RawV3Q1'!F:G,2,false)
</f>
        <v>politicus, historicus, conservator, archeoloog, bibliofiel, schrijver</v>
      </c>
      <c r="E452" s="13" t="s">
        <v>2411</v>
      </c>
    </row>
    <row r="453">
      <c r="A453" s="11" t="s">
        <v>2861</v>
      </c>
      <c r="B453" s="9" t="s">
        <v>429</v>
      </c>
      <c r="C453" s="1" t="s">
        <v>2409</v>
      </c>
      <c r="D453" s="9" t="str">
        <f> VLOOKUP(B453,'Kopie van RawV3Q1'!F:G,2,false)
</f>
        <v>politicus, ontwerper, handwerker, architect</v>
      </c>
      <c r="E453" s="12" t="s">
        <v>430</v>
      </c>
    </row>
    <row r="454">
      <c r="A454" s="11" t="s">
        <v>2862</v>
      </c>
      <c r="B454" s="9" t="s">
        <v>420</v>
      </c>
      <c r="C454" s="1" t="s">
        <v>2409</v>
      </c>
      <c r="D454" s="9" t="str">
        <f> VLOOKUP(B454,'Kopie van RawV3Q1'!F:G,2,false)
</f>
        <v>politicus, historicus, kunsthistoricus, advocaat</v>
      </c>
      <c r="E454" s="13" t="s">
        <v>2411</v>
      </c>
    </row>
    <row r="455">
      <c r="A455" s="11" t="s">
        <v>2863</v>
      </c>
      <c r="B455" s="9" t="s">
        <v>550</v>
      </c>
      <c r="C455" s="1" t="s">
        <v>2409</v>
      </c>
      <c r="D455" s="9" t="str">
        <f> VLOOKUP(B455,'Kopie van RawV3Q1'!F:G,2,false)
</f>
        <v>politicus, notaris, advocaat</v>
      </c>
      <c r="E455" s="13" t="s">
        <v>2411</v>
      </c>
    </row>
    <row r="456">
      <c r="A456" s="11" t="s">
        <v>2864</v>
      </c>
      <c r="B456" s="9" t="s">
        <v>1547</v>
      </c>
      <c r="C456" s="1" t="s">
        <v>2409</v>
      </c>
      <c r="D456" s="9" t="str">
        <f> VLOOKUP(B456,'Kopie van RawV3Q1'!F:G,2,false)
</f>
        <v>politicus, arts</v>
      </c>
      <c r="E456" s="13" t="s">
        <v>2411</v>
      </c>
    </row>
    <row r="457">
      <c r="A457" s="11" t="s">
        <v>2865</v>
      </c>
      <c r="B457" s="9" t="s">
        <v>1040</v>
      </c>
      <c r="C457" s="1" t="s">
        <v>2409</v>
      </c>
      <c r="D457" s="9" t="str">
        <f> VLOOKUP(B457,'Kopie van RawV3Q1'!F:G,2,false)
</f>
        <v>politicus</v>
      </c>
      <c r="E457" s="13" t="s">
        <v>2411</v>
      </c>
    </row>
    <row r="458">
      <c r="A458" s="11" t="s">
        <v>2866</v>
      </c>
      <c r="B458" s="9" t="s">
        <v>1566</v>
      </c>
      <c r="C458" s="1" t="s">
        <v>2409</v>
      </c>
      <c r="D458" s="9" t="str">
        <f> VLOOKUP(B458,'Kopie van RawV3Q1'!F:G,2,false)
</f>
        <v>politicus</v>
      </c>
      <c r="E458" s="13" t="s">
        <v>2411</v>
      </c>
    </row>
    <row r="459">
      <c r="A459" s="11" t="s">
        <v>2867</v>
      </c>
      <c r="B459" s="9" t="s">
        <v>82</v>
      </c>
      <c r="C459" s="1" t="s">
        <v>2409</v>
      </c>
      <c r="D459" s="9" t="str">
        <f> VLOOKUP(B459,'Kopie van RawV3Q1'!F:G,2,false)
</f>
        <v>politicus, schrijver</v>
      </c>
      <c r="E459" s="12" t="s">
        <v>83</v>
      </c>
    </row>
    <row r="460">
      <c r="A460" s="11" t="s">
        <v>2868</v>
      </c>
      <c r="B460" s="9" t="s">
        <v>1003</v>
      </c>
      <c r="C460" s="1" t="s">
        <v>2409</v>
      </c>
      <c r="D460" s="9" t="str">
        <f> VLOOKUP(B460,'Kopie van RawV3Q1'!F:G,2,false)
</f>
        <v>politicus, organist, leerkracht, koster, dichter, componist</v>
      </c>
      <c r="E460" s="13" t="s">
        <v>2411</v>
      </c>
    </row>
    <row r="461">
      <c r="A461" s="11" t="s">
        <v>2869</v>
      </c>
      <c r="B461" s="9" t="s">
        <v>1647</v>
      </c>
      <c r="C461" s="1" t="s">
        <v>2409</v>
      </c>
      <c r="D461" s="9" t="str">
        <f> VLOOKUP(B461,'Kopie van RawV3Q1'!F:G,2,false)
</f>
        <v>politicus, industrieel, molenaar</v>
      </c>
      <c r="E461" s="13" t="s">
        <v>2411</v>
      </c>
    </row>
    <row r="462">
      <c r="A462" s="11" t="s">
        <v>2870</v>
      </c>
      <c r="B462" s="9" t="s">
        <v>1429</v>
      </c>
      <c r="C462" s="1" t="s">
        <v>2409</v>
      </c>
      <c r="D462" s="9" t="str">
        <f> VLOOKUP(B462,'Kopie van RawV3Q1'!F:G,2,false)
</f>
        <v>priester, politicus, leerkracht, antropoloog, rector, theoloog</v>
      </c>
      <c r="E462" s="12" t="s">
        <v>1430</v>
      </c>
    </row>
    <row r="463">
      <c r="A463" s="11" t="s">
        <v>2871</v>
      </c>
      <c r="B463" s="9" t="s">
        <v>1195</v>
      </c>
      <c r="C463" s="1" t="s">
        <v>2409</v>
      </c>
      <c r="D463" s="9" t="str">
        <f> VLOOKUP(B463,'Kopie van RawV3Q1'!F:G,2,false)
</f>
        <v>priester</v>
      </c>
      <c r="E463" s="13" t="s">
        <v>2411</v>
      </c>
    </row>
    <row r="464">
      <c r="A464" s="11" t="s">
        <v>2872</v>
      </c>
      <c r="B464" s="9" t="s">
        <v>722</v>
      </c>
      <c r="C464" s="1" t="s">
        <v>2409</v>
      </c>
      <c r="D464" s="9" t="str">
        <f> VLOOKUP(B464,'Kopie van RawV3Q1'!F:G,2,false)
</f>
        <v>priester, kapelaan</v>
      </c>
      <c r="E464" s="13" t="s">
        <v>2411</v>
      </c>
    </row>
    <row r="465">
      <c r="A465" s="11" t="s">
        <v>2873</v>
      </c>
      <c r="B465" s="9" t="s">
        <v>1572</v>
      </c>
      <c r="C465" s="1" t="s">
        <v>2409</v>
      </c>
      <c r="D465" s="9" t="str">
        <f> VLOOKUP(B465,'Kopie van RawV3Q1'!F:G,2,false)
</f>
        <v>priester, rector, leerkracht</v>
      </c>
      <c r="E465" s="13" t="s">
        <v>2411</v>
      </c>
    </row>
    <row r="466">
      <c r="A466" s="11" t="s">
        <v>2874</v>
      </c>
      <c r="B466" s="9" t="s">
        <v>1335</v>
      </c>
      <c r="C466" s="1" t="s">
        <v>2409</v>
      </c>
      <c r="D466" s="9" t="str">
        <f> VLOOKUP(B466,'Kopie van RawV3Q1'!F:G,2,false)
</f>
        <v>priester, leerkracht</v>
      </c>
      <c r="E466" s="13" t="s">
        <v>2411</v>
      </c>
    </row>
    <row r="467">
      <c r="A467" s="11" t="s">
        <v>2875</v>
      </c>
      <c r="B467" s="9" t="s">
        <v>1117</v>
      </c>
      <c r="C467" s="1" t="s">
        <v>2409</v>
      </c>
      <c r="D467" s="9" t="str">
        <f> VLOOKUP(B467,'Kopie van RawV3Q1'!F:G,2,false)
</f>
        <v>priester</v>
      </c>
      <c r="E467" s="13" t="s">
        <v>2411</v>
      </c>
    </row>
    <row r="468">
      <c r="A468" s="11" t="s">
        <v>2876</v>
      </c>
      <c r="B468" s="9" t="s">
        <v>1155</v>
      </c>
      <c r="C468" s="1" t="s">
        <v>2409</v>
      </c>
      <c r="D468" s="9" t="str">
        <f> VLOOKUP(B468,'Kopie van RawV3Q1'!F:G,2,false)
</f>
        <v>professor, pastoor, katholiek priester, parochievicaris</v>
      </c>
      <c r="E468" s="13" t="s">
        <v>2411</v>
      </c>
    </row>
    <row r="469">
      <c r="A469" s="11" t="s">
        <v>2877</v>
      </c>
      <c r="B469" s="9" t="s">
        <v>161</v>
      </c>
      <c r="C469" s="1" t="s">
        <v>2409</v>
      </c>
      <c r="D469" s="9" t="str">
        <f> VLOOKUP(B469,'Kopie van RawV3Q1'!F:G,2,false)
</f>
        <v>professor, archeoloog, leerkracht, vertaler, taalkundige, academisch docent, oriëntalist</v>
      </c>
      <c r="E469" s="12" t="s">
        <v>164</v>
      </c>
    </row>
    <row r="470">
      <c r="A470" s="11" t="s">
        <v>2878</v>
      </c>
      <c r="B470" s="9" t="s">
        <v>1731</v>
      </c>
      <c r="C470" s="1" t="s">
        <v>2409</v>
      </c>
      <c r="D470" s="9" t="str">
        <f> VLOOKUP(B470,'Kopie van RawV3Q1'!F:G,2,false)
</f>
        <v>professor, directeur, leerkracht, rooms-katholiek priester, parochievicaris</v>
      </c>
      <c r="E470" s="13" t="s">
        <v>2411</v>
      </c>
    </row>
    <row r="471">
      <c r="A471" s="11" t="s">
        <v>2879</v>
      </c>
      <c r="B471" s="9" t="s">
        <v>1509</v>
      </c>
      <c r="C471" s="1" t="s">
        <v>2409</v>
      </c>
      <c r="D471" s="9" t="str">
        <f> VLOOKUP(B471,'Kopie van RawV3Q1'!F:G,2,false)
</f>
        <v>professor, oriëntalist</v>
      </c>
      <c r="E471" s="13" t="s">
        <v>2411</v>
      </c>
    </row>
    <row r="472">
      <c r="A472" s="11" t="s">
        <v>2880</v>
      </c>
      <c r="B472" s="9" t="s">
        <v>1666</v>
      </c>
      <c r="C472" s="1" t="s">
        <v>2409</v>
      </c>
      <c r="D472" s="9" t="str">
        <f> VLOOKUP(B472,'Kopie van RawV3Q1'!F:G,2,false)
</f>
        <v>professor, filoloog, academisch docent</v>
      </c>
      <c r="E472" s="12" t="s">
        <v>1667</v>
      </c>
    </row>
    <row r="473">
      <c r="A473" s="11" t="s">
        <v>2881</v>
      </c>
      <c r="B473" s="9" t="s">
        <v>700</v>
      </c>
      <c r="C473" s="1" t="s">
        <v>2409</v>
      </c>
      <c r="D473" s="9" t="str">
        <f> VLOOKUP(B473,'Kopie van RawV3Q1'!F:G,2,false)
</f>
        <v>professor, rector, leerkracht, onderwijzer</v>
      </c>
      <c r="E473" s="13" t="s">
        <v>2411</v>
      </c>
    </row>
    <row r="474">
      <c r="A474" s="11" t="s">
        <v>2882</v>
      </c>
      <c r="B474" s="9" t="s">
        <v>1818</v>
      </c>
      <c r="C474" s="1" t="s">
        <v>2409</v>
      </c>
      <c r="D474" s="9" t="str">
        <f> VLOOKUP(B474,'Kopie van RawV3Q1'!F:G,2,false)
</f>
        <v>professor, bibliothecaris, toneelschrijver, monnik, letterkundige, schrijver, dichter</v>
      </c>
      <c r="E474" s="13" t="s">
        <v>2411</v>
      </c>
    </row>
    <row r="475">
      <c r="A475" s="11" t="s">
        <v>2883</v>
      </c>
      <c r="B475" s="9" t="s">
        <v>373</v>
      </c>
      <c r="C475" s="1" t="s">
        <v>2409</v>
      </c>
      <c r="D475" s="9" t="str">
        <f> VLOOKUP(B475,'Kopie van RawV3Q1'!F:G,2,false)
</f>
        <v>rector, pianist, academisch docent, componist</v>
      </c>
      <c r="E475" s="12" t="s">
        <v>374</v>
      </c>
    </row>
    <row r="476">
      <c r="A476" s="11" t="s">
        <v>2884</v>
      </c>
      <c r="B476" s="9" t="s">
        <v>1025</v>
      </c>
      <c r="C476" s="1" t="s">
        <v>2409</v>
      </c>
      <c r="D476" s="9" t="str">
        <f> VLOOKUP(B476,'Kopie van RawV3Q1'!F:G,2,false)
</f>
        <v>rector, muziekpedagoog, musicoloog, componist</v>
      </c>
      <c r="E476" s="12" t="s">
        <v>1026</v>
      </c>
    </row>
    <row r="477">
      <c r="A477" s="11" t="s">
        <v>2885</v>
      </c>
      <c r="B477" s="9" t="s">
        <v>1709</v>
      </c>
      <c r="C477" s="1" t="s">
        <v>2409</v>
      </c>
      <c r="D477" s="9" t="str">
        <f> VLOOKUP(B477,'Kopie van RawV3Q1'!F:G,2,false)
</f>
        <v>rector, non, onderwijzer</v>
      </c>
      <c r="E477" s="13" t="s">
        <v>2411</v>
      </c>
    </row>
    <row r="478">
      <c r="A478" s="11" t="s">
        <v>2886</v>
      </c>
      <c r="B478" s="9" t="s">
        <v>327</v>
      </c>
      <c r="C478" s="1" t="s">
        <v>2409</v>
      </c>
      <c r="D478" s="9" t="str">
        <f> VLOOKUP(B478,'Kopie van RawV3Q1'!F:G,2,false)
</f>
        <v>rector, katholiek priester, prelaat, academisch docent, vicaris-generaal, kanunnik, parochievicaris</v>
      </c>
      <c r="E478" s="13" t="s">
        <v>2411</v>
      </c>
    </row>
    <row r="479">
      <c r="A479" s="11" t="s">
        <v>2887</v>
      </c>
      <c r="B479" s="9" t="s">
        <v>1562</v>
      </c>
      <c r="C479" s="1" t="s">
        <v>2409</v>
      </c>
      <c r="D479" s="9" t="str">
        <f> VLOOKUP(B479,'Kopie van RawV3Q1'!F:G,2,false)
</f>
        <v>rector, katholiek priester, academisch docent</v>
      </c>
      <c r="E479" s="13" t="s">
        <v>2411</v>
      </c>
    </row>
    <row r="480">
      <c r="A480" s="11" t="s">
        <v>2888</v>
      </c>
      <c r="B480" s="9" t="s">
        <v>176</v>
      </c>
      <c r="C480" s="1" t="s">
        <v>2409</v>
      </c>
      <c r="D480" s="9" t="str">
        <f> VLOOKUP(B480,'Kopie van RawV3Q1'!F:G,2,false)
</f>
        <v>rector, schrijver, onderwijzer, historicus</v>
      </c>
      <c r="E480" s="12" t="s">
        <v>177</v>
      </c>
    </row>
    <row r="481">
      <c r="A481" s="11" t="s">
        <v>2889</v>
      </c>
      <c r="B481" s="9" t="s">
        <v>246</v>
      </c>
      <c r="C481" s="1" t="s">
        <v>2409</v>
      </c>
      <c r="D481" s="9" t="str">
        <f> VLOOKUP(B481,'Kopie van RawV3Q1'!F:G,2,false)
</f>
        <v>redacteur, taalkundige</v>
      </c>
      <c r="E481" s="12" t="s">
        <v>249</v>
      </c>
    </row>
    <row r="482">
      <c r="A482" s="11" t="s">
        <v>2890</v>
      </c>
      <c r="B482" s="9" t="s">
        <v>1711</v>
      </c>
      <c r="C482" s="1" t="s">
        <v>2409</v>
      </c>
      <c r="D482" s="9" t="str">
        <f> VLOOKUP(B482,'Kopie van RawV3Q1'!F:G,2,false)
</f>
        <v>rentenier</v>
      </c>
      <c r="E482" s="13" t="s">
        <v>2411</v>
      </c>
    </row>
    <row r="483">
      <c r="A483" s="11" t="s">
        <v>2891</v>
      </c>
      <c r="B483" s="9" t="s">
        <v>1205</v>
      </c>
      <c r="C483" s="1" t="s">
        <v>2409</v>
      </c>
      <c r="D483" s="9" t="str">
        <f> VLOOKUP(B483,'Kopie van RawV3Q1'!F:G,2,false)
</f>
        <v>rentenier</v>
      </c>
      <c r="E483" s="13" t="s">
        <v>2411</v>
      </c>
    </row>
    <row r="484">
      <c r="A484" s="11" t="s">
        <v>2892</v>
      </c>
      <c r="B484" s="9" t="s">
        <v>631</v>
      </c>
      <c r="C484" s="1" t="s">
        <v>2409</v>
      </c>
      <c r="D484" s="9" t="str">
        <f> VLOOKUP(B484,'Kopie van RawV3Q1'!F:G,2,false)
</f>
        <v>rentenier</v>
      </c>
      <c r="E484" s="13" t="s">
        <v>2411</v>
      </c>
    </row>
    <row r="485">
      <c r="A485" s="11" t="s">
        <v>2893</v>
      </c>
      <c r="B485" s="9" t="s">
        <v>1252</v>
      </c>
      <c r="C485" s="1" t="s">
        <v>2409</v>
      </c>
      <c r="D485" s="9" t="str">
        <f> VLOOKUP(B485,'Kopie van RawV3Q1'!F:G,2,false)
</f>
        <v>rentenier</v>
      </c>
      <c r="E485" s="13" t="s">
        <v>2411</v>
      </c>
    </row>
    <row r="486">
      <c r="A486" s="11" t="s">
        <v>2894</v>
      </c>
      <c r="B486" s="9" t="s">
        <v>1623</v>
      </c>
      <c r="C486" s="1" t="s">
        <v>2409</v>
      </c>
      <c r="D486" s="9" t="str">
        <f> VLOOKUP(B486,'Kopie van RawV3Q1'!F:G,2,false)
</f>
        <v>rentenier</v>
      </c>
      <c r="E486" s="13" t="s">
        <v>2411</v>
      </c>
    </row>
    <row r="487">
      <c r="A487" s="11" t="s">
        <v>2895</v>
      </c>
      <c r="B487" s="9" t="s">
        <v>654</v>
      </c>
      <c r="C487" s="1" t="s">
        <v>2409</v>
      </c>
      <c r="D487" s="9" t="str">
        <f> VLOOKUP(B487,'Kopie van RawV3Q1'!F:G,2,false)
</f>
        <v>rentenier</v>
      </c>
      <c r="E487" s="13" t="s">
        <v>2411</v>
      </c>
    </row>
    <row r="488">
      <c r="A488" s="11" t="s">
        <v>2896</v>
      </c>
      <c r="B488" s="9" t="s">
        <v>597</v>
      </c>
      <c r="C488" s="1" t="s">
        <v>2409</v>
      </c>
      <c r="D488" s="9" t="str">
        <f> VLOOKUP(B488,'Kopie van RawV3Q1'!F:G,2,false)
</f>
        <v>rooms-katholiek priester, parochievicaris, pastoor</v>
      </c>
      <c r="E488" s="13" t="s">
        <v>2411</v>
      </c>
    </row>
    <row r="489">
      <c r="A489" s="11" t="s">
        <v>2897</v>
      </c>
      <c r="B489" s="9" t="s">
        <v>1725</v>
      </c>
      <c r="C489" s="1" t="s">
        <v>2409</v>
      </c>
      <c r="D489" s="9" t="str">
        <f> VLOOKUP(B489,'Kopie van RawV3Q1'!F:G,2,false)
</f>
        <v>rooms-katholiek priester, parochievicaris, dichter</v>
      </c>
      <c r="E489" s="13" t="s">
        <v>2411</v>
      </c>
    </row>
    <row r="490">
      <c r="A490" s="11" t="s">
        <v>2898</v>
      </c>
      <c r="B490" s="9" t="s">
        <v>28</v>
      </c>
      <c r="C490" s="1" t="s">
        <v>2409</v>
      </c>
      <c r="D490" s="9" t="str">
        <f> VLOOKUP(B490,'Kopie van RawV3Q1'!F:G,2,false)
</f>
        <v>scenarioschrijver, fotograaf, exlibrist, bakker, vertaler, schrijver</v>
      </c>
      <c r="E490" s="12" t="s">
        <v>31</v>
      </c>
    </row>
    <row r="491">
      <c r="A491" s="11" t="s">
        <v>2899</v>
      </c>
      <c r="B491" s="9" t="s">
        <v>277</v>
      </c>
      <c r="C491" s="1" t="s">
        <v>2409</v>
      </c>
      <c r="D491" s="9" t="str">
        <f> VLOOKUP(B491,'Kopie van RawV3Q1'!F:G,2,false)
</f>
        <v>schrijver, dichter, toneelschrijver, katholiek priester, theoloog, leerkracht</v>
      </c>
      <c r="E491" s="13" t="s">
        <v>2411</v>
      </c>
    </row>
    <row r="492">
      <c r="A492" s="11" t="s">
        <v>2900</v>
      </c>
      <c r="B492" s="9" t="s">
        <v>199</v>
      </c>
      <c r="C492" s="1" t="s">
        <v>2409</v>
      </c>
      <c r="D492" s="9" t="str">
        <f> VLOOKUP(B492,'Kopie van RawV3Q1'!F:G,2,false)
</f>
        <v>schrijver, bibliothecaris, historicus, rector, leerkracht, letterkundige</v>
      </c>
      <c r="E492" s="13" t="s">
        <v>2411</v>
      </c>
    </row>
    <row r="493">
      <c r="A493" s="11" t="s">
        <v>2901</v>
      </c>
      <c r="B493" s="9" t="s">
        <v>935</v>
      </c>
      <c r="C493" s="1" t="s">
        <v>2409</v>
      </c>
      <c r="D493" s="9" t="str">
        <f> VLOOKUP(B493,'Kopie van RawV3Q1'!F:G,2,false)
</f>
        <v>schrijver, dichter, politicus, directeur, katholiek priester, leerkracht, aalmoezenier, parochievicaris</v>
      </c>
      <c r="E493" s="13" t="s">
        <v>2411</v>
      </c>
    </row>
    <row r="494">
      <c r="A494" s="11" t="s">
        <v>2902</v>
      </c>
      <c r="B494" s="9" t="s">
        <v>804</v>
      </c>
      <c r="C494" s="1" t="s">
        <v>2409</v>
      </c>
      <c r="D494" s="9" t="str">
        <f> VLOOKUP(B494,'Kopie van RawV3Q1'!F:G,2,false)
</f>
        <v>schrijver, vertaler, toneelschrijver</v>
      </c>
      <c r="E494" s="13" t="s">
        <v>2411</v>
      </c>
    </row>
    <row r="495">
      <c r="A495" s="11" t="s">
        <v>2903</v>
      </c>
      <c r="B495" s="9" t="s">
        <v>1775</v>
      </c>
      <c r="C495" s="1" t="s">
        <v>2409</v>
      </c>
      <c r="D495" s="9" t="str">
        <f> VLOOKUP(B495,'Kopie van RawV3Q1'!F:G,2,false)
</f>
        <v>schrijver, onderwijzer</v>
      </c>
      <c r="E495" s="13" t="s">
        <v>2411</v>
      </c>
    </row>
    <row r="496">
      <c r="A496" s="11" t="s">
        <v>2904</v>
      </c>
      <c r="B496" s="9" t="s">
        <v>988</v>
      </c>
      <c r="C496" s="1" t="s">
        <v>2409</v>
      </c>
      <c r="D496" s="9" t="str">
        <f> VLOOKUP(B496,'Kopie van RawV3Q1'!F:G,2,false)
</f>
        <v>schrijver, onderwijzer, dichter, leerkracht</v>
      </c>
      <c r="E496" s="13" t="s">
        <v>2411</v>
      </c>
    </row>
    <row r="497">
      <c r="A497" s="11" t="s">
        <v>2905</v>
      </c>
      <c r="B497" s="9" t="s">
        <v>21</v>
      </c>
      <c r="C497" s="1" t="s">
        <v>2409</v>
      </c>
      <c r="D497" s="9" t="str">
        <f> VLOOKUP(B497,'Kopie van RawV3Q1'!F:G,2,false)
</f>
        <v>schrijver, dichter, ambtenaar, douanebeambte, politicus</v>
      </c>
      <c r="E497" s="12" t="s">
        <v>24</v>
      </c>
    </row>
    <row r="498">
      <c r="A498" s="11" t="s">
        <v>2906</v>
      </c>
      <c r="B498" s="9" t="s">
        <v>481</v>
      </c>
      <c r="C498" s="1" t="s">
        <v>2409</v>
      </c>
      <c r="D498" s="9" t="str">
        <f> VLOOKUP(B498,'Kopie van RawV3Q1'!F:G,2,false)
</f>
        <v>schrijver, vertaler, katholiek priester, leerkracht, schoolopziener</v>
      </c>
      <c r="E498" s="13" t="s">
        <v>2411</v>
      </c>
    </row>
    <row r="499">
      <c r="A499" s="11" t="s">
        <v>2907</v>
      </c>
      <c r="B499" s="9" t="s">
        <v>1445</v>
      </c>
      <c r="C499" s="1" t="s">
        <v>2409</v>
      </c>
      <c r="D499" s="9" t="str">
        <f> VLOOKUP(B499,'Kopie van RawV3Q1'!F:G,2,false)
</f>
        <v>schrijver, dichter, lexicograaf</v>
      </c>
      <c r="E499" s="12" t="s">
        <v>1446</v>
      </c>
    </row>
    <row r="500">
      <c r="A500" s="11" t="s">
        <v>2908</v>
      </c>
      <c r="B500" s="9" t="s">
        <v>1637</v>
      </c>
      <c r="C500" s="1" t="s">
        <v>2409</v>
      </c>
      <c r="D500" s="9" t="str">
        <f> VLOOKUP(B500,'Kopie van RawV3Q1'!F:G,2,false)
</f>
        <v>schrijver, dichter, geestelijk leidsman, pastoor, politicus, toneelschrijver, katholiek priester, leerkracht, parochievicaris</v>
      </c>
      <c r="E500" s="13" t="s">
        <v>2411</v>
      </c>
    </row>
    <row r="501">
      <c r="A501" s="11" t="s">
        <v>2909</v>
      </c>
      <c r="B501" s="9" t="s">
        <v>190</v>
      </c>
      <c r="C501" s="1" t="s">
        <v>2409</v>
      </c>
      <c r="D501" s="9" t="str">
        <f> VLOOKUP(B501,'Kopie van RawV3Q1'!F:G,2,false)
</f>
        <v>schrijver, politicus, leerkracht, boekhandelaar</v>
      </c>
      <c r="E501" s="13" t="s">
        <v>2411</v>
      </c>
    </row>
    <row r="502">
      <c r="A502" s="11" t="s">
        <v>2910</v>
      </c>
      <c r="B502" s="9" t="s">
        <v>823</v>
      </c>
      <c r="C502" s="1" t="s">
        <v>2409</v>
      </c>
      <c r="D502" s="9" t="str">
        <f> VLOOKUP(B502,'Kopie van RawV3Q1'!F:G,2,false)
</f>
        <v>schrijver, katholiek priester, leerkracht, kapelaan</v>
      </c>
      <c r="E502" s="13" t="s">
        <v>2411</v>
      </c>
    </row>
    <row r="503">
      <c r="A503" s="11" t="s">
        <v>2911</v>
      </c>
      <c r="B503" s="9" t="s">
        <v>473</v>
      </c>
      <c r="C503" s="1" t="s">
        <v>2409</v>
      </c>
      <c r="D503" s="9" t="str">
        <f> VLOOKUP(B503,'Kopie van RawV3Q1'!F:G,2,false)
</f>
        <v>schrijver, dichter, historicus, letterkundige, gemeentesecretaris, griffier</v>
      </c>
      <c r="E503" s="13" t="s">
        <v>2411</v>
      </c>
    </row>
    <row r="504">
      <c r="A504" s="11" t="s">
        <v>2912</v>
      </c>
      <c r="B504" s="9" t="s">
        <v>155</v>
      </c>
      <c r="C504" s="1" t="s">
        <v>2409</v>
      </c>
      <c r="D504" s="9" t="str">
        <f> VLOOKUP(B504,'Kopie van RawV3Q1'!F:G,2,false)
</f>
        <v>schrijver, dichter, academisch docent, historicus, senior lecturer</v>
      </c>
      <c r="E504" s="12" t="s">
        <v>156</v>
      </c>
    </row>
    <row r="505">
      <c r="A505" s="11" t="s">
        <v>2913</v>
      </c>
      <c r="B505" s="9" t="s">
        <v>197</v>
      </c>
      <c r="C505" s="1" t="s">
        <v>2409</v>
      </c>
      <c r="D505" s="9" t="str">
        <f> VLOOKUP(B505,'Kopie van RawV3Q1'!F:G,2,false)
</f>
        <v>schrijver, germanist, privaatdocent, filoloog</v>
      </c>
      <c r="E505" s="13" t="s">
        <v>2411</v>
      </c>
    </row>
    <row r="506">
      <c r="A506" s="11" t="s">
        <v>2914</v>
      </c>
      <c r="B506" s="9" t="s">
        <v>977</v>
      </c>
      <c r="C506" s="1" t="s">
        <v>2409</v>
      </c>
      <c r="D506" s="9" t="str">
        <f> VLOOKUP(B506,'Kopie van RawV3Q1'!F:G,2,false)
</f>
        <v>schrijver, pastoor, katholiek priester, leerkracht, parochievicaris</v>
      </c>
      <c r="E506" s="13" t="s">
        <v>2411</v>
      </c>
    </row>
    <row r="507">
      <c r="A507" s="11" t="s">
        <v>2915</v>
      </c>
      <c r="B507" s="9" t="s">
        <v>812</v>
      </c>
      <c r="C507" s="1" t="s">
        <v>2409</v>
      </c>
      <c r="D507" s="9" t="str">
        <f> VLOOKUP(B507,'Kopie van RawV3Q1'!F:G,2,false)
</f>
        <v>schrijver, dichter, leerkracht</v>
      </c>
      <c r="E507" s="13" t="s">
        <v>2411</v>
      </c>
    </row>
    <row r="508">
      <c r="A508" s="11" t="s">
        <v>2916</v>
      </c>
      <c r="B508" s="9" t="s">
        <v>708</v>
      </c>
      <c r="C508" s="1" t="s">
        <v>2409</v>
      </c>
      <c r="D508" s="9" t="str">
        <f> VLOOKUP(B508,'Kopie van RawV3Q1'!F:G,2,false)
</f>
        <v>schrijver, handelaar, leerkracht, ontwerper</v>
      </c>
      <c r="E508" s="13" t="s">
        <v>2411</v>
      </c>
    </row>
    <row r="509">
      <c r="A509" s="11" t="s">
        <v>2917</v>
      </c>
      <c r="B509" s="9" t="s">
        <v>912</v>
      </c>
      <c r="C509" s="1" t="s">
        <v>2409</v>
      </c>
      <c r="D509" s="9" t="str">
        <f> VLOOKUP(B509,'Kopie van RawV3Q1'!F:G,2,false)
</f>
        <v>schrijver, onderwijzer</v>
      </c>
      <c r="E509" s="13" t="s">
        <v>2411</v>
      </c>
    </row>
    <row r="510">
      <c r="A510" s="11" t="s">
        <v>2918</v>
      </c>
      <c r="B510" s="9" t="s">
        <v>1410</v>
      </c>
      <c r="C510" s="1" t="s">
        <v>2409</v>
      </c>
      <c r="D510" s="9" t="str">
        <f> VLOOKUP(B510,'Kopie van RawV3Q1'!F:G,2,false)
</f>
        <v>schrijver, dichter, politicus, leerkracht, hoofdredacteur, conservator, journalist, kunstschilder</v>
      </c>
      <c r="E510" s="12" t="s">
        <v>1411</v>
      </c>
    </row>
    <row r="511">
      <c r="A511" s="11" t="s">
        <v>2919</v>
      </c>
      <c r="B511" s="9" t="s">
        <v>68</v>
      </c>
      <c r="C511" s="1" t="s">
        <v>2409</v>
      </c>
      <c r="D511" s="9" t="str">
        <f> VLOOKUP(B511,'Kopie van RawV3Q1'!F:G,2,false)
</f>
        <v>schrijver, dichter, toneelschrijver, verkoper, uitgever, boekhandelaar, verzekeringsmakelaar</v>
      </c>
      <c r="E511" s="13" t="s">
        <v>2411</v>
      </c>
    </row>
    <row r="512">
      <c r="A512" s="11" t="s">
        <v>2920</v>
      </c>
      <c r="B512" s="9" t="s">
        <v>279</v>
      </c>
      <c r="C512" s="1" t="s">
        <v>2409</v>
      </c>
      <c r="D512" s="9" t="str">
        <f> VLOOKUP(B512,'Kopie van RawV3Q1'!F:G,2,false)
</f>
        <v>schrijver, dichter, katholiek priester, leerkracht, letterkundige, parochievicaris</v>
      </c>
      <c r="E512" s="13" t="s">
        <v>2411</v>
      </c>
    </row>
    <row r="513">
      <c r="A513" s="11" t="s">
        <v>2921</v>
      </c>
      <c r="B513" s="9" t="s">
        <v>614</v>
      </c>
      <c r="C513" s="1" t="s">
        <v>2409</v>
      </c>
      <c r="D513" s="9" t="str">
        <f> VLOOKUP(B513,'Kopie van RawV3Q1'!F:G,2,false)
</f>
        <v>schrijver, gerechtsdeurwaarder</v>
      </c>
      <c r="E513" s="13" t="s">
        <v>2411</v>
      </c>
    </row>
    <row r="514">
      <c r="A514" s="11" t="s">
        <v>2922</v>
      </c>
      <c r="B514" s="9" t="s">
        <v>710</v>
      </c>
      <c r="C514" s="1" t="s">
        <v>2409</v>
      </c>
      <c r="D514" s="9" t="str">
        <f> VLOOKUP(B514,'Kopie van RawV3Q1'!F:G,2,false)
</f>
        <v>scribent, schrijver, dichter, ambtenaar, bibliothecaris, archivaris, redacteur, kantoorbediende, boekhandelaar, koster</v>
      </c>
      <c r="E514" s="13" t="s">
        <v>2411</v>
      </c>
    </row>
    <row r="515">
      <c r="A515" s="11" t="s">
        <v>2923</v>
      </c>
      <c r="B515" s="9" t="s">
        <v>1713</v>
      </c>
      <c r="C515" s="1" t="s">
        <v>2409</v>
      </c>
      <c r="D515" s="9" t="str">
        <f> VLOOKUP(B515,'Kopie van RawV3Q1'!F:G,2,false)
</f>
        <v>secretaris, penningmeester</v>
      </c>
      <c r="E515" s="13" t="s">
        <v>2411</v>
      </c>
    </row>
    <row r="516">
      <c r="A516" s="11" t="s">
        <v>2924</v>
      </c>
      <c r="B516" s="9" t="s">
        <v>552</v>
      </c>
      <c r="C516" s="1" t="s">
        <v>2409</v>
      </c>
      <c r="D516" s="9" t="str">
        <f> VLOOKUP(B516,'Kopie van RawV3Q1'!F:G,2,false)
</f>
        <v>slager, volkskundige, schrijver</v>
      </c>
      <c r="E516" s="13" t="s">
        <v>2411</v>
      </c>
    </row>
    <row r="517">
      <c r="A517" s="11" t="s">
        <v>2925</v>
      </c>
      <c r="B517" s="9" t="s">
        <v>1215</v>
      </c>
      <c r="C517" s="1" t="s">
        <v>2409</v>
      </c>
      <c r="D517" s="9" t="str">
        <f> VLOOKUP(B517,'Kopie van RawV3Q1'!F:G,2,false)
</f>
        <v>soldaat, textielhandelaar</v>
      </c>
      <c r="E517" s="13" t="s">
        <v>2411</v>
      </c>
    </row>
    <row r="518">
      <c r="A518" s="11" t="s">
        <v>2926</v>
      </c>
      <c r="B518" s="9" t="s">
        <v>1790</v>
      </c>
      <c r="C518" s="1" t="s">
        <v>2409</v>
      </c>
      <c r="D518" s="9" t="str">
        <f> VLOOKUP(B518,'Kopie van RawV3Q1'!F:G,2,false)
</f>
        <v>spinner</v>
      </c>
      <c r="E518" s="12" t="s">
        <v>1793</v>
      </c>
    </row>
    <row r="519">
      <c r="A519" s="11" t="s">
        <v>2927</v>
      </c>
      <c r="B519" s="9" t="s">
        <v>1635</v>
      </c>
      <c r="C519" s="1" t="s">
        <v>2409</v>
      </c>
      <c r="D519" s="9" t="str">
        <f> VLOOKUP(B519,'Kopie van RawV3Q1'!F:G,2,false)
</f>
        <v>studiemeester, directeur, katholiek priester, leerkracht, dichter</v>
      </c>
      <c r="E519" s="13" t="s">
        <v>2411</v>
      </c>
    </row>
    <row r="520">
      <c r="A520" s="11" t="s">
        <v>2928</v>
      </c>
      <c r="B520" s="9" t="s">
        <v>1232</v>
      </c>
      <c r="C520" s="1" t="s">
        <v>2409</v>
      </c>
      <c r="D520" s="9" t="str">
        <f> VLOOKUP(B520,'Kopie van RawV3Q1'!F:G,2,false)
</f>
        <v>studiemeester, pastoraal directeur, katholiek priester, subdiaken, parochievicaris</v>
      </c>
      <c r="E520" s="13" t="s">
        <v>2411</v>
      </c>
    </row>
    <row r="521">
      <c r="A521" s="11" t="s">
        <v>2929</v>
      </c>
      <c r="B521" s="9" t="s">
        <v>1151</v>
      </c>
      <c r="C521" s="1" t="s">
        <v>2409</v>
      </c>
      <c r="D521" s="9" t="str">
        <f> VLOOKUP(B521,'Kopie van RawV3Q1'!F:G,2,false)
</f>
        <v>studiemeester, pastoor, rector, katholiek priester, leerkracht</v>
      </c>
      <c r="E521" s="13" t="s">
        <v>2411</v>
      </c>
    </row>
    <row r="522">
      <c r="A522" s="11" t="s">
        <v>2930</v>
      </c>
      <c r="B522" s="9" t="s">
        <v>1535</v>
      </c>
      <c r="C522" s="1" t="s">
        <v>2409</v>
      </c>
      <c r="D522" s="9" t="str">
        <f> VLOOKUP(B522,'Kopie van RawV3Q1'!F:G,2,false)
</f>
        <v>subdiaken</v>
      </c>
      <c r="E522" s="13" t="s">
        <v>2411</v>
      </c>
    </row>
    <row r="523">
      <c r="A523" s="11" t="s">
        <v>2931</v>
      </c>
      <c r="B523" s="9" t="s">
        <v>1399</v>
      </c>
      <c r="C523" s="1" t="s">
        <v>2409</v>
      </c>
      <c r="D523" s="9" t="str">
        <f> VLOOKUP(B523,'Kopie van RawV3Q1'!F:G,2,false)
</f>
        <v>taalkundige, schrijver, dichter, letterkundige, bibliothecaris, leerkracht</v>
      </c>
      <c r="E523" s="12" t="s">
        <v>1400</v>
      </c>
    </row>
    <row r="524">
      <c r="A524" s="11" t="s">
        <v>2932</v>
      </c>
      <c r="B524" s="9" t="s">
        <v>790</v>
      </c>
      <c r="C524" s="1" t="s">
        <v>2409</v>
      </c>
      <c r="D524" s="9" t="str">
        <f> VLOOKUP(B524,'Kopie van RawV3Q1'!F:G,2,false)
</f>
        <v>toneelschrijver, journalist, leerkracht, boekhouder, schrijver</v>
      </c>
      <c r="E524" s="13" t="s">
        <v>2411</v>
      </c>
    </row>
    <row r="525">
      <c r="A525" s="11" t="s">
        <v>2933</v>
      </c>
      <c r="B525" s="9" t="s">
        <v>1222</v>
      </c>
      <c r="C525" s="1" t="s">
        <v>2409</v>
      </c>
      <c r="D525" s="9" t="str">
        <f> VLOOKUP(B525,'Kopie van RawV3Q1'!F:G,2,false)
</f>
        <v>typograaf</v>
      </c>
      <c r="E525" s="13" t="s">
        <v>2411</v>
      </c>
    </row>
    <row r="526">
      <c r="A526" s="11" t="s">
        <v>2934</v>
      </c>
      <c r="B526" s="9" t="s">
        <v>391</v>
      </c>
      <c r="C526" s="1" t="s">
        <v>2409</v>
      </c>
      <c r="D526" s="9" t="str">
        <f> VLOOKUP(B526,'Kopie van RawV3Q1'!F:G,2,false)
</f>
        <v>uitgever, kunstcriticus, literatuurcriticus, schrijver, dichter, academisch docent, kunsthistoricus</v>
      </c>
      <c r="E526" s="12" t="s">
        <v>392</v>
      </c>
    </row>
    <row r="527">
      <c r="A527" s="11" t="s">
        <v>2935</v>
      </c>
      <c r="B527" s="9" t="s">
        <v>1319</v>
      </c>
      <c r="C527" s="1" t="s">
        <v>2409</v>
      </c>
      <c r="D527" s="9" t="str">
        <f> VLOOKUP(B527,'Kopie van RawV3Q1'!F:G,2,false)
</f>
        <v>vakbondsbestuurder, advocaat, politicus</v>
      </c>
      <c r="E527" s="13" t="s">
        <v>2411</v>
      </c>
    </row>
    <row r="528">
      <c r="A528" s="11" t="s">
        <v>2936</v>
      </c>
      <c r="B528" s="9" t="s">
        <v>802</v>
      </c>
      <c r="C528" s="1" t="s">
        <v>2409</v>
      </c>
      <c r="D528" s="9" t="str">
        <f> VLOOKUP(B528,'Kopie van RawV3Q1'!F:G,2,false)
</f>
        <v>verkoper, handelaar</v>
      </c>
      <c r="E528" s="13" t="s">
        <v>2411</v>
      </c>
    </row>
    <row r="529">
      <c r="A529" s="11" t="s">
        <v>2937</v>
      </c>
      <c r="B529" s="9" t="s">
        <v>97</v>
      </c>
      <c r="C529" s="1" t="s">
        <v>2409</v>
      </c>
      <c r="D529" s="9" t="str">
        <f> VLOOKUP(B529,'Kopie van RawV3Q1'!F:G,2,false)
</f>
        <v>vertaler, literatuurcriticus, schrijver, dichter, academisch docent</v>
      </c>
      <c r="E529" s="12" t="s">
        <v>98</v>
      </c>
    </row>
    <row r="530">
      <c r="A530" s="11" t="s">
        <v>2938</v>
      </c>
      <c r="B530" s="9" t="s">
        <v>336</v>
      </c>
      <c r="C530" s="1" t="s">
        <v>2409</v>
      </c>
      <c r="D530" s="9" t="str">
        <f> VLOOKUP(B530,'Kopie van RawV3Q1'!F:G,2,false)
</f>
        <v>vertaler, librettist, schrijver</v>
      </c>
      <c r="E530" s="13" t="s">
        <v>2411</v>
      </c>
    </row>
    <row r="531">
      <c r="A531" s="11" t="s">
        <v>2939</v>
      </c>
      <c r="B531" s="9" t="s">
        <v>616</v>
      </c>
      <c r="C531" s="1" t="s">
        <v>2409</v>
      </c>
      <c r="D531" s="9" t="str">
        <f> VLOOKUP(B531,'Kopie van RawV3Q1'!F:G,2,false)
</f>
        <v>vertaler, katholiek priester, pater, schrijver</v>
      </c>
      <c r="E531" s="13" t="s">
        <v>2411</v>
      </c>
    </row>
    <row r="532">
      <c r="A532" s="11" t="s">
        <v>2940</v>
      </c>
      <c r="B532" s="9" t="s">
        <v>1570</v>
      </c>
      <c r="C532" s="1" t="s">
        <v>2409</v>
      </c>
      <c r="D532" s="9" t="str">
        <f> VLOOKUP(B532,'Kopie van RawV3Q1'!F:G,2,false)
</f>
        <v>vertaler</v>
      </c>
      <c r="E532" s="13" t="s">
        <v>2411</v>
      </c>
    </row>
    <row r="533">
      <c r="A533" s="11" t="s">
        <v>2941</v>
      </c>
      <c r="B533" s="9" t="s">
        <v>1012</v>
      </c>
      <c r="C533" s="1" t="s">
        <v>2409</v>
      </c>
      <c r="D533" s="9" t="str">
        <f> VLOOKUP(B533,'Kopie van RawV3Q1'!F:G,2,false)
</f>
        <v>vertaler, katholiek bisschop, rector, katholiek priester, taalkundige</v>
      </c>
      <c r="E533" s="13" t="s">
        <v>2411</v>
      </c>
    </row>
    <row r="534">
      <c r="A534" s="11" t="s">
        <v>2942</v>
      </c>
      <c r="B534" s="9" t="s">
        <v>1482</v>
      </c>
      <c r="C534" s="1" t="s">
        <v>2409</v>
      </c>
      <c r="D534" s="9" t="str">
        <f> VLOOKUP(B534,'Kopie van RawV3Q1'!F:G,2,false)
</f>
        <v>vertaler, hoofdredacteur, leerkracht</v>
      </c>
      <c r="E534" s="13" t="s">
        <v>2411</v>
      </c>
    </row>
    <row r="535">
      <c r="A535" s="11" t="s">
        <v>2943</v>
      </c>
      <c r="B535" s="9" t="s">
        <v>1049</v>
      </c>
      <c r="C535" s="1" t="s">
        <v>2409</v>
      </c>
      <c r="D535" s="9" t="str">
        <f> VLOOKUP(B535,'Kopie van RawV3Q1'!F:G,2,false)
</f>
        <v>verzamelaar, vertaler</v>
      </c>
      <c r="E535" s="12" t="s">
        <v>1050</v>
      </c>
    </row>
    <row r="536">
      <c r="A536" s="11" t="s">
        <v>2944</v>
      </c>
      <c r="B536" s="9" t="s">
        <v>1102</v>
      </c>
      <c r="C536" s="1" t="s">
        <v>2409</v>
      </c>
      <c r="D536" s="9" t="str">
        <f> VLOOKUP(B536,'Kopie van RawV3Q1'!F:G,2,false)
</f>
        <v>verzekeringsmakelaar, secretaris</v>
      </c>
      <c r="E536" s="12" t="s">
        <v>1103</v>
      </c>
    </row>
    <row r="537">
      <c r="A537" s="11" t="s">
        <v>2945</v>
      </c>
      <c r="B537" s="9" t="s">
        <v>6</v>
      </c>
      <c r="C537" s="1" t="s">
        <v>2409</v>
      </c>
      <c r="D537" s="9" t="str">
        <f> VLOOKUP(B537,'Kopie van RawV3Q1'!F:G,2,false)
</f>
        <v>vicaris-generaal, katholieke diaken, kanunnik, katholiek bisschop, rector, katholiek priester, geestelijk leidsman, academisch docent, theoloog</v>
      </c>
      <c r="E537" s="12" t="s">
        <v>9</v>
      </c>
    </row>
    <row r="538">
      <c r="A538" s="11" t="s">
        <v>2946</v>
      </c>
      <c r="B538" s="9" t="s">
        <v>628</v>
      </c>
      <c r="C538" s="1" t="s">
        <v>2409</v>
      </c>
      <c r="D538" s="9" t="str">
        <f> VLOOKUP(B538,'Kopie van RawV3Q1'!F:G,2,false)
</f>
        <v>volkskundige, schrijver</v>
      </c>
      <c r="E538" s="12" t="s">
        <v>629</v>
      </c>
    </row>
    <row r="539">
      <c r="A539" s="11" t="s">
        <v>2947</v>
      </c>
      <c r="B539" s="9" t="s">
        <v>644</v>
      </c>
      <c r="C539" s="1" t="s">
        <v>2409</v>
      </c>
      <c r="D539" s="9" t="str">
        <f> VLOOKUP(B539,'Kopie van RawV3Q1'!F:G,2,false)
</f>
        <v>vuurwerkmaker, taxidermist</v>
      </c>
      <c r="E539" s="13" t="s">
        <v>2411</v>
      </c>
    </row>
    <row r="540">
      <c r="A540" s="11" t="s">
        <v>2948</v>
      </c>
      <c r="B540" s="9" t="s">
        <v>716</v>
      </c>
      <c r="C540" s="1" t="s">
        <v>2409</v>
      </c>
      <c r="D540" s="9" t="str">
        <f> VLOOKUP(B540,'Kopie van RawV3Q1'!F:G,2,false)
</f>
        <v>wijnhandelaar, onderwijzer</v>
      </c>
      <c r="E540" s="13" t="s">
        <v>2411</v>
      </c>
    </row>
    <row r="541">
      <c r="A541" s="11" t="s">
        <v>2949</v>
      </c>
      <c r="B541" s="9" t="s">
        <v>1274</v>
      </c>
      <c r="C541" s="1" t="s">
        <v>2409</v>
      </c>
      <c r="D541" s="9" t="str">
        <f> VLOOKUP(B541,'Kopie van RawV3Q1'!F:G,2,false)
</f>
        <v>winkelbediende</v>
      </c>
      <c r="E541" s="13" t="s">
        <v>2411</v>
      </c>
    </row>
    <row r="542">
      <c r="A542" s="11" t="s">
        <v>2950</v>
      </c>
      <c r="B542" s="9" t="s">
        <v>706</v>
      </c>
      <c r="C542" s="1" t="s">
        <v>2409</v>
      </c>
      <c r="D542" s="9" t="str">
        <f> VLOOKUP(B542,'Kopie van RawV3Q1'!F:G,2,false)
</f>
        <v>winkelbediende, rentenier</v>
      </c>
      <c r="E542" s="13" t="s">
        <v>2411</v>
      </c>
    </row>
    <row r="543">
      <c r="A543" s="11" t="s">
        <v>2951</v>
      </c>
      <c r="B543" s="9" t="s">
        <v>635</v>
      </c>
      <c r="C543" s="1" t="s">
        <v>2409</v>
      </c>
      <c r="D543" s="9" t="str">
        <f> VLOOKUP(B543,'Kopie van RawV3Q1'!F:G,2,false)
</f>
        <v>winkelier</v>
      </c>
      <c r="E543" s="12" t="s">
        <v>638</v>
      </c>
    </row>
    <row r="544">
      <c r="A544" s="11" t="s">
        <v>2952</v>
      </c>
      <c r="B544" s="9" t="s">
        <v>1230</v>
      </c>
      <c r="C544" s="1" t="s">
        <v>2409</v>
      </c>
      <c r="D544" s="9" t="str">
        <f> VLOOKUP(B544,'Kopie van RawV3Q1'!F:G,2,false)
</f>
        <v>winkelier, textielfabrikant, textielhandelaar</v>
      </c>
      <c r="E544" s="13" t="s">
        <v>2411</v>
      </c>
    </row>
    <row r="545">
      <c r="A545" s="11" t="s">
        <v>2953</v>
      </c>
      <c r="B545" s="9" t="s">
        <v>1591</v>
      </c>
      <c r="C545" s="1" t="s">
        <v>2409</v>
      </c>
      <c r="D545" s="9" t="str">
        <f> VLOOKUP(B545,'Kopie van RawV3Q1'!F:G,2,false)
</f>
        <v>winkelier, pianoleraar</v>
      </c>
      <c r="E545" s="13" t="s">
        <v>2411</v>
      </c>
    </row>
    <row r="546">
      <c r="A546" s="11" t="s">
        <v>2954</v>
      </c>
      <c r="B546" s="9" t="s">
        <v>1749</v>
      </c>
      <c r="C546" s="1" t="s">
        <v>2409</v>
      </c>
      <c r="D546" s="9" t="str">
        <f> VLOOKUP(B546,'Kopie van RawV3Q1'!F:G,2,false)
</f>
        <v>winkelier</v>
      </c>
      <c r="E546" s="13" t="s">
        <v>2411</v>
      </c>
    </row>
    <row r="547">
      <c r="A547" s="11" t="s">
        <v>2955</v>
      </c>
      <c r="B547" s="9" t="s">
        <v>770</v>
      </c>
      <c r="C547" s="1" t="s">
        <v>2409</v>
      </c>
      <c r="D547" s="9" t="str">
        <f> VLOOKUP(B547,'Kopie van RawV3Q1'!F:G,2,false)
</f>
        <v/>
      </c>
      <c r="E547" s="13" t="s">
        <v>2411</v>
      </c>
    </row>
    <row r="548">
      <c r="A548" s="11" t="s">
        <v>2956</v>
      </c>
      <c r="B548" s="9" t="s">
        <v>1683</v>
      </c>
      <c r="C548" s="1" t="s">
        <v>2409</v>
      </c>
      <c r="D548" s="9" t="str">
        <f> VLOOKUP(B548,'Kopie van RawV3Q1'!F:G,2,false)
</f>
        <v/>
      </c>
      <c r="E548" s="13" t="s">
        <v>2411</v>
      </c>
    </row>
    <row r="549">
      <c r="A549" s="11" t="s">
        <v>2957</v>
      </c>
      <c r="B549" s="9" t="s">
        <v>1786</v>
      </c>
      <c r="C549" s="1" t="s">
        <v>2409</v>
      </c>
      <c r="D549" s="9" t="str">
        <f> VLOOKUP(B549,'Kopie van RawV3Q1'!F:G,2,false)
</f>
        <v/>
      </c>
      <c r="E549" s="13" t="s">
        <v>2411</v>
      </c>
    </row>
    <row r="550">
      <c r="A550" s="11" t="s">
        <v>2958</v>
      </c>
      <c r="B550" s="9" t="s">
        <v>782</v>
      </c>
      <c r="C550" s="1" t="s">
        <v>2409</v>
      </c>
      <c r="D550" s="9" t="str">
        <f> VLOOKUP(B550,'Kopie van RawV3Q1'!F:G,2,false)
</f>
        <v/>
      </c>
      <c r="E550" s="13" t="s">
        <v>2411</v>
      </c>
    </row>
    <row r="551">
      <c r="A551" s="11" t="s">
        <v>2959</v>
      </c>
      <c r="B551" s="9" t="s">
        <v>1607</v>
      </c>
      <c r="C551" s="1" t="s">
        <v>2409</v>
      </c>
      <c r="D551" s="9" t="str">
        <f> VLOOKUP(B551,'Kopie van RawV3Q1'!F:G,2,false)
</f>
        <v/>
      </c>
      <c r="E551" s="13" t="s">
        <v>2411</v>
      </c>
    </row>
    <row r="552">
      <c r="A552" s="11" t="s">
        <v>2960</v>
      </c>
      <c r="B552" s="9" t="s">
        <v>686</v>
      </c>
      <c r="C552" s="1" t="s">
        <v>2409</v>
      </c>
      <c r="D552" s="9" t="str">
        <f> VLOOKUP(B552,'Kopie van RawV3Q1'!F:G,2,false)
</f>
        <v/>
      </c>
      <c r="E552" s="13" t="s">
        <v>2411</v>
      </c>
    </row>
    <row r="553">
      <c r="A553" s="11" t="s">
        <v>2961</v>
      </c>
      <c r="B553" s="9" t="s">
        <v>1288</v>
      </c>
      <c r="C553" s="1" t="s">
        <v>2409</v>
      </c>
      <c r="D553" s="9" t="str">
        <f> VLOOKUP(B553,'Kopie van RawV3Q1'!F:G,2,false)
</f>
        <v/>
      </c>
      <c r="E553" s="13" t="s">
        <v>2411</v>
      </c>
    </row>
    <row r="554">
      <c r="A554" s="11" t="s">
        <v>2962</v>
      </c>
      <c r="B554" s="9" t="s">
        <v>1687</v>
      </c>
      <c r="C554" s="1" t="s">
        <v>2409</v>
      </c>
      <c r="D554" s="9" t="str">
        <f> VLOOKUP(B554,'Kopie van RawV3Q1'!F:G,2,false)
</f>
        <v/>
      </c>
      <c r="E554" s="13" t="s">
        <v>2411</v>
      </c>
    </row>
    <row r="555">
      <c r="A555" s="11" t="s">
        <v>2963</v>
      </c>
      <c r="B555" s="9" t="s">
        <v>768</v>
      </c>
      <c r="C555" s="1" t="s">
        <v>2409</v>
      </c>
      <c r="D555" s="9" t="str">
        <f> VLOOKUP(B555,'Kopie van RawV3Q1'!F:G,2,false)
</f>
        <v/>
      </c>
      <c r="E555" s="13" t="s">
        <v>2411</v>
      </c>
    </row>
    <row r="556">
      <c r="A556" s="11" t="s">
        <v>2964</v>
      </c>
      <c r="B556" s="9" t="s">
        <v>1824</v>
      </c>
      <c r="C556" s="1" t="s">
        <v>2409</v>
      </c>
      <c r="D556" s="9" t="str">
        <f> VLOOKUP(B556,'Kopie van RawV3Q1'!F:G,2,false)
</f>
        <v/>
      </c>
      <c r="E556" s="13" t="s">
        <v>2411</v>
      </c>
    </row>
    <row r="557">
      <c r="A557" s="11" t="s">
        <v>2965</v>
      </c>
      <c r="B557" s="9" t="s">
        <v>1822</v>
      </c>
      <c r="C557" s="1" t="s">
        <v>2409</v>
      </c>
      <c r="D557" s="9" t="str">
        <f> VLOOKUP(B557,'Kopie van RawV3Q1'!F:G,2,false)
</f>
        <v/>
      </c>
      <c r="E557" s="13" t="s">
        <v>2411</v>
      </c>
    </row>
    <row r="558">
      <c r="A558" s="11" t="s">
        <v>2966</v>
      </c>
      <c r="B558" s="9" t="s">
        <v>1387</v>
      </c>
      <c r="C558" s="1" t="s">
        <v>2409</v>
      </c>
      <c r="D558" s="9" t="str">
        <f> VLOOKUP(B558,'Kopie van RawV3Q1'!F:G,2,false)
</f>
        <v/>
      </c>
      <c r="E558" s="13" t="s">
        <v>2411</v>
      </c>
    </row>
    <row r="559">
      <c r="A559" s="11" t="s">
        <v>2967</v>
      </c>
      <c r="B559" s="9" t="s">
        <v>1539</v>
      </c>
      <c r="C559" s="1" t="s">
        <v>2409</v>
      </c>
      <c r="D559" s="9" t="str">
        <f> VLOOKUP(B559,'Kopie van RawV3Q1'!F:G,2,false)
</f>
        <v/>
      </c>
      <c r="E559" s="13" t="s">
        <v>2411</v>
      </c>
    </row>
    <row r="560">
      <c r="A560" s="11" t="s">
        <v>2968</v>
      </c>
      <c r="B560" s="9" t="s">
        <v>1701</v>
      </c>
      <c r="C560" s="1" t="s">
        <v>2409</v>
      </c>
      <c r="D560" s="9" t="str">
        <f> VLOOKUP(B560,'Kopie van RawV3Q1'!F:G,2,false)
</f>
        <v/>
      </c>
      <c r="E560" s="13" t="s">
        <v>2411</v>
      </c>
    </row>
    <row r="561">
      <c r="A561" s="11" t="s">
        <v>2969</v>
      </c>
      <c r="B561" s="9" t="s">
        <v>1181</v>
      </c>
      <c r="C561" s="1" t="s">
        <v>2409</v>
      </c>
      <c r="D561" s="9" t="str">
        <f> VLOOKUP(B561,'Kopie van RawV3Q1'!F:G,2,false)
</f>
        <v/>
      </c>
      <c r="E561" s="13" t="s">
        <v>2411</v>
      </c>
    </row>
    <row r="562">
      <c r="A562" s="11" t="s">
        <v>2970</v>
      </c>
      <c r="B562" s="9" t="s">
        <v>1282</v>
      </c>
      <c r="C562" s="1" t="s">
        <v>2409</v>
      </c>
      <c r="D562" s="9" t="str">
        <f> VLOOKUP(B562,'Kopie van RawV3Q1'!F:G,2,false)
</f>
        <v/>
      </c>
      <c r="E562" s="13" t="s">
        <v>2411</v>
      </c>
    </row>
    <row r="563">
      <c r="A563" s="11" t="s">
        <v>2971</v>
      </c>
      <c r="B563" s="9" t="s">
        <v>688</v>
      </c>
      <c r="C563" s="1" t="s">
        <v>2409</v>
      </c>
      <c r="D563" s="9" t="str">
        <f> VLOOKUP(B563,'Kopie van RawV3Q1'!F:G,2,false)
</f>
        <v/>
      </c>
      <c r="E563" s="13" t="s">
        <v>2411</v>
      </c>
    </row>
    <row r="564">
      <c r="A564" s="11" t="s">
        <v>2972</v>
      </c>
      <c r="B564" s="9" t="s">
        <v>1669</v>
      </c>
      <c r="C564" s="1" t="s">
        <v>2409</v>
      </c>
      <c r="D564" s="9" t="str">
        <f> VLOOKUP(B564,'Kopie van RawV3Q1'!F:G,2,false)
</f>
        <v/>
      </c>
      <c r="E564" s="13" t="s">
        <v>2411</v>
      </c>
    </row>
    <row r="565">
      <c r="A565" s="11" t="s">
        <v>2973</v>
      </c>
      <c r="B565" s="9" t="s">
        <v>1699</v>
      </c>
      <c r="C565" s="1" t="s">
        <v>2409</v>
      </c>
      <c r="D565" s="9" t="str">
        <f> VLOOKUP(B565,'Kopie van RawV3Q1'!F:G,2,false)
</f>
        <v/>
      </c>
      <c r="E565" s="13" t="s">
        <v>2411</v>
      </c>
    </row>
    <row r="566">
      <c r="A566" s="11" t="s">
        <v>2974</v>
      </c>
      <c r="B566" s="9" t="s">
        <v>1179</v>
      </c>
      <c r="C566" s="1" t="s">
        <v>2409</v>
      </c>
      <c r="D566" s="9" t="str">
        <f> VLOOKUP(B566,'Kopie van RawV3Q1'!F:G,2,false)
</f>
        <v/>
      </c>
      <c r="E566" s="13" t="s">
        <v>2411</v>
      </c>
    </row>
    <row r="567">
      <c r="A567" s="11" t="s">
        <v>2975</v>
      </c>
      <c r="B567" s="9" t="s">
        <v>1125</v>
      </c>
      <c r="C567" s="1" t="s">
        <v>2409</v>
      </c>
      <c r="D567" s="9" t="str">
        <f> VLOOKUP(B567,'Kopie van RawV3Q1'!F:G,2,false)
</f>
        <v/>
      </c>
      <c r="E567" s="13" t="s">
        <v>2411</v>
      </c>
    </row>
    <row r="568">
      <c r="A568" s="11" t="s">
        <v>2976</v>
      </c>
      <c r="B568" s="9" t="s">
        <v>1280</v>
      </c>
      <c r="C568" s="1" t="s">
        <v>2409</v>
      </c>
      <c r="D568" s="9" t="str">
        <f> VLOOKUP(B568,'Kopie van RawV3Q1'!F:G,2,false)
</f>
        <v/>
      </c>
      <c r="E568" s="13" t="s">
        <v>2411</v>
      </c>
    </row>
    <row r="569">
      <c r="A569" s="11" t="s">
        <v>2977</v>
      </c>
      <c r="B569" s="9" t="s">
        <v>1187</v>
      </c>
      <c r="C569" s="1" t="s">
        <v>2409</v>
      </c>
      <c r="D569" s="9" t="str">
        <f> VLOOKUP(B569,'Kopie van RawV3Q1'!F:G,2,false)
</f>
        <v/>
      </c>
      <c r="E569" s="13" t="s">
        <v>2411</v>
      </c>
    </row>
    <row r="570">
      <c r="A570" s="11" t="s">
        <v>2978</v>
      </c>
      <c r="B570" s="9" t="s">
        <v>1695</v>
      </c>
      <c r="C570" s="1" t="s">
        <v>2409</v>
      </c>
      <c r="D570" s="9" t="str">
        <f> VLOOKUP(B570,'Kopie van RawV3Q1'!F:G,2,false)
</f>
        <v/>
      </c>
      <c r="E570" s="13" t="s">
        <v>2411</v>
      </c>
    </row>
    <row r="571">
      <c r="A571" s="11" t="s">
        <v>2979</v>
      </c>
      <c r="B571" s="9" t="s">
        <v>1183</v>
      </c>
      <c r="C571" s="1" t="s">
        <v>2409</v>
      </c>
      <c r="D571" s="9" t="str">
        <f> VLOOKUP(B571,'Kopie van RawV3Q1'!F:G,2,false)
</f>
        <v/>
      </c>
      <c r="E571" s="13" t="s">
        <v>2411</v>
      </c>
    </row>
    <row r="572">
      <c r="A572" s="11" t="s">
        <v>2980</v>
      </c>
      <c r="B572" s="9" t="s">
        <v>1276</v>
      </c>
      <c r="C572" s="1" t="s">
        <v>2409</v>
      </c>
      <c r="D572" s="9" t="str">
        <f> VLOOKUP(B572,'Kopie van RawV3Q1'!F:G,2,false)
</f>
        <v/>
      </c>
      <c r="E572" s="13" t="s">
        <v>2411</v>
      </c>
    </row>
    <row r="573">
      <c r="A573" s="11" t="s">
        <v>2981</v>
      </c>
      <c r="B573" s="9" t="s">
        <v>774</v>
      </c>
      <c r="C573" s="1" t="s">
        <v>2409</v>
      </c>
      <c r="D573" s="9" t="str">
        <f> VLOOKUP(B573,'Kopie van RawV3Q1'!F:G,2,false)
</f>
        <v/>
      </c>
      <c r="E573" s="13" t="s">
        <v>2411</v>
      </c>
    </row>
    <row r="574">
      <c r="A574" s="11" t="s">
        <v>2982</v>
      </c>
      <c r="B574" s="9" t="s">
        <v>1609</v>
      </c>
      <c r="C574" s="1" t="s">
        <v>2409</v>
      </c>
      <c r="D574" s="9" t="str">
        <f> VLOOKUP(B574,'Kopie van RawV3Q1'!F:G,2,false)
</f>
        <v/>
      </c>
      <c r="E574" s="13" t="s">
        <v>2411</v>
      </c>
    </row>
    <row r="575">
      <c r="A575" s="11" t="s">
        <v>2983</v>
      </c>
      <c r="B575" s="9" t="s">
        <v>1284</v>
      </c>
      <c r="C575" s="1" t="s">
        <v>2409</v>
      </c>
      <c r="D575" s="9" t="str">
        <f> VLOOKUP(B575,'Kopie van RawV3Q1'!F:G,2,false)
</f>
        <v/>
      </c>
      <c r="E575" s="13" t="s">
        <v>2411</v>
      </c>
    </row>
    <row r="576">
      <c r="A576" s="11" t="s">
        <v>2984</v>
      </c>
      <c r="B576" s="9" t="s">
        <v>1397</v>
      </c>
      <c r="C576" s="1" t="s">
        <v>2409</v>
      </c>
      <c r="D576" s="9" t="str">
        <f> VLOOKUP(B576,'Kopie van RawV3Q1'!F:G,2,false)
</f>
        <v/>
      </c>
      <c r="E576" s="13" t="s">
        <v>2411</v>
      </c>
    </row>
    <row r="577">
      <c r="A577" s="11" t="s">
        <v>2985</v>
      </c>
      <c r="B577" s="9" t="s">
        <v>1677</v>
      </c>
      <c r="C577" s="1" t="s">
        <v>2409</v>
      </c>
      <c r="D577" s="9" t="str">
        <f> VLOOKUP(B577,'Kopie van RawV3Q1'!F:G,2,false)
</f>
        <v/>
      </c>
      <c r="E577" s="13" t="s">
        <v>2411</v>
      </c>
    </row>
    <row r="578">
      <c r="A578" s="11" t="s">
        <v>2986</v>
      </c>
      <c r="B578" s="9" t="s">
        <v>1691</v>
      </c>
      <c r="C578" s="1" t="s">
        <v>2409</v>
      </c>
      <c r="D578" s="9" t="str">
        <f> VLOOKUP(B578,'Kopie van RawV3Q1'!F:G,2,false)
</f>
        <v/>
      </c>
      <c r="E578" s="13" t="s">
        <v>2411</v>
      </c>
    </row>
    <row r="579">
      <c r="A579" s="11" t="s">
        <v>2987</v>
      </c>
      <c r="B579" s="9" t="s">
        <v>889</v>
      </c>
      <c r="C579" s="1" t="s">
        <v>2409</v>
      </c>
      <c r="D579" s="9" t="str">
        <f> VLOOKUP(B579,'Kopie van RawV3Q1'!F:G,2,false)
</f>
        <v/>
      </c>
      <c r="E579" s="13" t="s">
        <v>2411</v>
      </c>
    </row>
    <row r="580">
      <c r="A580" s="11" t="s">
        <v>2988</v>
      </c>
      <c r="B580" s="9" t="s">
        <v>1189</v>
      </c>
      <c r="C580" s="1" t="s">
        <v>2409</v>
      </c>
      <c r="D580" s="9" t="str">
        <f> VLOOKUP(B580,'Kopie van RawV3Q1'!F:G,2,false)
</f>
        <v/>
      </c>
      <c r="E580" s="13" t="s">
        <v>2411</v>
      </c>
    </row>
    <row r="581">
      <c r="A581" s="11" t="s">
        <v>2989</v>
      </c>
      <c r="B581" s="9" t="s">
        <v>1217</v>
      </c>
      <c r="C581" s="1" t="s">
        <v>2409</v>
      </c>
      <c r="D581" s="9" t="str">
        <f> VLOOKUP(B581,'Kopie van RawV3Q1'!F:G,2,false)
</f>
        <v/>
      </c>
      <c r="E581" s="12" t="s">
        <v>1218</v>
      </c>
    </row>
    <row r="582">
      <c r="A582" s="11" t="s">
        <v>2990</v>
      </c>
      <c r="B582" s="9" t="s">
        <v>684</v>
      </c>
      <c r="C582" s="1" t="s">
        <v>2409</v>
      </c>
      <c r="D582" s="9" t="str">
        <f> VLOOKUP(B582,'Kopie van RawV3Q1'!F:G,2,false)
</f>
        <v/>
      </c>
      <c r="E582" s="13" t="s">
        <v>2411</v>
      </c>
    </row>
    <row r="583">
      <c r="A583" s="11" t="s">
        <v>2991</v>
      </c>
      <c r="B583" s="9" t="s">
        <v>776</v>
      </c>
      <c r="C583" s="1" t="s">
        <v>2409</v>
      </c>
      <c r="D583" s="9" t="str">
        <f> VLOOKUP(B583,'Kopie van RawV3Q1'!F:G,2,false)
</f>
        <v/>
      </c>
      <c r="E583" s="13" t="s">
        <v>2411</v>
      </c>
    </row>
    <row r="584">
      <c r="A584" s="11" t="s">
        <v>2992</v>
      </c>
      <c r="B584" s="9" t="s">
        <v>885</v>
      </c>
      <c r="C584" s="1" t="s">
        <v>2409</v>
      </c>
      <c r="D584" s="9" t="str">
        <f> VLOOKUP(B584,'Kopie van RawV3Q1'!F:G,2,false)
</f>
        <v/>
      </c>
      <c r="E584" s="13" t="s">
        <v>2411</v>
      </c>
    </row>
    <row r="585">
      <c r="A585" s="11" t="s">
        <v>2993</v>
      </c>
      <c r="B585" s="9" t="s">
        <v>887</v>
      </c>
      <c r="C585" s="1" t="s">
        <v>2409</v>
      </c>
      <c r="D585" s="9" t="str">
        <f> VLOOKUP(B585,'Kopie van RawV3Q1'!F:G,2,false)
</f>
        <v/>
      </c>
      <c r="E585" s="13" t="s">
        <v>2411</v>
      </c>
    </row>
    <row r="586">
      <c r="A586" s="11" t="s">
        <v>2994</v>
      </c>
      <c r="B586" s="9" t="s">
        <v>772</v>
      </c>
      <c r="C586" s="1" t="s">
        <v>2409</v>
      </c>
      <c r="D586" s="9" t="str">
        <f> VLOOKUP(B586,'Kopie van RawV3Q1'!F:G,2,false)
</f>
        <v/>
      </c>
      <c r="E586" s="13" t="s">
        <v>2411</v>
      </c>
    </row>
    <row r="587">
      <c r="A587" s="11" t="s">
        <v>2995</v>
      </c>
      <c r="B587" s="9" t="s">
        <v>1705</v>
      </c>
      <c r="C587" s="1" t="s">
        <v>2409</v>
      </c>
      <c r="D587" s="9" t="str">
        <f> VLOOKUP(B587,'Kopie van RawV3Q1'!F:G,2,false)
</f>
        <v/>
      </c>
      <c r="E587" s="13" t="s">
        <v>2411</v>
      </c>
    </row>
    <row r="588">
      <c r="A588" s="11" t="s">
        <v>2996</v>
      </c>
      <c r="B588" s="9" t="s">
        <v>891</v>
      </c>
      <c r="C588" s="1" t="s">
        <v>2409</v>
      </c>
      <c r="D588" s="9" t="str">
        <f> VLOOKUP(B588,'Kopie van RawV3Q1'!F:G,2,false)
</f>
        <v/>
      </c>
      <c r="E588" s="13" t="s">
        <v>2411</v>
      </c>
    </row>
    <row r="589">
      <c r="A589" s="11" t="s">
        <v>2997</v>
      </c>
      <c r="B589" s="9" t="s">
        <v>883</v>
      </c>
      <c r="C589" s="1" t="s">
        <v>2409</v>
      </c>
      <c r="D589" s="9" t="str">
        <f> VLOOKUP(B589,'Kopie van RawV3Q1'!F:G,2,false)
</f>
        <v/>
      </c>
      <c r="E589" s="13" t="s">
        <v>2411</v>
      </c>
    </row>
    <row r="590">
      <c r="A590" s="11" t="s">
        <v>2998</v>
      </c>
      <c r="B590" s="9" t="s">
        <v>1613</v>
      </c>
      <c r="C590" s="1" t="s">
        <v>2409</v>
      </c>
      <c r="D590" s="9" t="str">
        <f> VLOOKUP(B590,'Kopie van RawV3Q1'!F:G,2,false)
</f>
        <v/>
      </c>
      <c r="E590" s="13" t="s">
        <v>2411</v>
      </c>
    </row>
    <row r="591">
      <c r="A591" s="11" t="s">
        <v>2999</v>
      </c>
      <c r="B591" s="9" t="s">
        <v>1389</v>
      </c>
      <c r="C591" s="1" t="s">
        <v>2409</v>
      </c>
      <c r="D591" s="9" t="str">
        <f> VLOOKUP(B591,'Kopie van RawV3Q1'!F:G,2,false)
</f>
        <v/>
      </c>
      <c r="E591" s="13" t="s">
        <v>2411</v>
      </c>
    </row>
    <row r="592">
      <c r="A592" s="11" t="s">
        <v>3000</v>
      </c>
      <c r="B592" s="9" t="s">
        <v>1693</v>
      </c>
      <c r="C592" s="1" t="s">
        <v>2409</v>
      </c>
      <c r="D592" s="9" t="str">
        <f> VLOOKUP(B592,'Kopie van RawV3Q1'!F:G,2,false)
</f>
        <v/>
      </c>
      <c r="E592" s="13" t="s">
        <v>2411</v>
      </c>
    </row>
    <row r="593">
      <c r="A593" s="11" t="s">
        <v>3001</v>
      </c>
      <c r="B593" s="9" t="s">
        <v>1673</v>
      </c>
      <c r="C593" s="1" t="s">
        <v>2409</v>
      </c>
      <c r="D593" s="9" t="str">
        <f> VLOOKUP(B593,'Kopie van RawV3Q1'!F:G,2,false)
</f>
        <v/>
      </c>
      <c r="E593" s="13" t="s">
        <v>2411</v>
      </c>
    </row>
    <row r="594">
      <c r="A594" s="11" t="s">
        <v>3002</v>
      </c>
      <c r="B594" s="9" t="s">
        <v>1391</v>
      </c>
      <c r="C594" s="1" t="s">
        <v>2409</v>
      </c>
      <c r="D594" s="9" t="str">
        <f> VLOOKUP(B594,'Kopie van RawV3Q1'!F:G,2,false)
</f>
        <v/>
      </c>
      <c r="E594" s="13" t="s">
        <v>2411</v>
      </c>
    </row>
    <row r="595">
      <c r="A595" s="11" t="s">
        <v>3003</v>
      </c>
      <c r="B595" s="9" t="s">
        <v>1278</v>
      </c>
      <c r="C595" s="1" t="s">
        <v>2409</v>
      </c>
      <c r="D595" s="9" t="str">
        <f> VLOOKUP(B595,'Kopie van RawV3Q1'!F:G,2,false)
</f>
        <v/>
      </c>
      <c r="E595" s="13" t="s">
        <v>2411</v>
      </c>
    </row>
    <row r="596">
      <c r="A596" s="11" t="s">
        <v>3004</v>
      </c>
      <c r="B596" s="9" t="s">
        <v>766</v>
      </c>
      <c r="C596" s="1" t="s">
        <v>2409</v>
      </c>
      <c r="D596" s="9" t="str">
        <f> VLOOKUP(B596,'Kopie van RawV3Q1'!F:G,2,false)
</f>
        <v/>
      </c>
      <c r="E596" s="13" t="s">
        <v>2411</v>
      </c>
    </row>
    <row r="597">
      <c r="A597" s="11" t="s">
        <v>3005</v>
      </c>
      <c r="B597" s="9" t="s">
        <v>841</v>
      </c>
      <c r="C597" s="1" t="s">
        <v>2409</v>
      </c>
      <c r="D597" s="9" t="str">
        <f> VLOOKUP(B597,'Kopie van RawV3Q1'!F:G,2,false)
</f>
        <v/>
      </c>
      <c r="E597" s="12" t="s">
        <v>842</v>
      </c>
    </row>
    <row r="598">
      <c r="A598" s="11" t="s">
        <v>3006</v>
      </c>
      <c r="B598" s="9" t="s">
        <v>1393</v>
      </c>
      <c r="C598" s="1" t="s">
        <v>2409</v>
      </c>
      <c r="D598" s="9" t="str">
        <f> VLOOKUP(B598,'Kopie van RawV3Q1'!F:G,2,false)
</f>
        <v/>
      </c>
      <c r="E598" s="13" t="s">
        <v>2411</v>
      </c>
    </row>
    <row r="599">
      <c r="A599" s="11" t="s">
        <v>3007</v>
      </c>
      <c r="B599" s="9" t="s">
        <v>1615</v>
      </c>
      <c r="C599" s="1" t="s">
        <v>2409</v>
      </c>
      <c r="D599" s="9" t="str">
        <f> VLOOKUP(B599,'Kopie van RawV3Q1'!F:G,2,false)
</f>
        <v/>
      </c>
      <c r="E599" s="13" t="s">
        <v>2411</v>
      </c>
    </row>
    <row r="600">
      <c r="A600" s="11" t="s">
        <v>3008</v>
      </c>
      <c r="B600" s="9" t="s">
        <v>1685</v>
      </c>
      <c r="C600" s="1" t="s">
        <v>2409</v>
      </c>
      <c r="D600" s="9" t="str">
        <f> VLOOKUP(B600,'Kopie van RawV3Q1'!F:G,2,false)
</f>
        <v/>
      </c>
      <c r="E600" s="13" t="s">
        <v>2411</v>
      </c>
    </row>
    <row r="601">
      <c r="A601" s="11" t="s">
        <v>3009</v>
      </c>
      <c r="B601" s="9" t="s">
        <v>1707</v>
      </c>
      <c r="C601" s="1" t="s">
        <v>2409</v>
      </c>
      <c r="D601" s="9" t="str">
        <f> VLOOKUP(B601,'Kopie van RawV3Q1'!F:G,2,false)
</f>
        <v/>
      </c>
      <c r="E601" s="13" t="s">
        <v>2411</v>
      </c>
    </row>
    <row r="602">
      <c r="A602" s="11" t="s">
        <v>3010</v>
      </c>
      <c r="B602" s="9" t="s">
        <v>1185</v>
      </c>
      <c r="C602" s="1" t="s">
        <v>2409</v>
      </c>
      <c r="D602" s="9" t="str">
        <f> VLOOKUP(B602,'Kopie van RawV3Q1'!F:G,2,false)
</f>
        <v/>
      </c>
      <c r="E602" s="13" t="s">
        <v>2411</v>
      </c>
    </row>
    <row r="603">
      <c r="A603" s="11" t="s">
        <v>3011</v>
      </c>
      <c r="B603" s="9" t="s">
        <v>1298</v>
      </c>
      <c r="C603" s="1" t="s">
        <v>2409</v>
      </c>
      <c r="D603" s="9" t="str">
        <f> VLOOKUP(B603,'Kopie van RawV3Q1'!F:G,2,false)
</f>
        <v/>
      </c>
      <c r="E603" s="13" t="s">
        <v>2411</v>
      </c>
    </row>
    <row r="604">
      <c r="A604" s="11" t="s">
        <v>3012</v>
      </c>
      <c r="B604" s="9" t="s">
        <v>1703</v>
      </c>
      <c r="C604" s="1" t="s">
        <v>2409</v>
      </c>
      <c r="D604" s="9" t="str">
        <f> VLOOKUP(B604,'Kopie van RawV3Q1'!F:G,2,false)
</f>
        <v/>
      </c>
      <c r="E604" s="13" t="s">
        <v>2411</v>
      </c>
    </row>
    <row r="605">
      <c r="A605" s="11" t="s">
        <v>3013</v>
      </c>
      <c r="B605" s="9" t="s">
        <v>764</v>
      </c>
      <c r="C605" s="1" t="s">
        <v>2409</v>
      </c>
      <c r="D605" s="9" t="str">
        <f> VLOOKUP(B605,'Kopie van RawV3Q1'!F:G,2,false)
</f>
        <v/>
      </c>
      <c r="E605" s="13" t="s">
        <v>2411</v>
      </c>
    </row>
    <row r="606">
      <c r="A606" s="11" t="s">
        <v>3014</v>
      </c>
      <c r="B606" s="9" t="s">
        <v>1395</v>
      </c>
      <c r="C606" s="1" t="s">
        <v>2409</v>
      </c>
      <c r="D606" s="9" t="str">
        <f> VLOOKUP(B606,'Kopie van RawV3Q1'!F:G,2,false)
</f>
        <v/>
      </c>
      <c r="E606" s="13" t="s">
        <v>2411</v>
      </c>
    </row>
    <row r="607">
      <c r="A607" s="11" t="s">
        <v>3015</v>
      </c>
      <c r="B607" s="9" t="s">
        <v>1085</v>
      </c>
      <c r="C607" s="1" t="s">
        <v>2409</v>
      </c>
      <c r="D607" s="9" t="str">
        <f> VLOOKUP(B607,'Kopie van RawV3Q1'!F:G,2,false)
</f>
        <v/>
      </c>
      <c r="E607" s="12" t="s">
        <v>1086</v>
      </c>
    </row>
    <row r="608">
      <c r="A608" s="11" t="s">
        <v>3016</v>
      </c>
      <c r="B608" s="9" t="s">
        <v>587</v>
      </c>
      <c r="C608" s="1" t="s">
        <v>2409</v>
      </c>
      <c r="D608" s="9" t="str">
        <f> VLOOKUP(B608,'Kopie van RawV3Q1'!F:G,2,false)
</f>
        <v/>
      </c>
      <c r="E608" s="13" t="s">
        <v>2411</v>
      </c>
    </row>
    <row r="609">
      <c r="A609" s="11" t="s">
        <v>3017</v>
      </c>
      <c r="B609" s="9" t="s">
        <v>1675</v>
      </c>
      <c r="C609" s="1" t="s">
        <v>2409</v>
      </c>
      <c r="D609" s="9" t="str">
        <f> VLOOKUP(B609,'Kopie van RawV3Q1'!F:G,2,false)
</f>
        <v/>
      </c>
      <c r="E609" s="13" t="s">
        <v>2411</v>
      </c>
    </row>
    <row r="610">
      <c r="A610" s="11" t="s">
        <v>3018</v>
      </c>
      <c r="B610" s="9" t="s">
        <v>1611</v>
      </c>
      <c r="C610" s="1" t="s">
        <v>2409</v>
      </c>
      <c r="D610" s="9" t="str">
        <f> VLOOKUP(B610,'Kopie van RawV3Q1'!F:G,2,false)
</f>
        <v/>
      </c>
      <c r="E610" s="13" t="s">
        <v>2411</v>
      </c>
    </row>
    <row r="611">
      <c r="A611" s="11" t="s">
        <v>3019</v>
      </c>
      <c r="B611" s="9" t="s">
        <v>1697</v>
      </c>
      <c r="C611" s="1" t="s">
        <v>2409</v>
      </c>
      <c r="D611" s="9" t="str">
        <f> VLOOKUP(B611,'Kopie van RawV3Q1'!F:G,2,false)
</f>
        <v/>
      </c>
      <c r="E611" s="13" t="s">
        <v>2411</v>
      </c>
    </row>
    <row r="612">
      <c r="A612" s="11" t="s">
        <v>3020</v>
      </c>
      <c r="B612" s="9" t="s">
        <v>505</v>
      </c>
      <c r="C612" s="1" t="s">
        <v>2409</v>
      </c>
      <c r="D612" s="9" t="str">
        <f> VLOOKUP(B612,'Kopie van RawV3Q1'!F:G,2,false)
</f>
        <v/>
      </c>
      <c r="E612" s="13" t="s">
        <v>2411</v>
      </c>
    </row>
    <row r="613">
      <c r="A613" s="11" t="s">
        <v>3021</v>
      </c>
      <c r="B613" s="9" t="s">
        <v>1681</v>
      </c>
      <c r="C613" s="1" t="s">
        <v>2409</v>
      </c>
      <c r="D613" s="9" t="str">
        <f> VLOOKUP(B613,'Kopie van RawV3Q1'!F:G,2,false)
</f>
        <v/>
      </c>
      <c r="E613" s="13" t="s">
        <v>2411</v>
      </c>
    </row>
    <row r="614">
      <c r="A614" s="11" t="s">
        <v>3022</v>
      </c>
      <c r="B614" s="9" t="s">
        <v>1580</v>
      </c>
      <c r="C614" s="1" t="s">
        <v>2409</v>
      </c>
      <c r="D614" s="9" t="str">
        <f> VLOOKUP(B614,'Kopie van RawV3Q1'!F:G,2,false)
</f>
        <v/>
      </c>
      <c r="E614" s="12" t="s">
        <v>1581</v>
      </c>
    </row>
    <row r="615">
      <c r="A615" s="11" t="s">
        <v>3023</v>
      </c>
      <c r="B615" s="9" t="s">
        <v>881</v>
      </c>
      <c r="C615" s="1" t="s">
        <v>2409</v>
      </c>
      <c r="D615" s="9" t="str">
        <f> VLOOKUP(B615,'Kopie van RawV3Q1'!F:G,2,false)
</f>
        <v/>
      </c>
      <c r="E615" s="13" t="s">
        <v>2411</v>
      </c>
    </row>
    <row r="616">
      <c r="A616" s="14" t="s">
        <v>3024</v>
      </c>
      <c r="B616" s="1" t="s">
        <v>1845</v>
      </c>
      <c r="C616" s="1" t="s">
        <v>3025</v>
      </c>
      <c r="D616" s="1" t="s">
        <v>3026</v>
      </c>
    </row>
    <row r="617">
      <c r="A617" s="14" t="s">
        <v>3027</v>
      </c>
      <c r="B617" s="1" t="s">
        <v>1848</v>
      </c>
      <c r="C617" s="1" t="s">
        <v>3025</v>
      </c>
      <c r="D617" s="1" t="s">
        <v>3026</v>
      </c>
    </row>
    <row r="618">
      <c r="A618" s="14" t="s">
        <v>3028</v>
      </c>
      <c r="B618" s="1" t="s">
        <v>1850</v>
      </c>
      <c r="C618" s="1" t="s">
        <v>3025</v>
      </c>
      <c r="D618" s="1" t="s">
        <v>3026</v>
      </c>
    </row>
    <row r="619">
      <c r="A619" s="14" t="s">
        <v>3029</v>
      </c>
      <c r="B619" s="1" t="s">
        <v>1852</v>
      </c>
      <c r="C619" s="1" t="s">
        <v>3025</v>
      </c>
      <c r="D619" s="1" t="s">
        <v>3026</v>
      </c>
    </row>
    <row r="620">
      <c r="A620" s="14" t="s">
        <v>3030</v>
      </c>
      <c r="B620" s="1" t="s">
        <v>1855</v>
      </c>
      <c r="C620" s="1" t="s">
        <v>3025</v>
      </c>
      <c r="D620" s="1" t="s">
        <v>3026</v>
      </c>
    </row>
    <row r="621">
      <c r="A621" s="14" t="s">
        <v>3031</v>
      </c>
      <c r="B621" s="1" t="s">
        <v>1857</v>
      </c>
      <c r="C621" s="1" t="s">
        <v>3025</v>
      </c>
      <c r="D621" s="1" t="s">
        <v>3026</v>
      </c>
    </row>
    <row r="622">
      <c r="A622" s="14" t="s">
        <v>3032</v>
      </c>
      <c r="B622" s="1" t="s">
        <v>1859</v>
      </c>
      <c r="C622" s="1" t="s">
        <v>3025</v>
      </c>
      <c r="D622" s="1" t="s">
        <v>3026</v>
      </c>
    </row>
    <row r="623">
      <c r="A623" s="14" t="s">
        <v>3033</v>
      </c>
      <c r="B623" s="1" t="s">
        <v>1861</v>
      </c>
      <c r="C623" s="1" t="s">
        <v>3025</v>
      </c>
      <c r="D623" s="1" t="s">
        <v>3026</v>
      </c>
    </row>
    <row r="624">
      <c r="A624" s="14" t="s">
        <v>3034</v>
      </c>
      <c r="B624" s="1" t="s">
        <v>1864</v>
      </c>
      <c r="C624" s="1" t="s">
        <v>3025</v>
      </c>
      <c r="D624" s="1" t="s">
        <v>3026</v>
      </c>
    </row>
    <row r="625">
      <c r="A625" s="14" t="s">
        <v>3035</v>
      </c>
      <c r="B625" s="1" t="s">
        <v>1866</v>
      </c>
      <c r="C625" s="1" t="s">
        <v>3025</v>
      </c>
      <c r="D625" s="1" t="s">
        <v>3026</v>
      </c>
    </row>
    <row r="626">
      <c r="A626" s="14" t="s">
        <v>3036</v>
      </c>
      <c r="B626" s="1" t="s">
        <v>1868</v>
      </c>
      <c r="C626" s="1" t="s">
        <v>3025</v>
      </c>
      <c r="D626" s="1" t="s">
        <v>3026</v>
      </c>
    </row>
    <row r="627">
      <c r="A627" s="14" t="s">
        <v>3024</v>
      </c>
      <c r="B627" s="1" t="s">
        <v>1845</v>
      </c>
      <c r="C627" s="1" t="s">
        <v>3025</v>
      </c>
      <c r="D627" s="1" t="s">
        <v>3026</v>
      </c>
    </row>
    <row r="628">
      <c r="A628" s="14" t="s">
        <v>3037</v>
      </c>
      <c r="B628" s="1" t="s">
        <v>1870</v>
      </c>
      <c r="C628" s="1" t="s">
        <v>3025</v>
      </c>
      <c r="D628" s="1" t="s">
        <v>3026</v>
      </c>
    </row>
    <row r="629">
      <c r="A629" s="14" t="s">
        <v>3038</v>
      </c>
      <c r="B629" s="1" t="s">
        <v>1872</v>
      </c>
      <c r="C629" s="1" t="s">
        <v>3025</v>
      </c>
      <c r="D629" s="1" t="s">
        <v>3026</v>
      </c>
    </row>
    <row r="630">
      <c r="A630" s="14" t="s">
        <v>3039</v>
      </c>
      <c r="B630" s="1" t="s">
        <v>1874</v>
      </c>
      <c r="C630" s="1" t="s">
        <v>3025</v>
      </c>
      <c r="D630" s="1" t="s">
        <v>3026</v>
      </c>
    </row>
    <row r="631">
      <c r="A631" s="14" t="s">
        <v>3040</v>
      </c>
      <c r="B631" s="1" t="s">
        <v>1876</v>
      </c>
      <c r="C631" s="1" t="s">
        <v>3025</v>
      </c>
      <c r="D631" s="1" t="s">
        <v>3026</v>
      </c>
    </row>
    <row r="632">
      <c r="A632" s="14" t="s">
        <v>3041</v>
      </c>
      <c r="B632" s="1" t="s">
        <v>1878</v>
      </c>
      <c r="C632" s="1" t="s">
        <v>3025</v>
      </c>
      <c r="D632" s="1" t="s">
        <v>3026</v>
      </c>
    </row>
    <row r="633">
      <c r="A633" s="14" t="s">
        <v>3042</v>
      </c>
      <c r="B633" s="1" t="s">
        <v>1880</v>
      </c>
      <c r="C633" s="1" t="s">
        <v>3025</v>
      </c>
      <c r="D633" s="1" t="s">
        <v>3026</v>
      </c>
    </row>
    <row r="634">
      <c r="A634" s="14" t="s">
        <v>3043</v>
      </c>
      <c r="B634" s="1" t="s">
        <v>1882</v>
      </c>
      <c r="C634" s="1" t="s">
        <v>3025</v>
      </c>
      <c r="D634" s="1" t="s">
        <v>3026</v>
      </c>
    </row>
    <row r="635">
      <c r="A635" s="14" t="s">
        <v>3044</v>
      </c>
      <c r="B635" s="1" t="s">
        <v>1884</v>
      </c>
      <c r="C635" s="1" t="s">
        <v>3025</v>
      </c>
      <c r="D635" s="1" t="s">
        <v>3026</v>
      </c>
    </row>
    <row r="636">
      <c r="A636" s="14" t="s">
        <v>3045</v>
      </c>
      <c r="B636" s="1" t="s">
        <v>1886</v>
      </c>
      <c r="C636" s="1" t="s">
        <v>3025</v>
      </c>
      <c r="D636" s="1" t="s">
        <v>3026</v>
      </c>
    </row>
    <row r="637">
      <c r="A637" s="14" t="s">
        <v>3046</v>
      </c>
      <c r="B637" s="1" t="s">
        <v>1888</v>
      </c>
      <c r="C637" s="1" t="s">
        <v>3025</v>
      </c>
      <c r="D637" s="1" t="s">
        <v>3026</v>
      </c>
    </row>
    <row r="638">
      <c r="A638" s="14" t="s">
        <v>3047</v>
      </c>
      <c r="B638" s="1" t="s">
        <v>1890</v>
      </c>
      <c r="C638" s="1" t="s">
        <v>3025</v>
      </c>
      <c r="D638" s="1" t="s">
        <v>3026</v>
      </c>
    </row>
    <row r="639">
      <c r="A639" s="14" t="s">
        <v>3048</v>
      </c>
      <c r="B639" s="1" t="s">
        <v>1892</v>
      </c>
      <c r="C639" s="1" t="s">
        <v>3025</v>
      </c>
      <c r="D639" s="1" t="s">
        <v>3026</v>
      </c>
    </row>
    <row r="640">
      <c r="A640" s="14" t="s">
        <v>3049</v>
      </c>
      <c r="B640" s="1" t="s">
        <v>1894</v>
      </c>
      <c r="C640" s="1" t="s">
        <v>3025</v>
      </c>
      <c r="D640" s="1" t="s">
        <v>3026</v>
      </c>
    </row>
    <row r="641">
      <c r="A641" s="14" t="s">
        <v>3050</v>
      </c>
      <c r="B641" s="1" t="s">
        <v>1896</v>
      </c>
      <c r="C641" s="1" t="s">
        <v>3025</v>
      </c>
      <c r="D641" s="1" t="s">
        <v>3026</v>
      </c>
    </row>
    <row r="642">
      <c r="A642" s="14" t="s">
        <v>3051</v>
      </c>
      <c r="B642" s="1" t="s">
        <v>1898</v>
      </c>
      <c r="C642" s="1" t="s">
        <v>3025</v>
      </c>
      <c r="D642" s="1" t="s">
        <v>3026</v>
      </c>
    </row>
    <row r="643">
      <c r="A643" s="14" t="s">
        <v>3052</v>
      </c>
      <c r="B643" s="1" t="s">
        <v>1900</v>
      </c>
      <c r="C643" s="1" t="s">
        <v>3025</v>
      </c>
      <c r="D643" s="1" t="s">
        <v>3026</v>
      </c>
    </row>
    <row r="644">
      <c r="A644" s="14" t="s">
        <v>3053</v>
      </c>
      <c r="B644" s="1" t="s">
        <v>1902</v>
      </c>
      <c r="C644" s="1" t="s">
        <v>3025</v>
      </c>
      <c r="D644" s="1" t="s">
        <v>3026</v>
      </c>
    </row>
    <row r="645">
      <c r="A645" s="14" t="s">
        <v>3054</v>
      </c>
      <c r="B645" s="1" t="s">
        <v>1904</v>
      </c>
      <c r="C645" s="1" t="s">
        <v>3025</v>
      </c>
      <c r="D645" s="1" t="s">
        <v>3026</v>
      </c>
    </row>
    <row r="646">
      <c r="A646" s="14" t="s">
        <v>3055</v>
      </c>
      <c r="B646" s="1" t="s">
        <v>1906</v>
      </c>
      <c r="C646" s="1" t="s">
        <v>3025</v>
      </c>
      <c r="D646" s="1" t="s">
        <v>3026</v>
      </c>
    </row>
    <row r="647">
      <c r="A647" s="14" t="s">
        <v>3056</v>
      </c>
      <c r="B647" s="1" t="s">
        <v>1908</v>
      </c>
      <c r="C647" s="1" t="s">
        <v>3025</v>
      </c>
      <c r="D647" s="1" t="s">
        <v>3026</v>
      </c>
    </row>
    <row r="648">
      <c r="A648" s="14" t="s">
        <v>3057</v>
      </c>
      <c r="B648" s="1" t="s">
        <v>1910</v>
      </c>
      <c r="C648" s="1" t="s">
        <v>3025</v>
      </c>
      <c r="D648" s="1" t="s">
        <v>3026</v>
      </c>
    </row>
    <row r="649">
      <c r="A649" s="14" t="s">
        <v>3058</v>
      </c>
      <c r="B649" s="1" t="s">
        <v>1912</v>
      </c>
      <c r="C649" s="1" t="s">
        <v>3025</v>
      </c>
      <c r="D649" s="1" t="s">
        <v>3026</v>
      </c>
    </row>
    <row r="650">
      <c r="A650" s="14" t="s">
        <v>3059</v>
      </c>
      <c r="B650" s="1" t="s">
        <v>1914</v>
      </c>
      <c r="C650" s="1" t="s">
        <v>3025</v>
      </c>
      <c r="D650" s="1" t="s">
        <v>3026</v>
      </c>
    </row>
    <row r="651">
      <c r="A651" s="14" t="s">
        <v>3060</v>
      </c>
      <c r="B651" s="1" t="s">
        <v>1916</v>
      </c>
      <c r="C651" s="1" t="s">
        <v>3025</v>
      </c>
      <c r="D651" s="1" t="s">
        <v>3026</v>
      </c>
    </row>
    <row r="652">
      <c r="A652" s="14" t="s">
        <v>3061</v>
      </c>
      <c r="B652" s="1" t="s">
        <v>1918</v>
      </c>
      <c r="C652" s="1" t="s">
        <v>3025</v>
      </c>
      <c r="D652" s="1" t="s">
        <v>3026</v>
      </c>
    </row>
    <row r="653">
      <c r="A653" s="14" t="s">
        <v>3062</v>
      </c>
      <c r="B653" s="1" t="s">
        <v>1920</v>
      </c>
      <c r="C653" s="1" t="s">
        <v>3025</v>
      </c>
      <c r="D653" s="1" t="s">
        <v>3026</v>
      </c>
    </row>
    <row r="654">
      <c r="A654" s="14" t="s">
        <v>3063</v>
      </c>
      <c r="B654" s="1" t="s">
        <v>1922</v>
      </c>
      <c r="C654" s="1" t="s">
        <v>3025</v>
      </c>
      <c r="D654" s="1" t="s">
        <v>3026</v>
      </c>
    </row>
    <row r="655">
      <c r="A655" s="14" t="s">
        <v>3064</v>
      </c>
      <c r="B655" s="1" t="s">
        <v>1924</v>
      </c>
      <c r="C655" s="1" t="s">
        <v>3025</v>
      </c>
      <c r="D655" s="1" t="s">
        <v>3026</v>
      </c>
    </row>
    <row r="656">
      <c r="A656" s="14" t="s">
        <v>3065</v>
      </c>
      <c r="B656" s="1" t="s">
        <v>1926</v>
      </c>
      <c r="C656" s="1" t="s">
        <v>3025</v>
      </c>
      <c r="D656" s="1" t="s">
        <v>3026</v>
      </c>
    </row>
    <row r="657">
      <c r="A657" s="14" t="s">
        <v>3066</v>
      </c>
      <c r="B657" s="1" t="s">
        <v>1928</v>
      </c>
      <c r="C657" s="1" t="s">
        <v>3025</v>
      </c>
      <c r="D657" s="1" t="s">
        <v>3026</v>
      </c>
    </row>
    <row r="658">
      <c r="A658" s="14" t="s">
        <v>3067</v>
      </c>
      <c r="B658" s="1" t="s">
        <v>1930</v>
      </c>
      <c r="C658" s="1" t="s">
        <v>3025</v>
      </c>
      <c r="D658" s="1" t="s">
        <v>3026</v>
      </c>
    </row>
    <row r="659">
      <c r="A659" s="14" t="s">
        <v>3068</v>
      </c>
      <c r="B659" s="1" t="s">
        <v>1932</v>
      </c>
      <c r="C659" s="1" t="s">
        <v>3025</v>
      </c>
      <c r="D659" s="1" t="s">
        <v>3026</v>
      </c>
    </row>
    <row r="660">
      <c r="A660" s="14" t="s">
        <v>3069</v>
      </c>
      <c r="B660" s="1" t="s">
        <v>1900</v>
      </c>
      <c r="C660" s="1" t="s">
        <v>3025</v>
      </c>
      <c r="D660" s="1" t="s">
        <v>3026</v>
      </c>
    </row>
    <row r="661">
      <c r="A661" s="14" t="s">
        <v>3070</v>
      </c>
      <c r="B661" s="1" t="s">
        <v>1935</v>
      </c>
      <c r="C661" s="1" t="s">
        <v>3025</v>
      </c>
      <c r="D661" s="1" t="s">
        <v>3026</v>
      </c>
    </row>
    <row r="662">
      <c r="A662" s="14" t="s">
        <v>3071</v>
      </c>
      <c r="B662" s="1" t="s">
        <v>1937</v>
      </c>
      <c r="C662" s="1" t="s">
        <v>3025</v>
      </c>
      <c r="D662" s="1" t="s">
        <v>3026</v>
      </c>
    </row>
    <row r="663">
      <c r="A663" s="14" t="s">
        <v>3072</v>
      </c>
      <c r="B663" s="1" t="s">
        <v>1939</v>
      </c>
      <c r="C663" s="1" t="s">
        <v>3025</v>
      </c>
      <c r="D663" s="1" t="s">
        <v>3026</v>
      </c>
    </row>
    <row r="664">
      <c r="A664" s="14" t="s">
        <v>3073</v>
      </c>
      <c r="B664" s="1" t="s">
        <v>1941</v>
      </c>
      <c r="C664" s="1" t="s">
        <v>3025</v>
      </c>
      <c r="D664" s="1" t="s">
        <v>3026</v>
      </c>
    </row>
    <row r="665">
      <c r="A665" s="14" t="s">
        <v>3074</v>
      </c>
      <c r="B665" s="1" t="s">
        <v>1943</v>
      </c>
      <c r="C665" s="1" t="s">
        <v>3025</v>
      </c>
      <c r="D665" s="1" t="s">
        <v>3026</v>
      </c>
    </row>
    <row r="666">
      <c r="A666" s="14" t="s">
        <v>3075</v>
      </c>
      <c r="B666" s="1" t="s">
        <v>1945</v>
      </c>
      <c r="C666" s="1" t="s">
        <v>3025</v>
      </c>
      <c r="D666" s="1" t="s">
        <v>3026</v>
      </c>
    </row>
    <row r="667">
      <c r="A667" s="14" t="s">
        <v>3076</v>
      </c>
      <c r="B667" s="1" t="s">
        <v>1943</v>
      </c>
      <c r="C667" s="1" t="s">
        <v>3025</v>
      </c>
      <c r="D667" s="1" t="s">
        <v>3026</v>
      </c>
    </row>
    <row r="668">
      <c r="A668" s="14" t="s">
        <v>3077</v>
      </c>
      <c r="B668" s="1" t="s">
        <v>1948</v>
      </c>
      <c r="C668" s="1" t="s">
        <v>3025</v>
      </c>
      <c r="D668" s="1" t="s">
        <v>3026</v>
      </c>
    </row>
    <row r="669">
      <c r="A669" s="14" t="s">
        <v>3078</v>
      </c>
      <c r="B669" s="1" t="s">
        <v>1950</v>
      </c>
      <c r="C669" s="1" t="s">
        <v>3025</v>
      </c>
      <c r="D669" s="1" t="s">
        <v>3026</v>
      </c>
    </row>
    <row r="670">
      <c r="A670" s="14" t="s">
        <v>3079</v>
      </c>
      <c r="B670" s="1" t="s">
        <v>1952</v>
      </c>
      <c r="C670" s="1" t="s">
        <v>3025</v>
      </c>
      <c r="D670" s="1" t="s">
        <v>3026</v>
      </c>
    </row>
    <row r="671">
      <c r="A671" s="14" t="s">
        <v>3080</v>
      </c>
      <c r="B671" s="1" t="s">
        <v>1954</v>
      </c>
      <c r="C671" s="1" t="s">
        <v>3025</v>
      </c>
      <c r="D671" s="1" t="s">
        <v>3026</v>
      </c>
    </row>
    <row r="672">
      <c r="A672" s="14" t="s">
        <v>3081</v>
      </c>
      <c r="B672" s="1" t="s">
        <v>1956</v>
      </c>
      <c r="C672" s="1" t="s">
        <v>3025</v>
      </c>
      <c r="D672" s="1" t="s">
        <v>3026</v>
      </c>
    </row>
    <row r="673">
      <c r="A673" s="14" t="s">
        <v>3082</v>
      </c>
      <c r="B673" s="1" t="s">
        <v>1958</v>
      </c>
      <c r="C673" s="1" t="s">
        <v>3025</v>
      </c>
      <c r="D673" s="1" t="s">
        <v>3026</v>
      </c>
    </row>
    <row r="674">
      <c r="A674" s="14" t="s">
        <v>3083</v>
      </c>
      <c r="B674" s="1" t="s">
        <v>1960</v>
      </c>
      <c r="C674" s="1" t="s">
        <v>3025</v>
      </c>
      <c r="D674" s="1" t="s">
        <v>3026</v>
      </c>
    </row>
    <row r="675">
      <c r="A675" s="14" t="s">
        <v>3084</v>
      </c>
      <c r="B675" s="1" t="s">
        <v>1962</v>
      </c>
      <c r="C675" s="1" t="s">
        <v>3025</v>
      </c>
      <c r="D675" s="1" t="s">
        <v>3026</v>
      </c>
    </row>
    <row r="676">
      <c r="A676" s="14" t="s">
        <v>3085</v>
      </c>
      <c r="B676" s="1" t="s">
        <v>1964</v>
      </c>
      <c r="C676" s="1" t="s">
        <v>3025</v>
      </c>
      <c r="D676" s="1" t="s">
        <v>3026</v>
      </c>
    </row>
    <row r="677">
      <c r="A677" s="14" t="s">
        <v>3086</v>
      </c>
      <c r="B677" s="1" t="s">
        <v>1966</v>
      </c>
      <c r="C677" s="1" t="s">
        <v>3025</v>
      </c>
      <c r="D677" s="1" t="s">
        <v>3026</v>
      </c>
    </row>
    <row r="678">
      <c r="A678" s="14" t="s">
        <v>3087</v>
      </c>
      <c r="B678" s="1" t="s">
        <v>1968</v>
      </c>
      <c r="C678" s="1" t="s">
        <v>3025</v>
      </c>
      <c r="D678" s="1" t="s">
        <v>3026</v>
      </c>
    </row>
    <row r="679">
      <c r="A679" s="14" t="s">
        <v>3088</v>
      </c>
      <c r="B679" s="1" t="s">
        <v>1970</v>
      </c>
      <c r="C679" s="1" t="s">
        <v>3025</v>
      </c>
      <c r="D679" s="1" t="s">
        <v>3026</v>
      </c>
    </row>
    <row r="680">
      <c r="A680" s="14" t="s">
        <v>3089</v>
      </c>
      <c r="B680" s="1" t="s">
        <v>1972</v>
      </c>
      <c r="C680" s="1" t="s">
        <v>3025</v>
      </c>
      <c r="D680" s="1" t="s">
        <v>3026</v>
      </c>
    </row>
    <row r="681">
      <c r="A681" s="14" t="s">
        <v>3090</v>
      </c>
      <c r="B681" s="1" t="s">
        <v>1974</v>
      </c>
      <c r="C681" s="1" t="s">
        <v>3025</v>
      </c>
      <c r="D681" s="1" t="s">
        <v>3026</v>
      </c>
    </row>
    <row r="682">
      <c r="A682" s="14" t="s">
        <v>3091</v>
      </c>
      <c r="B682" s="1" t="s">
        <v>1976</v>
      </c>
      <c r="C682" s="1" t="s">
        <v>3025</v>
      </c>
      <c r="D682" s="1" t="s">
        <v>3026</v>
      </c>
    </row>
    <row r="683">
      <c r="A683" s="14" t="s">
        <v>3092</v>
      </c>
      <c r="B683" s="1" t="s">
        <v>1978</v>
      </c>
      <c r="C683" s="1" t="s">
        <v>3025</v>
      </c>
      <c r="D683" s="1" t="s">
        <v>3026</v>
      </c>
    </row>
    <row r="684">
      <c r="A684" s="14" t="s">
        <v>3093</v>
      </c>
      <c r="B684" s="1" t="s">
        <v>1980</v>
      </c>
      <c r="C684" s="1" t="s">
        <v>3025</v>
      </c>
      <c r="D684" s="1" t="s">
        <v>3026</v>
      </c>
    </row>
    <row r="685">
      <c r="A685" s="14" t="s">
        <v>3094</v>
      </c>
      <c r="B685" s="1" t="s">
        <v>1982</v>
      </c>
      <c r="C685" s="1" t="s">
        <v>3025</v>
      </c>
      <c r="D685" s="1" t="s">
        <v>3026</v>
      </c>
    </row>
    <row r="686">
      <c r="A686" s="14" t="s">
        <v>3095</v>
      </c>
      <c r="B686" s="1" t="s">
        <v>1984</v>
      </c>
      <c r="C686" s="1" t="s">
        <v>3025</v>
      </c>
      <c r="D686" s="1" t="s">
        <v>3026</v>
      </c>
    </row>
    <row r="687">
      <c r="A687" s="14" t="s">
        <v>3096</v>
      </c>
      <c r="B687" s="1" t="s">
        <v>1986</v>
      </c>
      <c r="C687" s="1" t="s">
        <v>3025</v>
      </c>
      <c r="D687" s="1" t="s">
        <v>3026</v>
      </c>
    </row>
    <row r="688">
      <c r="A688" s="14" t="s">
        <v>3097</v>
      </c>
      <c r="B688" s="1" t="s">
        <v>1988</v>
      </c>
      <c r="C688" s="1" t="s">
        <v>3025</v>
      </c>
      <c r="D688" s="1" t="s">
        <v>3026</v>
      </c>
    </row>
    <row r="689">
      <c r="A689" s="14" t="s">
        <v>3098</v>
      </c>
      <c r="B689" s="1" t="s">
        <v>1990</v>
      </c>
      <c r="C689" s="1" t="s">
        <v>3025</v>
      </c>
      <c r="D689" s="1" t="s">
        <v>3026</v>
      </c>
    </row>
    <row r="690">
      <c r="A690" s="14" t="s">
        <v>3099</v>
      </c>
      <c r="B690" s="1" t="s">
        <v>1992</v>
      </c>
      <c r="C690" s="1" t="s">
        <v>3025</v>
      </c>
      <c r="D690" s="1" t="s">
        <v>3026</v>
      </c>
    </row>
    <row r="691">
      <c r="A691" s="14" t="s">
        <v>3100</v>
      </c>
      <c r="B691" s="1" t="s">
        <v>1994</v>
      </c>
      <c r="C691" s="1" t="s">
        <v>3025</v>
      </c>
      <c r="D691" s="1" t="s">
        <v>3026</v>
      </c>
    </row>
    <row r="692">
      <c r="A692" s="14" t="s">
        <v>3101</v>
      </c>
      <c r="B692" s="1" t="s">
        <v>1996</v>
      </c>
      <c r="C692" s="1" t="s">
        <v>3025</v>
      </c>
      <c r="D692" s="1" t="s">
        <v>3026</v>
      </c>
    </row>
    <row r="693">
      <c r="A693" s="14" t="s">
        <v>3102</v>
      </c>
      <c r="B693" s="1" t="s">
        <v>1998</v>
      </c>
      <c r="C693" s="1" t="s">
        <v>3025</v>
      </c>
      <c r="D693" s="1" t="s">
        <v>3026</v>
      </c>
    </row>
    <row r="694">
      <c r="A694" s="14" t="s">
        <v>3103</v>
      </c>
      <c r="B694" s="1" t="s">
        <v>2000</v>
      </c>
      <c r="C694" s="1" t="s">
        <v>3025</v>
      </c>
      <c r="D694" s="1" t="s">
        <v>3026</v>
      </c>
    </row>
    <row r="695">
      <c r="A695" s="14" t="s">
        <v>3104</v>
      </c>
      <c r="B695" s="1" t="s">
        <v>2002</v>
      </c>
      <c r="C695" s="1" t="s">
        <v>3025</v>
      </c>
      <c r="D695" s="1" t="s">
        <v>3026</v>
      </c>
    </row>
    <row r="696">
      <c r="A696" s="14" t="s">
        <v>3105</v>
      </c>
      <c r="B696" s="1" t="s">
        <v>2004</v>
      </c>
      <c r="C696" s="1" t="s">
        <v>3025</v>
      </c>
      <c r="D696" s="1" t="s">
        <v>3026</v>
      </c>
    </row>
    <row r="697">
      <c r="A697" s="14" t="s">
        <v>3106</v>
      </c>
      <c r="B697" s="1" t="s">
        <v>2006</v>
      </c>
      <c r="C697" s="1" t="s">
        <v>3025</v>
      </c>
      <c r="D697" s="1" t="s">
        <v>3026</v>
      </c>
    </row>
    <row r="698">
      <c r="A698" s="14" t="s">
        <v>3107</v>
      </c>
      <c r="B698" s="1" t="s">
        <v>2008</v>
      </c>
      <c r="C698" s="1" t="s">
        <v>3025</v>
      </c>
      <c r="D698" s="1" t="s">
        <v>3026</v>
      </c>
    </row>
    <row r="699">
      <c r="A699" s="14" t="s">
        <v>3108</v>
      </c>
      <c r="B699" s="1" t="s">
        <v>2010</v>
      </c>
      <c r="C699" s="1" t="s">
        <v>3025</v>
      </c>
      <c r="D699" s="1" t="s">
        <v>3026</v>
      </c>
    </row>
    <row r="700">
      <c r="A700" s="14" t="s">
        <v>3109</v>
      </c>
      <c r="B700" s="1" t="s">
        <v>2012</v>
      </c>
      <c r="C700" s="1" t="s">
        <v>3025</v>
      </c>
      <c r="D700" s="1" t="s">
        <v>3026</v>
      </c>
    </row>
    <row r="701">
      <c r="A701" s="14" t="s">
        <v>3110</v>
      </c>
      <c r="B701" s="1" t="s">
        <v>2014</v>
      </c>
      <c r="C701" s="1" t="s">
        <v>3025</v>
      </c>
      <c r="D701" s="1" t="s">
        <v>3026</v>
      </c>
    </row>
    <row r="702">
      <c r="A702" s="14" t="s">
        <v>3111</v>
      </c>
      <c r="B702" s="1" t="s">
        <v>2016</v>
      </c>
      <c r="C702" s="1" t="s">
        <v>3025</v>
      </c>
      <c r="D702" s="1" t="s">
        <v>3026</v>
      </c>
    </row>
    <row r="703">
      <c r="A703" s="14" t="s">
        <v>3112</v>
      </c>
      <c r="B703" s="1" t="s">
        <v>2018</v>
      </c>
      <c r="C703" s="1" t="s">
        <v>3025</v>
      </c>
      <c r="D703" s="1" t="s">
        <v>3026</v>
      </c>
    </row>
    <row r="704">
      <c r="A704" s="14" t="s">
        <v>3113</v>
      </c>
      <c r="B704" s="1" t="s">
        <v>2020</v>
      </c>
      <c r="C704" s="1" t="s">
        <v>3025</v>
      </c>
      <c r="D704" s="1" t="s">
        <v>3026</v>
      </c>
    </row>
    <row r="705">
      <c r="A705" s="14" t="s">
        <v>3114</v>
      </c>
      <c r="B705" s="1" t="s">
        <v>2022</v>
      </c>
      <c r="C705" s="1" t="s">
        <v>3025</v>
      </c>
      <c r="D705" s="1" t="s">
        <v>3026</v>
      </c>
    </row>
    <row r="706">
      <c r="A706" s="14" t="s">
        <v>3115</v>
      </c>
      <c r="B706" s="1" t="s">
        <v>2024</v>
      </c>
      <c r="C706" s="1" t="s">
        <v>3025</v>
      </c>
      <c r="D706" s="1" t="s">
        <v>3026</v>
      </c>
    </row>
    <row r="707">
      <c r="A707" s="14" t="s">
        <v>3116</v>
      </c>
      <c r="B707" s="1" t="s">
        <v>2026</v>
      </c>
      <c r="C707" s="1" t="s">
        <v>3025</v>
      </c>
      <c r="D707" s="1" t="s">
        <v>3026</v>
      </c>
    </row>
    <row r="708">
      <c r="A708" s="14" t="s">
        <v>3117</v>
      </c>
      <c r="B708" s="1" t="s">
        <v>2028</v>
      </c>
      <c r="C708" s="1" t="s">
        <v>3025</v>
      </c>
      <c r="D708" s="1" t="s">
        <v>3026</v>
      </c>
    </row>
    <row r="709">
      <c r="A709" s="14" t="s">
        <v>3118</v>
      </c>
      <c r="B709" s="1" t="s">
        <v>2030</v>
      </c>
      <c r="C709" s="1" t="s">
        <v>3025</v>
      </c>
      <c r="D709" s="1" t="s">
        <v>3026</v>
      </c>
    </row>
    <row r="710">
      <c r="A710" s="14" t="s">
        <v>3119</v>
      </c>
      <c r="B710" s="1" t="s">
        <v>2032</v>
      </c>
      <c r="C710" s="1" t="s">
        <v>3025</v>
      </c>
      <c r="D710" s="1" t="s">
        <v>3026</v>
      </c>
    </row>
    <row r="711">
      <c r="A711" s="14" t="s">
        <v>3120</v>
      </c>
      <c r="B711" s="1" t="s">
        <v>2034</v>
      </c>
      <c r="C711" s="1" t="s">
        <v>3025</v>
      </c>
      <c r="D711" s="1" t="s">
        <v>3026</v>
      </c>
    </row>
    <row r="712">
      <c r="A712" s="14" t="s">
        <v>3121</v>
      </c>
      <c r="B712" s="1" t="s">
        <v>2036</v>
      </c>
      <c r="C712" s="1" t="s">
        <v>3025</v>
      </c>
      <c r="D712" s="1" t="s">
        <v>3026</v>
      </c>
    </row>
    <row r="713">
      <c r="A713" s="14" t="s">
        <v>3122</v>
      </c>
      <c r="B713" s="1" t="s">
        <v>2038</v>
      </c>
      <c r="C713" s="1" t="s">
        <v>3025</v>
      </c>
      <c r="D713" s="1" t="s">
        <v>3026</v>
      </c>
    </row>
    <row r="714">
      <c r="A714" s="14" t="s">
        <v>3123</v>
      </c>
      <c r="B714" s="1" t="s">
        <v>2040</v>
      </c>
      <c r="C714" s="1" t="s">
        <v>3025</v>
      </c>
      <c r="D714" s="1" t="s">
        <v>3026</v>
      </c>
    </row>
    <row r="715">
      <c r="A715" s="14" t="s">
        <v>3124</v>
      </c>
      <c r="B715" s="1" t="s">
        <v>2042</v>
      </c>
      <c r="C715" s="1" t="s">
        <v>3025</v>
      </c>
      <c r="D715" s="1" t="s">
        <v>3026</v>
      </c>
    </row>
    <row r="716">
      <c r="A716" s="14" t="s">
        <v>3125</v>
      </c>
      <c r="B716" s="1" t="s">
        <v>2044</v>
      </c>
      <c r="C716" s="1" t="s">
        <v>3025</v>
      </c>
      <c r="D716" s="1" t="s">
        <v>3026</v>
      </c>
    </row>
    <row r="717">
      <c r="A717" s="14" t="s">
        <v>3126</v>
      </c>
      <c r="B717" s="1" t="s">
        <v>2046</v>
      </c>
      <c r="C717" s="1" t="s">
        <v>3025</v>
      </c>
      <c r="D717" s="1" t="s">
        <v>3026</v>
      </c>
    </row>
    <row r="718">
      <c r="A718" s="14" t="s">
        <v>3127</v>
      </c>
      <c r="B718" s="1" t="s">
        <v>2048</v>
      </c>
      <c r="C718" s="1" t="s">
        <v>3025</v>
      </c>
      <c r="D718" s="1" t="s">
        <v>3026</v>
      </c>
    </row>
    <row r="719">
      <c r="A719" s="14" t="s">
        <v>3128</v>
      </c>
      <c r="B719" s="1" t="s">
        <v>2050</v>
      </c>
      <c r="C719" s="1" t="s">
        <v>3025</v>
      </c>
      <c r="D719" s="1" t="s">
        <v>3026</v>
      </c>
    </row>
    <row r="720">
      <c r="A720" s="14" t="s">
        <v>3129</v>
      </c>
      <c r="B720" s="1" t="s">
        <v>2052</v>
      </c>
      <c r="C720" s="1" t="s">
        <v>3025</v>
      </c>
      <c r="D720" s="1" t="s">
        <v>3026</v>
      </c>
    </row>
    <row r="721">
      <c r="A721" s="14" t="s">
        <v>3130</v>
      </c>
      <c r="B721" s="1" t="s">
        <v>2054</v>
      </c>
      <c r="C721" s="1" t="s">
        <v>3025</v>
      </c>
      <c r="D721" s="1" t="s">
        <v>3026</v>
      </c>
    </row>
    <row r="722">
      <c r="A722" s="14" t="s">
        <v>3131</v>
      </c>
      <c r="B722" s="1" t="s">
        <v>2056</v>
      </c>
      <c r="C722" s="1" t="s">
        <v>3025</v>
      </c>
      <c r="D722" s="1" t="s">
        <v>3026</v>
      </c>
    </row>
    <row r="723">
      <c r="A723" s="14" t="s">
        <v>3132</v>
      </c>
      <c r="B723" s="1" t="s">
        <v>2058</v>
      </c>
      <c r="C723" s="1" t="s">
        <v>3025</v>
      </c>
      <c r="D723" s="1" t="s">
        <v>3026</v>
      </c>
    </row>
    <row r="724">
      <c r="A724" s="14" t="s">
        <v>3133</v>
      </c>
      <c r="B724" s="1" t="s">
        <v>2060</v>
      </c>
      <c r="C724" s="1" t="s">
        <v>3025</v>
      </c>
      <c r="D724" s="1" t="s">
        <v>3026</v>
      </c>
    </row>
    <row r="725">
      <c r="A725" s="14" t="s">
        <v>3134</v>
      </c>
      <c r="B725" s="1" t="s">
        <v>2062</v>
      </c>
      <c r="C725" s="1" t="s">
        <v>3025</v>
      </c>
      <c r="D725" s="1" t="s">
        <v>3026</v>
      </c>
    </row>
    <row r="726">
      <c r="A726" s="14" t="s">
        <v>3135</v>
      </c>
      <c r="B726" s="1" t="s">
        <v>2064</v>
      </c>
      <c r="C726" s="1" t="s">
        <v>3025</v>
      </c>
      <c r="D726" s="1" t="s">
        <v>3026</v>
      </c>
    </row>
    <row r="727">
      <c r="A727" s="14" t="s">
        <v>3136</v>
      </c>
      <c r="B727" s="1" t="s">
        <v>2066</v>
      </c>
      <c r="C727" s="1" t="s">
        <v>3025</v>
      </c>
      <c r="D727" s="1" t="s">
        <v>3026</v>
      </c>
    </row>
    <row r="728">
      <c r="A728" s="14" t="s">
        <v>3137</v>
      </c>
      <c r="B728" s="1" t="s">
        <v>2068</v>
      </c>
      <c r="C728" s="1" t="s">
        <v>3025</v>
      </c>
      <c r="D728" s="1" t="s">
        <v>3026</v>
      </c>
    </row>
    <row r="729">
      <c r="A729" s="14" t="s">
        <v>3138</v>
      </c>
      <c r="B729" s="1" t="s">
        <v>2070</v>
      </c>
      <c r="C729" s="1" t="s">
        <v>3025</v>
      </c>
      <c r="D729" s="1" t="s">
        <v>3026</v>
      </c>
    </row>
    <row r="730">
      <c r="A730" s="14" t="s">
        <v>3139</v>
      </c>
      <c r="B730" s="1" t="s">
        <v>2072</v>
      </c>
      <c r="C730" s="1" t="s">
        <v>3025</v>
      </c>
      <c r="D730" s="1" t="s">
        <v>3026</v>
      </c>
    </row>
    <row r="731">
      <c r="A731" s="14" t="s">
        <v>3140</v>
      </c>
      <c r="B731" s="1" t="s">
        <v>2074</v>
      </c>
      <c r="C731" s="1" t="s">
        <v>3025</v>
      </c>
      <c r="D731" s="1" t="s">
        <v>3026</v>
      </c>
    </row>
    <row r="732">
      <c r="A732" s="14" t="s">
        <v>3141</v>
      </c>
      <c r="B732" s="1" t="s">
        <v>2076</v>
      </c>
      <c r="C732" s="1" t="s">
        <v>3025</v>
      </c>
      <c r="D732" s="1" t="s">
        <v>3026</v>
      </c>
    </row>
    <row r="733">
      <c r="A733" s="14" t="s">
        <v>3142</v>
      </c>
      <c r="B733" s="1" t="s">
        <v>2078</v>
      </c>
      <c r="C733" s="1" t="s">
        <v>3025</v>
      </c>
      <c r="D733" s="1" t="s">
        <v>3026</v>
      </c>
    </row>
    <row r="734">
      <c r="A734" s="14" t="s">
        <v>3143</v>
      </c>
      <c r="B734" s="1" t="s">
        <v>2080</v>
      </c>
      <c r="C734" s="1" t="s">
        <v>3025</v>
      </c>
      <c r="D734" s="1" t="s">
        <v>3026</v>
      </c>
    </row>
    <row r="735">
      <c r="A735" s="14" t="s">
        <v>3144</v>
      </c>
      <c r="B735" s="1" t="s">
        <v>2082</v>
      </c>
      <c r="C735" s="1" t="s">
        <v>3025</v>
      </c>
      <c r="D735" s="1" t="s">
        <v>3026</v>
      </c>
    </row>
    <row r="736">
      <c r="A736" s="14" t="s">
        <v>3145</v>
      </c>
      <c r="B736" s="1" t="s">
        <v>2084</v>
      </c>
      <c r="C736" s="1" t="s">
        <v>3025</v>
      </c>
      <c r="D736" s="1" t="s">
        <v>3026</v>
      </c>
    </row>
    <row r="737">
      <c r="A737" s="14" t="s">
        <v>3146</v>
      </c>
      <c r="B737" s="1" t="s">
        <v>2086</v>
      </c>
      <c r="C737" s="1" t="s">
        <v>3025</v>
      </c>
      <c r="D737" s="1" t="s">
        <v>3026</v>
      </c>
    </row>
    <row r="738">
      <c r="A738" s="14" t="s">
        <v>3147</v>
      </c>
      <c r="B738" s="1" t="s">
        <v>2088</v>
      </c>
      <c r="C738" s="1" t="s">
        <v>3025</v>
      </c>
      <c r="D738" s="1" t="s">
        <v>3026</v>
      </c>
    </row>
    <row r="739">
      <c r="A739" s="14" t="s">
        <v>3148</v>
      </c>
      <c r="B739" s="1" t="s">
        <v>2090</v>
      </c>
      <c r="C739" s="1" t="s">
        <v>3025</v>
      </c>
      <c r="D739" s="1" t="s">
        <v>3026</v>
      </c>
    </row>
    <row r="740">
      <c r="A740" s="14" t="s">
        <v>3149</v>
      </c>
      <c r="B740" s="1" t="s">
        <v>2092</v>
      </c>
      <c r="C740" s="1" t="s">
        <v>3025</v>
      </c>
      <c r="D740" s="1" t="s">
        <v>3026</v>
      </c>
    </row>
    <row r="741">
      <c r="A741" s="14" t="s">
        <v>3150</v>
      </c>
      <c r="B741" s="1" t="s">
        <v>2094</v>
      </c>
      <c r="C741" s="1" t="s">
        <v>3025</v>
      </c>
      <c r="D741" s="1" t="s">
        <v>3026</v>
      </c>
    </row>
    <row r="742">
      <c r="A742" s="14" t="s">
        <v>3151</v>
      </c>
      <c r="B742" s="1" t="s">
        <v>2096</v>
      </c>
      <c r="C742" s="1" t="s">
        <v>3025</v>
      </c>
      <c r="D742" s="1" t="s">
        <v>3026</v>
      </c>
    </row>
    <row r="743">
      <c r="A743" s="14" t="s">
        <v>3152</v>
      </c>
      <c r="B743" s="1" t="s">
        <v>2098</v>
      </c>
      <c r="C743" s="1" t="s">
        <v>3025</v>
      </c>
      <c r="D743" s="1" t="s">
        <v>3026</v>
      </c>
    </row>
    <row r="744">
      <c r="A744" s="14" t="s">
        <v>3153</v>
      </c>
      <c r="B744" s="1" t="s">
        <v>2100</v>
      </c>
      <c r="C744" s="1" t="s">
        <v>3025</v>
      </c>
      <c r="D744" s="1" t="s">
        <v>3026</v>
      </c>
    </row>
    <row r="745">
      <c r="A745" s="14" t="s">
        <v>3154</v>
      </c>
      <c r="B745" s="1" t="s">
        <v>2102</v>
      </c>
      <c r="C745" s="1" t="s">
        <v>3025</v>
      </c>
      <c r="D745" s="1" t="s">
        <v>3026</v>
      </c>
    </row>
    <row r="746">
      <c r="A746" s="14" t="s">
        <v>3155</v>
      </c>
      <c r="B746" s="1" t="s">
        <v>2104</v>
      </c>
      <c r="C746" s="1" t="s">
        <v>3025</v>
      </c>
      <c r="D746" s="1" t="s">
        <v>3026</v>
      </c>
    </row>
    <row r="747">
      <c r="A747" s="14" t="s">
        <v>3156</v>
      </c>
      <c r="B747" s="1" t="s">
        <v>2106</v>
      </c>
      <c r="C747" s="1" t="s">
        <v>3025</v>
      </c>
      <c r="D747" s="1" t="s">
        <v>3026</v>
      </c>
    </row>
    <row r="748">
      <c r="A748" s="14" t="s">
        <v>3157</v>
      </c>
      <c r="B748" s="1" t="s">
        <v>2108</v>
      </c>
      <c r="C748" s="1" t="s">
        <v>3025</v>
      </c>
      <c r="D748" s="1" t="s">
        <v>3026</v>
      </c>
    </row>
    <row r="749">
      <c r="A749" s="14" t="s">
        <v>3158</v>
      </c>
      <c r="B749" s="1" t="s">
        <v>2110</v>
      </c>
      <c r="C749" s="1" t="s">
        <v>3025</v>
      </c>
      <c r="D749" s="1" t="s">
        <v>3026</v>
      </c>
    </row>
    <row r="750">
      <c r="A750" s="14" t="s">
        <v>3159</v>
      </c>
      <c r="B750" s="1" t="s">
        <v>2112</v>
      </c>
      <c r="C750" s="1" t="s">
        <v>3025</v>
      </c>
      <c r="D750" s="1" t="s">
        <v>3026</v>
      </c>
    </row>
    <row r="751">
      <c r="A751" s="14" t="s">
        <v>3160</v>
      </c>
      <c r="B751" s="1" t="s">
        <v>2114</v>
      </c>
      <c r="C751" s="1" t="s">
        <v>3025</v>
      </c>
      <c r="D751" s="1" t="s">
        <v>3026</v>
      </c>
    </row>
    <row r="752">
      <c r="A752" s="14" t="s">
        <v>3161</v>
      </c>
      <c r="B752" s="1" t="s">
        <v>2116</v>
      </c>
      <c r="C752" s="1" t="s">
        <v>3025</v>
      </c>
      <c r="D752" s="1" t="s">
        <v>3026</v>
      </c>
    </row>
    <row r="753">
      <c r="A753" s="14" t="s">
        <v>3162</v>
      </c>
      <c r="B753" s="1" t="s">
        <v>2118</v>
      </c>
      <c r="C753" s="1" t="s">
        <v>3025</v>
      </c>
      <c r="D753" s="1" t="s">
        <v>3026</v>
      </c>
    </row>
    <row r="754">
      <c r="A754" s="14" t="s">
        <v>3163</v>
      </c>
      <c r="B754" s="1" t="s">
        <v>2120</v>
      </c>
      <c r="C754" s="1" t="s">
        <v>3025</v>
      </c>
      <c r="D754" s="1" t="s">
        <v>3026</v>
      </c>
    </row>
    <row r="755">
      <c r="A755" s="14" t="s">
        <v>3164</v>
      </c>
      <c r="B755" s="1" t="s">
        <v>2116</v>
      </c>
      <c r="C755" s="1" t="s">
        <v>3025</v>
      </c>
      <c r="D755" s="1" t="s">
        <v>3026</v>
      </c>
    </row>
    <row r="756">
      <c r="A756" s="14" t="s">
        <v>3165</v>
      </c>
      <c r="B756" s="1" t="s">
        <v>2123</v>
      </c>
      <c r="C756" s="1" t="s">
        <v>3025</v>
      </c>
      <c r="D756" s="1" t="s">
        <v>3026</v>
      </c>
    </row>
    <row r="757">
      <c r="A757" s="14" t="s">
        <v>3166</v>
      </c>
      <c r="B757" s="1" t="s">
        <v>2125</v>
      </c>
      <c r="C757" s="1" t="s">
        <v>3025</v>
      </c>
      <c r="D757" s="1" t="s">
        <v>3026</v>
      </c>
    </row>
    <row r="758">
      <c r="A758" s="14" t="s">
        <v>3167</v>
      </c>
      <c r="B758" s="1" t="s">
        <v>2127</v>
      </c>
      <c r="C758" s="1" t="s">
        <v>3025</v>
      </c>
      <c r="D758" s="1" t="s">
        <v>3026</v>
      </c>
    </row>
    <row r="759">
      <c r="A759" s="14" t="s">
        <v>3168</v>
      </c>
      <c r="B759" s="1" t="s">
        <v>2129</v>
      </c>
      <c r="C759" s="1" t="s">
        <v>3025</v>
      </c>
      <c r="D759" s="1" t="s">
        <v>3026</v>
      </c>
    </row>
    <row r="760">
      <c r="A760" s="14" t="s">
        <v>3169</v>
      </c>
      <c r="B760" s="1" t="s">
        <v>2131</v>
      </c>
      <c r="C760" s="1" t="s">
        <v>3025</v>
      </c>
      <c r="D760" s="1" t="s">
        <v>3026</v>
      </c>
    </row>
    <row r="761">
      <c r="A761" s="14" t="s">
        <v>3170</v>
      </c>
      <c r="B761" s="1" t="s">
        <v>2133</v>
      </c>
      <c r="C761" s="1" t="s">
        <v>3025</v>
      </c>
      <c r="D761" s="1" t="s">
        <v>3026</v>
      </c>
    </row>
    <row r="762">
      <c r="A762" s="14" t="s">
        <v>3171</v>
      </c>
      <c r="B762" s="1" t="s">
        <v>2135</v>
      </c>
      <c r="C762" s="1" t="s">
        <v>3025</v>
      </c>
      <c r="D762" s="1" t="s">
        <v>3026</v>
      </c>
    </row>
    <row r="763">
      <c r="A763" s="14" t="s">
        <v>3172</v>
      </c>
      <c r="B763" s="1" t="s">
        <v>2137</v>
      </c>
      <c r="C763" s="1" t="s">
        <v>3025</v>
      </c>
      <c r="D763" s="1" t="s">
        <v>3026</v>
      </c>
    </row>
    <row r="764">
      <c r="A764" s="14" t="s">
        <v>3173</v>
      </c>
      <c r="B764" s="1" t="s">
        <v>2139</v>
      </c>
      <c r="C764" s="1" t="s">
        <v>3025</v>
      </c>
      <c r="D764" s="1" t="s">
        <v>3026</v>
      </c>
    </row>
    <row r="765">
      <c r="A765" s="14" t="s">
        <v>3174</v>
      </c>
      <c r="B765" s="1" t="s">
        <v>2141</v>
      </c>
      <c r="C765" s="1" t="s">
        <v>3025</v>
      </c>
      <c r="D765" s="1" t="s">
        <v>3026</v>
      </c>
    </row>
    <row r="766">
      <c r="A766" s="14" t="s">
        <v>3175</v>
      </c>
      <c r="B766" s="1" t="s">
        <v>2143</v>
      </c>
      <c r="C766" s="1" t="s">
        <v>3025</v>
      </c>
      <c r="D766" s="1" t="s">
        <v>3026</v>
      </c>
    </row>
    <row r="767">
      <c r="A767" s="14" t="s">
        <v>3176</v>
      </c>
      <c r="B767" s="1" t="s">
        <v>2145</v>
      </c>
      <c r="C767" s="1" t="s">
        <v>3025</v>
      </c>
      <c r="D767" s="1" t="s">
        <v>3026</v>
      </c>
    </row>
    <row r="768">
      <c r="A768" s="14" t="s">
        <v>3177</v>
      </c>
      <c r="B768" s="1" t="s">
        <v>2147</v>
      </c>
      <c r="C768" s="1" t="s">
        <v>3025</v>
      </c>
      <c r="D768" s="1" t="s">
        <v>3026</v>
      </c>
    </row>
    <row r="769">
      <c r="A769" s="14" t="s">
        <v>3178</v>
      </c>
      <c r="B769" s="1" t="s">
        <v>2149</v>
      </c>
      <c r="C769" s="1" t="s">
        <v>3025</v>
      </c>
      <c r="D769" s="1" t="s">
        <v>3026</v>
      </c>
    </row>
    <row r="770">
      <c r="A770" s="14" t="s">
        <v>3179</v>
      </c>
      <c r="B770" s="1" t="s">
        <v>2151</v>
      </c>
      <c r="C770" s="1" t="s">
        <v>3025</v>
      </c>
      <c r="D770" s="1" t="s">
        <v>3026</v>
      </c>
    </row>
    <row r="771">
      <c r="A771" s="14" t="s">
        <v>3180</v>
      </c>
      <c r="B771" s="1" t="s">
        <v>2153</v>
      </c>
      <c r="C771" s="1" t="s">
        <v>3025</v>
      </c>
      <c r="D771" s="1" t="s">
        <v>3026</v>
      </c>
    </row>
    <row r="772">
      <c r="A772" s="14" t="s">
        <v>3181</v>
      </c>
      <c r="B772" s="1" t="s">
        <v>2155</v>
      </c>
      <c r="C772" s="1" t="s">
        <v>3025</v>
      </c>
      <c r="D772" s="1" t="s">
        <v>3026</v>
      </c>
    </row>
    <row r="773">
      <c r="A773" s="14" t="s">
        <v>3182</v>
      </c>
      <c r="B773" s="1" t="s">
        <v>2157</v>
      </c>
      <c r="C773" s="1" t="s">
        <v>3025</v>
      </c>
      <c r="D773" s="1" t="s">
        <v>3026</v>
      </c>
    </row>
    <row r="774">
      <c r="A774" s="14" t="s">
        <v>3183</v>
      </c>
      <c r="B774" s="1" t="s">
        <v>2159</v>
      </c>
      <c r="C774" s="1" t="s">
        <v>3025</v>
      </c>
      <c r="D774" s="1" t="s">
        <v>3026</v>
      </c>
    </row>
    <row r="775">
      <c r="A775" s="14" t="s">
        <v>3184</v>
      </c>
      <c r="B775" s="1" t="s">
        <v>2161</v>
      </c>
      <c r="C775" s="1" t="s">
        <v>3025</v>
      </c>
      <c r="D775" s="1" t="s">
        <v>3026</v>
      </c>
    </row>
    <row r="776">
      <c r="A776" s="14" t="s">
        <v>3185</v>
      </c>
      <c r="B776" s="1" t="s">
        <v>2163</v>
      </c>
      <c r="C776" s="1" t="s">
        <v>3025</v>
      </c>
      <c r="D776" s="1" t="s">
        <v>3026</v>
      </c>
    </row>
    <row r="777">
      <c r="A777" s="14" t="s">
        <v>3186</v>
      </c>
      <c r="B777" s="1" t="s">
        <v>2165</v>
      </c>
      <c r="C777" s="1" t="s">
        <v>3025</v>
      </c>
      <c r="D777" s="1" t="s">
        <v>3026</v>
      </c>
    </row>
    <row r="778">
      <c r="A778" s="14" t="s">
        <v>3187</v>
      </c>
      <c r="B778" s="1" t="s">
        <v>2167</v>
      </c>
      <c r="C778" s="1" t="s">
        <v>3025</v>
      </c>
      <c r="D778" s="1" t="s">
        <v>3026</v>
      </c>
    </row>
    <row r="779">
      <c r="A779" s="14" t="s">
        <v>3188</v>
      </c>
      <c r="B779" s="1" t="s">
        <v>2169</v>
      </c>
      <c r="C779" s="1" t="s">
        <v>3025</v>
      </c>
      <c r="D779" s="1" t="s">
        <v>3026</v>
      </c>
    </row>
    <row r="780">
      <c r="A780" s="14" t="s">
        <v>2491</v>
      </c>
      <c r="B780" s="1" t="s">
        <v>52</v>
      </c>
      <c r="C780" s="1" t="s">
        <v>3025</v>
      </c>
      <c r="D780" s="1" t="s">
        <v>3026</v>
      </c>
    </row>
    <row r="781">
      <c r="A781" s="14" t="s">
        <v>3189</v>
      </c>
      <c r="B781" s="1" t="s">
        <v>2171</v>
      </c>
      <c r="C781" s="1" t="s">
        <v>3025</v>
      </c>
      <c r="D781" s="1" t="s">
        <v>3026</v>
      </c>
    </row>
    <row r="782">
      <c r="A782" s="14" t="s">
        <v>3190</v>
      </c>
      <c r="B782" s="1" t="s">
        <v>1870</v>
      </c>
      <c r="C782" s="1" t="s">
        <v>3025</v>
      </c>
      <c r="D782" s="1" t="s">
        <v>3026</v>
      </c>
    </row>
    <row r="783">
      <c r="A783" s="14" t="s">
        <v>3191</v>
      </c>
      <c r="B783" s="1" t="s">
        <v>2174</v>
      </c>
      <c r="C783" s="1" t="s">
        <v>3025</v>
      </c>
      <c r="D783" s="1" t="s">
        <v>3026</v>
      </c>
    </row>
    <row r="784">
      <c r="A784" s="14" t="s">
        <v>3192</v>
      </c>
      <c r="B784" s="1" t="s">
        <v>2176</v>
      </c>
      <c r="C784" s="1" t="s">
        <v>3025</v>
      </c>
      <c r="D784" s="1" t="s">
        <v>3026</v>
      </c>
    </row>
    <row r="785">
      <c r="A785" s="14" t="s">
        <v>3193</v>
      </c>
      <c r="B785" s="1" t="s">
        <v>2178</v>
      </c>
      <c r="C785" s="1" t="s">
        <v>3025</v>
      </c>
      <c r="D785" s="1" t="s">
        <v>3026</v>
      </c>
    </row>
    <row r="786">
      <c r="A786" s="14" t="s">
        <v>3194</v>
      </c>
      <c r="B786" s="1" t="s">
        <v>2180</v>
      </c>
      <c r="C786" s="1" t="s">
        <v>3025</v>
      </c>
      <c r="D786" s="1" t="s">
        <v>3026</v>
      </c>
    </row>
    <row r="787">
      <c r="A787" s="14" t="s">
        <v>3195</v>
      </c>
      <c r="B787" s="1" t="s">
        <v>2182</v>
      </c>
      <c r="C787" s="1" t="s">
        <v>3025</v>
      </c>
      <c r="D787" s="1" t="s">
        <v>3026</v>
      </c>
    </row>
    <row r="788">
      <c r="A788" s="14" t="s">
        <v>3196</v>
      </c>
      <c r="B788" s="1" t="s">
        <v>2184</v>
      </c>
      <c r="C788" s="1" t="s">
        <v>3025</v>
      </c>
      <c r="D788" s="1" t="s">
        <v>3026</v>
      </c>
    </row>
    <row r="789">
      <c r="A789" s="14" t="s">
        <v>3197</v>
      </c>
      <c r="B789" s="1" t="s">
        <v>2186</v>
      </c>
      <c r="C789" s="1" t="s">
        <v>3025</v>
      </c>
      <c r="D789" s="1" t="s">
        <v>3026</v>
      </c>
    </row>
    <row r="790">
      <c r="A790" s="14" t="s">
        <v>3198</v>
      </c>
      <c r="B790" s="1" t="s">
        <v>2188</v>
      </c>
      <c r="C790" s="1" t="s">
        <v>3025</v>
      </c>
      <c r="D790" s="1" t="s">
        <v>3026</v>
      </c>
    </row>
    <row r="791">
      <c r="A791" s="14" t="s">
        <v>3199</v>
      </c>
      <c r="B791" s="1" t="s">
        <v>2190</v>
      </c>
      <c r="C791" s="1" t="s">
        <v>3025</v>
      </c>
      <c r="D791" s="1" t="s">
        <v>3026</v>
      </c>
    </row>
    <row r="792">
      <c r="A792" s="14" t="s">
        <v>3200</v>
      </c>
      <c r="B792" s="1" t="s">
        <v>2192</v>
      </c>
      <c r="C792" s="1" t="s">
        <v>3025</v>
      </c>
      <c r="D792" s="1" t="s">
        <v>3026</v>
      </c>
    </row>
    <row r="793">
      <c r="A793" s="14" t="s">
        <v>3201</v>
      </c>
      <c r="B793" s="1" t="s">
        <v>2194</v>
      </c>
      <c r="C793" s="1" t="s">
        <v>3025</v>
      </c>
      <c r="D793" s="1" t="s">
        <v>3026</v>
      </c>
    </row>
    <row r="794">
      <c r="A794" s="14" t="s">
        <v>3202</v>
      </c>
      <c r="B794" s="1" t="s">
        <v>2196</v>
      </c>
      <c r="C794" s="1" t="s">
        <v>3025</v>
      </c>
      <c r="D794" s="1" t="s">
        <v>3026</v>
      </c>
    </row>
    <row r="795">
      <c r="A795" s="14" t="s">
        <v>3203</v>
      </c>
      <c r="B795" s="1" t="s">
        <v>2198</v>
      </c>
      <c r="C795" s="1" t="s">
        <v>3025</v>
      </c>
      <c r="D795" s="1" t="s">
        <v>3026</v>
      </c>
    </row>
    <row r="796">
      <c r="A796" s="14" t="s">
        <v>3204</v>
      </c>
      <c r="B796" s="1" t="s">
        <v>2200</v>
      </c>
      <c r="C796" s="1" t="s">
        <v>3025</v>
      </c>
      <c r="D796" s="1" t="s">
        <v>3026</v>
      </c>
    </row>
    <row r="797">
      <c r="A797" s="14" t="s">
        <v>3205</v>
      </c>
      <c r="B797" s="1" t="s">
        <v>2202</v>
      </c>
      <c r="C797" s="1" t="s">
        <v>3025</v>
      </c>
      <c r="D797" s="1" t="s">
        <v>3026</v>
      </c>
    </row>
    <row r="798">
      <c r="A798" s="14" t="s">
        <v>3206</v>
      </c>
      <c r="B798" s="1" t="s">
        <v>2204</v>
      </c>
      <c r="C798" s="1" t="s">
        <v>3025</v>
      </c>
      <c r="D798" s="1" t="s">
        <v>3026</v>
      </c>
    </row>
    <row r="799">
      <c r="A799" s="14" t="s">
        <v>3207</v>
      </c>
      <c r="B799" s="1" t="s">
        <v>2206</v>
      </c>
      <c r="C799" s="1" t="s">
        <v>3025</v>
      </c>
      <c r="D799" s="1" t="s">
        <v>3026</v>
      </c>
    </row>
    <row r="800">
      <c r="A800" s="14" t="s">
        <v>3208</v>
      </c>
      <c r="B800" s="1" t="s">
        <v>2208</v>
      </c>
      <c r="C800" s="1" t="s">
        <v>3025</v>
      </c>
      <c r="D800" s="1" t="s">
        <v>3026</v>
      </c>
    </row>
    <row r="801">
      <c r="A801" s="14" t="s">
        <v>3209</v>
      </c>
      <c r="B801" s="1" t="s">
        <v>2210</v>
      </c>
      <c r="C801" s="1" t="s">
        <v>3025</v>
      </c>
      <c r="D801" s="1" t="s">
        <v>3026</v>
      </c>
    </row>
    <row r="802">
      <c r="A802" s="14" t="s">
        <v>3210</v>
      </c>
      <c r="B802" s="1" t="s">
        <v>2212</v>
      </c>
      <c r="C802" s="1" t="s">
        <v>3025</v>
      </c>
      <c r="D802" s="1" t="s">
        <v>3026</v>
      </c>
    </row>
    <row r="803">
      <c r="A803" s="14" t="s">
        <v>3211</v>
      </c>
      <c r="B803" s="1" t="s">
        <v>2214</v>
      </c>
      <c r="C803" s="1" t="s">
        <v>3025</v>
      </c>
      <c r="D803" s="1" t="s">
        <v>3026</v>
      </c>
    </row>
    <row r="804">
      <c r="A804" s="14" t="s">
        <v>3212</v>
      </c>
      <c r="B804" s="1" t="s">
        <v>2216</v>
      </c>
      <c r="C804" s="1" t="s">
        <v>3025</v>
      </c>
      <c r="D804" s="1" t="s">
        <v>3026</v>
      </c>
    </row>
    <row r="805">
      <c r="A805" s="14" t="s">
        <v>3213</v>
      </c>
      <c r="B805" s="1" t="s">
        <v>2218</v>
      </c>
      <c r="C805" s="1" t="s">
        <v>3025</v>
      </c>
      <c r="D805" s="1" t="s">
        <v>3026</v>
      </c>
    </row>
    <row r="806">
      <c r="A806" s="14" t="s">
        <v>3214</v>
      </c>
      <c r="B806" s="1" t="s">
        <v>2220</v>
      </c>
      <c r="C806" s="1" t="s">
        <v>3025</v>
      </c>
      <c r="D806" s="1" t="s">
        <v>3026</v>
      </c>
    </row>
    <row r="807">
      <c r="A807" s="14" t="s">
        <v>3215</v>
      </c>
      <c r="B807" s="1" t="s">
        <v>2222</v>
      </c>
      <c r="C807" s="1" t="s">
        <v>3025</v>
      </c>
      <c r="D807" s="1" t="s">
        <v>3026</v>
      </c>
    </row>
    <row r="808">
      <c r="A808" s="14" t="s">
        <v>3216</v>
      </c>
      <c r="B808" s="1" t="s">
        <v>2224</v>
      </c>
      <c r="C808" s="1" t="s">
        <v>3025</v>
      </c>
      <c r="D808" s="1" t="s">
        <v>3026</v>
      </c>
    </row>
    <row r="809">
      <c r="A809" s="14" t="s">
        <v>3217</v>
      </c>
      <c r="B809" s="1" t="s">
        <v>2226</v>
      </c>
      <c r="C809" s="1" t="s">
        <v>3025</v>
      </c>
      <c r="D809" s="1" t="s">
        <v>3026</v>
      </c>
    </row>
    <row r="810">
      <c r="A810" s="14" t="s">
        <v>3218</v>
      </c>
      <c r="B810" s="1" t="s">
        <v>2228</v>
      </c>
      <c r="C810" s="1" t="s">
        <v>3025</v>
      </c>
      <c r="D810" s="1" t="s">
        <v>3026</v>
      </c>
    </row>
    <row r="811">
      <c r="A811" s="14" t="s">
        <v>3219</v>
      </c>
      <c r="B811" s="1" t="s">
        <v>2230</v>
      </c>
      <c r="C811" s="1" t="s">
        <v>3025</v>
      </c>
      <c r="D811" s="1" t="s">
        <v>3026</v>
      </c>
    </row>
    <row r="812">
      <c r="A812" s="14" t="s">
        <v>3220</v>
      </c>
      <c r="B812" s="1" t="s">
        <v>2232</v>
      </c>
      <c r="C812" s="1" t="s">
        <v>3025</v>
      </c>
      <c r="D812" s="1" t="s">
        <v>3026</v>
      </c>
    </row>
    <row r="813">
      <c r="A813" s="14" t="s">
        <v>3221</v>
      </c>
      <c r="B813" s="1" t="s">
        <v>2234</v>
      </c>
      <c r="C813" s="1" t="s">
        <v>3025</v>
      </c>
      <c r="D813" s="1" t="s">
        <v>3026</v>
      </c>
    </row>
    <row r="814">
      <c r="A814" s="14" t="s">
        <v>3222</v>
      </c>
      <c r="B814" s="1" t="s">
        <v>2236</v>
      </c>
      <c r="C814" s="1" t="s">
        <v>3025</v>
      </c>
      <c r="D814" s="1" t="s">
        <v>3026</v>
      </c>
    </row>
    <row r="815">
      <c r="A815" s="14" t="s">
        <v>3223</v>
      </c>
      <c r="B815" s="1" t="s">
        <v>2238</v>
      </c>
      <c r="C815" s="1" t="s">
        <v>3025</v>
      </c>
      <c r="D815" s="1" t="s">
        <v>3026</v>
      </c>
    </row>
    <row r="816">
      <c r="A816" s="14" t="s">
        <v>3224</v>
      </c>
      <c r="B816" s="1" t="s">
        <v>2240</v>
      </c>
      <c r="C816" s="1" t="s">
        <v>3025</v>
      </c>
      <c r="D816" s="1" t="s">
        <v>3026</v>
      </c>
    </row>
    <row r="817">
      <c r="A817" s="14" t="s">
        <v>3225</v>
      </c>
      <c r="B817" s="1" t="s">
        <v>2242</v>
      </c>
      <c r="C817" s="1" t="s">
        <v>3025</v>
      </c>
      <c r="D817" s="1" t="s">
        <v>3026</v>
      </c>
    </row>
    <row r="818">
      <c r="A818" s="14" t="s">
        <v>3226</v>
      </c>
      <c r="B818" s="1" t="s">
        <v>2244</v>
      </c>
      <c r="C818" s="1" t="s">
        <v>3025</v>
      </c>
      <c r="D818" s="1" t="s">
        <v>3026</v>
      </c>
    </row>
    <row r="819">
      <c r="A819" s="14" t="s">
        <v>3227</v>
      </c>
      <c r="B819" s="1" t="s">
        <v>2246</v>
      </c>
      <c r="C819" s="1" t="s">
        <v>3025</v>
      </c>
      <c r="D819" s="1" t="s">
        <v>3026</v>
      </c>
    </row>
    <row r="820">
      <c r="A820" s="14" t="s">
        <v>3228</v>
      </c>
      <c r="B820" s="1" t="s">
        <v>2248</v>
      </c>
      <c r="C820" s="1" t="s">
        <v>3025</v>
      </c>
      <c r="D820" s="1" t="s">
        <v>3026</v>
      </c>
    </row>
    <row r="821">
      <c r="A821" s="14" t="s">
        <v>3229</v>
      </c>
      <c r="B821" s="1" t="s">
        <v>2250</v>
      </c>
      <c r="C821" s="1" t="s">
        <v>3025</v>
      </c>
      <c r="D821" s="1" t="s">
        <v>3026</v>
      </c>
    </row>
    <row r="822">
      <c r="A822" s="14" t="s">
        <v>3230</v>
      </c>
      <c r="B822" s="1" t="s">
        <v>2252</v>
      </c>
      <c r="C822" s="1" t="s">
        <v>3025</v>
      </c>
      <c r="D822" s="1" t="s">
        <v>3026</v>
      </c>
    </row>
    <row r="823">
      <c r="A823" s="14" t="s">
        <v>3231</v>
      </c>
      <c r="B823" s="1" t="s">
        <v>2254</v>
      </c>
      <c r="C823" s="1" t="s">
        <v>3025</v>
      </c>
      <c r="D823" s="1" t="s">
        <v>3026</v>
      </c>
    </row>
    <row r="824">
      <c r="A824" s="14" t="s">
        <v>3232</v>
      </c>
      <c r="B824" s="1" t="s">
        <v>2256</v>
      </c>
      <c r="C824" s="1" t="s">
        <v>3025</v>
      </c>
      <c r="D824" s="1" t="s">
        <v>3026</v>
      </c>
    </row>
    <row r="825">
      <c r="A825" s="14" t="s">
        <v>3233</v>
      </c>
      <c r="B825" s="1" t="s">
        <v>2258</v>
      </c>
      <c r="C825" s="1" t="s">
        <v>3025</v>
      </c>
      <c r="D825" s="1" t="s">
        <v>3026</v>
      </c>
    </row>
    <row r="826">
      <c r="A826" s="14" t="s">
        <v>3234</v>
      </c>
      <c r="B826" s="1" t="s">
        <v>2260</v>
      </c>
      <c r="C826" s="1" t="s">
        <v>3025</v>
      </c>
      <c r="D826" s="1" t="s">
        <v>3026</v>
      </c>
    </row>
    <row r="827">
      <c r="A827" s="14" t="s">
        <v>3235</v>
      </c>
      <c r="B827" s="1" t="s">
        <v>2262</v>
      </c>
      <c r="C827" s="1" t="s">
        <v>3025</v>
      </c>
      <c r="D827" s="1" t="s">
        <v>3026</v>
      </c>
    </row>
    <row r="828">
      <c r="A828" s="14" t="s">
        <v>3236</v>
      </c>
      <c r="B828" s="1" t="s">
        <v>2264</v>
      </c>
      <c r="C828" s="1" t="s">
        <v>3025</v>
      </c>
      <c r="D828" s="1" t="s">
        <v>3026</v>
      </c>
    </row>
    <row r="829">
      <c r="A829" s="14" t="s">
        <v>3237</v>
      </c>
      <c r="B829" s="1" t="s">
        <v>2266</v>
      </c>
      <c r="C829" s="1" t="s">
        <v>3025</v>
      </c>
      <c r="D829" s="1" t="s">
        <v>3026</v>
      </c>
    </row>
    <row r="830">
      <c r="A830" s="14" t="s">
        <v>3238</v>
      </c>
      <c r="B830" s="1" t="s">
        <v>2268</v>
      </c>
      <c r="C830" s="1" t="s">
        <v>3025</v>
      </c>
      <c r="D830" s="1" t="s">
        <v>3026</v>
      </c>
    </row>
    <row r="831">
      <c r="A831" s="14" t="s">
        <v>3239</v>
      </c>
      <c r="B831" s="1" t="s">
        <v>2270</v>
      </c>
      <c r="C831" s="1" t="s">
        <v>3025</v>
      </c>
      <c r="D831" s="1" t="s">
        <v>3026</v>
      </c>
    </row>
    <row r="832">
      <c r="A832" s="14" t="s">
        <v>3240</v>
      </c>
      <c r="B832" s="1" t="s">
        <v>2272</v>
      </c>
      <c r="C832" s="1" t="s">
        <v>3025</v>
      </c>
      <c r="D832" s="1" t="s">
        <v>3026</v>
      </c>
    </row>
    <row r="833">
      <c r="A833" s="14" t="s">
        <v>3241</v>
      </c>
      <c r="B833" s="1" t="s">
        <v>2274</v>
      </c>
      <c r="C833" s="1" t="s">
        <v>3025</v>
      </c>
      <c r="D833" s="1" t="s">
        <v>3026</v>
      </c>
    </row>
    <row r="834">
      <c r="A834" s="14" t="s">
        <v>3242</v>
      </c>
      <c r="B834" s="1" t="s">
        <v>2276</v>
      </c>
      <c r="C834" s="1" t="s">
        <v>3025</v>
      </c>
      <c r="D834" s="1" t="s">
        <v>3026</v>
      </c>
    </row>
    <row r="835">
      <c r="A835" s="14" t="s">
        <v>3243</v>
      </c>
      <c r="B835" s="1" t="s">
        <v>2278</v>
      </c>
      <c r="C835" s="1" t="s">
        <v>3025</v>
      </c>
      <c r="D835" s="1" t="s">
        <v>3026</v>
      </c>
    </row>
    <row r="836">
      <c r="A836" s="14" t="s">
        <v>3244</v>
      </c>
      <c r="B836" s="1" t="s">
        <v>2280</v>
      </c>
      <c r="C836" s="1" t="s">
        <v>3025</v>
      </c>
      <c r="D836" s="1" t="s">
        <v>3026</v>
      </c>
    </row>
    <row r="837">
      <c r="A837" s="14" t="s">
        <v>3245</v>
      </c>
      <c r="B837" s="1" t="s">
        <v>2282</v>
      </c>
      <c r="C837" s="1" t="s">
        <v>3025</v>
      </c>
      <c r="D837" s="1" t="s">
        <v>3026</v>
      </c>
    </row>
    <row r="838">
      <c r="A838" s="14" t="s">
        <v>3246</v>
      </c>
      <c r="B838" s="1" t="s">
        <v>2284</v>
      </c>
      <c r="C838" s="1" t="s">
        <v>3025</v>
      </c>
      <c r="D838" s="1" t="s">
        <v>3026</v>
      </c>
    </row>
    <row r="839">
      <c r="A839" s="14" t="s">
        <v>3247</v>
      </c>
      <c r="B839" s="1" t="s">
        <v>2286</v>
      </c>
      <c r="C839" s="1" t="s">
        <v>3025</v>
      </c>
      <c r="D839" s="1" t="s">
        <v>3026</v>
      </c>
    </row>
    <row r="840">
      <c r="A840" s="14" t="s">
        <v>3248</v>
      </c>
      <c r="B840" s="1" t="s">
        <v>2288</v>
      </c>
      <c r="C840" s="1" t="s">
        <v>3025</v>
      </c>
      <c r="D840" s="1" t="s">
        <v>3026</v>
      </c>
    </row>
    <row r="841">
      <c r="A841" s="14" t="s">
        <v>3249</v>
      </c>
      <c r="B841" s="1" t="s">
        <v>2290</v>
      </c>
      <c r="C841" s="1" t="s">
        <v>3025</v>
      </c>
      <c r="D841" s="1" t="s">
        <v>3026</v>
      </c>
    </row>
    <row r="842">
      <c r="A842" s="14" t="s">
        <v>3250</v>
      </c>
      <c r="B842" s="1" t="s">
        <v>2292</v>
      </c>
      <c r="C842" s="1" t="s">
        <v>3025</v>
      </c>
      <c r="D842" s="1" t="s">
        <v>3026</v>
      </c>
    </row>
    <row r="843">
      <c r="A843" s="14" t="s">
        <v>3251</v>
      </c>
      <c r="B843" s="1" t="s">
        <v>2294</v>
      </c>
      <c r="C843" s="1" t="s">
        <v>3025</v>
      </c>
      <c r="D843" s="1" t="s">
        <v>3026</v>
      </c>
    </row>
    <row r="844">
      <c r="A844" s="14" t="s">
        <v>3252</v>
      </c>
      <c r="B844" s="1" t="s">
        <v>2296</v>
      </c>
      <c r="C844" s="1" t="s">
        <v>3025</v>
      </c>
      <c r="D844" s="1" t="s">
        <v>3026</v>
      </c>
    </row>
    <row r="845">
      <c r="A845" s="14" t="s">
        <v>3253</v>
      </c>
      <c r="B845" s="1" t="s">
        <v>2298</v>
      </c>
      <c r="C845" s="1" t="s">
        <v>3025</v>
      </c>
      <c r="D845" s="1" t="s">
        <v>3026</v>
      </c>
    </row>
    <row r="846">
      <c r="A846" s="14" t="s">
        <v>3254</v>
      </c>
      <c r="B846" s="1" t="s">
        <v>2300</v>
      </c>
      <c r="C846" s="1" t="s">
        <v>3025</v>
      </c>
      <c r="D846" s="1" t="s">
        <v>3026</v>
      </c>
    </row>
    <row r="847">
      <c r="A847" s="14" t="s">
        <v>3255</v>
      </c>
      <c r="B847" s="1" t="s">
        <v>2302</v>
      </c>
      <c r="C847" s="1" t="s">
        <v>3025</v>
      </c>
      <c r="D847" s="1" t="s">
        <v>3026</v>
      </c>
    </row>
    <row r="848">
      <c r="A848" s="14" t="s">
        <v>3256</v>
      </c>
      <c r="B848" s="1" t="s">
        <v>2304</v>
      </c>
      <c r="C848" s="1" t="s">
        <v>3025</v>
      </c>
      <c r="D848" s="1" t="s">
        <v>3026</v>
      </c>
    </row>
    <row r="849">
      <c r="A849" s="14" t="s">
        <v>3257</v>
      </c>
      <c r="B849" s="1" t="s">
        <v>2306</v>
      </c>
      <c r="C849" s="1" t="s">
        <v>3025</v>
      </c>
      <c r="D849" s="1" t="s">
        <v>3026</v>
      </c>
    </row>
    <row r="850">
      <c r="A850" s="14" t="s">
        <v>3258</v>
      </c>
      <c r="B850" s="1" t="s">
        <v>2308</v>
      </c>
      <c r="C850" s="1" t="s">
        <v>3025</v>
      </c>
      <c r="D850" s="1" t="s">
        <v>3026</v>
      </c>
    </row>
    <row r="851">
      <c r="A851" s="14" t="s">
        <v>3259</v>
      </c>
      <c r="B851" s="1" t="s">
        <v>2310</v>
      </c>
      <c r="C851" s="1" t="s">
        <v>3025</v>
      </c>
      <c r="D851" s="1" t="s">
        <v>3026</v>
      </c>
    </row>
    <row r="852">
      <c r="A852" s="14" t="s">
        <v>3260</v>
      </c>
      <c r="B852" s="1" t="s">
        <v>2312</v>
      </c>
      <c r="C852" s="1" t="s">
        <v>3025</v>
      </c>
      <c r="D852" s="1" t="s">
        <v>3026</v>
      </c>
    </row>
    <row r="853">
      <c r="A853" s="14" t="s">
        <v>3261</v>
      </c>
      <c r="B853" s="1" t="s">
        <v>2314</v>
      </c>
      <c r="C853" s="1" t="s">
        <v>3025</v>
      </c>
      <c r="D853" s="1" t="s">
        <v>3026</v>
      </c>
    </row>
    <row r="854">
      <c r="A854" s="14" t="s">
        <v>3262</v>
      </c>
      <c r="B854" s="1" t="s">
        <v>2316</v>
      </c>
      <c r="C854" s="1" t="s">
        <v>3025</v>
      </c>
      <c r="D854" s="1" t="s">
        <v>3026</v>
      </c>
    </row>
    <row r="855">
      <c r="A855" s="14" t="s">
        <v>3263</v>
      </c>
      <c r="B855" s="1" t="s">
        <v>2318</v>
      </c>
      <c r="C855" s="1" t="s">
        <v>3025</v>
      </c>
      <c r="D855" s="1" t="s">
        <v>3026</v>
      </c>
    </row>
    <row r="856">
      <c r="A856" s="14" t="s">
        <v>3264</v>
      </c>
      <c r="B856" s="1" t="s">
        <v>2320</v>
      </c>
      <c r="C856" s="1" t="s">
        <v>3025</v>
      </c>
      <c r="D856" s="1" t="s">
        <v>3026</v>
      </c>
    </row>
    <row r="857">
      <c r="A857" s="14" t="s">
        <v>3265</v>
      </c>
      <c r="B857" s="1" t="s">
        <v>2322</v>
      </c>
      <c r="C857" s="1" t="s">
        <v>3025</v>
      </c>
      <c r="D857" s="1" t="s">
        <v>3026</v>
      </c>
    </row>
    <row r="858">
      <c r="A858" s="14" t="s">
        <v>3266</v>
      </c>
      <c r="B858" s="1" t="s">
        <v>2324</v>
      </c>
      <c r="C858" s="1" t="s">
        <v>3025</v>
      </c>
      <c r="D858" s="1" t="s">
        <v>3026</v>
      </c>
    </row>
    <row r="859">
      <c r="A859" s="14" t="s">
        <v>3267</v>
      </c>
      <c r="B859" s="1" t="s">
        <v>2326</v>
      </c>
      <c r="C859" s="1" t="s">
        <v>3025</v>
      </c>
      <c r="D859" s="1" t="s">
        <v>3026</v>
      </c>
    </row>
    <row r="860">
      <c r="A860" s="14" t="s">
        <v>3268</v>
      </c>
      <c r="B860" s="1" t="s">
        <v>2328</v>
      </c>
      <c r="C860" s="1" t="s">
        <v>3025</v>
      </c>
      <c r="D860" s="1" t="s">
        <v>3026</v>
      </c>
    </row>
    <row r="861">
      <c r="A861" s="14" t="s">
        <v>3269</v>
      </c>
      <c r="B861" s="1" t="s">
        <v>2330</v>
      </c>
      <c r="C861" s="1" t="s">
        <v>3025</v>
      </c>
      <c r="D861" s="1" t="s">
        <v>3026</v>
      </c>
    </row>
    <row r="862">
      <c r="A862" s="14" t="s">
        <v>3270</v>
      </c>
      <c r="B862" s="1" t="s">
        <v>2332</v>
      </c>
      <c r="C862" s="1" t="s">
        <v>3025</v>
      </c>
      <c r="D862" s="1" t="s">
        <v>3026</v>
      </c>
    </row>
    <row r="863">
      <c r="A863" s="14" t="s">
        <v>3271</v>
      </c>
      <c r="B863" s="1" t="s">
        <v>2334</v>
      </c>
      <c r="C863" s="1" t="s">
        <v>3025</v>
      </c>
      <c r="D863" s="1" t="s">
        <v>3026</v>
      </c>
    </row>
    <row r="864">
      <c r="A864" s="14" t="s">
        <v>3272</v>
      </c>
      <c r="B864" s="1" t="s">
        <v>2336</v>
      </c>
      <c r="C864" s="1" t="s">
        <v>3025</v>
      </c>
      <c r="D864" s="1" t="s">
        <v>3026</v>
      </c>
    </row>
    <row r="865">
      <c r="A865" s="14" t="s">
        <v>3273</v>
      </c>
      <c r="B865" s="1" t="s">
        <v>2338</v>
      </c>
      <c r="C865" s="1" t="s">
        <v>3025</v>
      </c>
      <c r="D865" s="1" t="s">
        <v>3026</v>
      </c>
    </row>
    <row r="866">
      <c r="A866" s="14" t="s">
        <v>3274</v>
      </c>
      <c r="B866" s="1" t="s">
        <v>2340</v>
      </c>
      <c r="C866" s="1" t="s">
        <v>3025</v>
      </c>
      <c r="D866" s="1" t="s">
        <v>3026</v>
      </c>
    </row>
    <row r="867">
      <c r="A867" s="14" t="s">
        <v>3275</v>
      </c>
      <c r="B867" s="1" t="s">
        <v>2342</v>
      </c>
      <c r="C867" s="1" t="s">
        <v>3025</v>
      </c>
      <c r="D867" s="1" t="s">
        <v>3026</v>
      </c>
    </row>
    <row r="868">
      <c r="A868" s="14" t="s">
        <v>3276</v>
      </c>
      <c r="B868" s="1" t="s">
        <v>2344</v>
      </c>
      <c r="C868" s="1" t="s">
        <v>3025</v>
      </c>
      <c r="D868" s="1" t="s">
        <v>3026</v>
      </c>
    </row>
    <row r="869">
      <c r="A869" s="14" t="s">
        <v>3277</v>
      </c>
      <c r="B869" s="1" t="s">
        <v>2346</v>
      </c>
      <c r="C869" s="1" t="s">
        <v>3025</v>
      </c>
      <c r="D869" s="1" t="s">
        <v>3026</v>
      </c>
    </row>
    <row r="870">
      <c r="A870" s="14" t="s">
        <v>3278</v>
      </c>
      <c r="B870" s="1" t="s">
        <v>2348</v>
      </c>
      <c r="C870" s="1" t="s">
        <v>3025</v>
      </c>
      <c r="D870" s="1" t="s">
        <v>3026</v>
      </c>
    </row>
    <row r="871">
      <c r="A871" s="14" t="s">
        <v>3279</v>
      </c>
      <c r="B871" s="1" t="s">
        <v>2350</v>
      </c>
      <c r="C871" s="1" t="s">
        <v>3025</v>
      </c>
      <c r="D871" s="1" t="s">
        <v>3026</v>
      </c>
    </row>
    <row r="872">
      <c r="A872" s="14" t="s">
        <v>3280</v>
      </c>
      <c r="B872" s="1" t="s">
        <v>2352</v>
      </c>
      <c r="C872" s="1" t="s">
        <v>3025</v>
      </c>
      <c r="D872" s="1" t="s">
        <v>3026</v>
      </c>
    </row>
    <row r="873">
      <c r="A873" s="14" t="s">
        <v>3281</v>
      </c>
      <c r="B873" s="1" t="s">
        <v>2354</v>
      </c>
      <c r="C873" s="1" t="s">
        <v>3025</v>
      </c>
      <c r="D873" s="1" t="s">
        <v>3026</v>
      </c>
    </row>
    <row r="874">
      <c r="A874" s="14" t="s">
        <v>3282</v>
      </c>
      <c r="B874" s="1" t="s">
        <v>2356</v>
      </c>
      <c r="C874" s="1" t="s">
        <v>3025</v>
      </c>
      <c r="D874" s="1" t="s">
        <v>3026</v>
      </c>
    </row>
    <row r="875">
      <c r="A875" s="14" t="s">
        <v>3283</v>
      </c>
      <c r="B875" s="1" t="s">
        <v>2358</v>
      </c>
      <c r="C875" s="1" t="s">
        <v>3025</v>
      </c>
      <c r="D875" s="1" t="s">
        <v>3026</v>
      </c>
    </row>
    <row r="876">
      <c r="A876" s="14" t="s">
        <v>3284</v>
      </c>
      <c r="B876" s="1" t="s">
        <v>2360</v>
      </c>
      <c r="C876" s="1" t="s">
        <v>3025</v>
      </c>
      <c r="D876" s="1" t="s">
        <v>3026</v>
      </c>
    </row>
    <row r="877">
      <c r="A877" s="14" t="s">
        <v>3285</v>
      </c>
      <c r="B877" s="1" t="s">
        <v>2362</v>
      </c>
      <c r="C877" s="1" t="s">
        <v>3025</v>
      </c>
      <c r="D877" s="1" t="s">
        <v>3026</v>
      </c>
    </row>
    <row r="878">
      <c r="A878" s="14" t="s">
        <v>3286</v>
      </c>
      <c r="B878" s="1" t="s">
        <v>2364</v>
      </c>
      <c r="C878" s="1" t="s">
        <v>3025</v>
      </c>
      <c r="D878" s="1" t="s">
        <v>3026</v>
      </c>
    </row>
    <row r="879">
      <c r="A879" s="14" t="s">
        <v>3287</v>
      </c>
      <c r="B879" s="1" t="s">
        <v>2366</v>
      </c>
      <c r="C879" s="1" t="s">
        <v>3025</v>
      </c>
      <c r="D879" s="1" t="s">
        <v>3026</v>
      </c>
    </row>
    <row r="880">
      <c r="A880" s="14" t="s">
        <v>3288</v>
      </c>
      <c r="B880" s="1" t="s">
        <v>2368</v>
      </c>
      <c r="C880" s="1" t="s">
        <v>3025</v>
      </c>
      <c r="D880" s="1" t="s">
        <v>3026</v>
      </c>
    </row>
    <row r="881">
      <c r="A881" s="14" t="s">
        <v>3289</v>
      </c>
      <c r="B881" s="1" t="s">
        <v>2370</v>
      </c>
      <c r="C881" s="1" t="s">
        <v>3025</v>
      </c>
      <c r="D881" s="1" t="s">
        <v>3026</v>
      </c>
    </row>
    <row r="882">
      <c r="A882" s="14" t="s">
        <v>3290</v>
      </c>
      <c r="B882" s="1" t="s">
        <v>2372</v>
      </c>
      <c r="C882" s="1" t="s">
        <v>3025</v>
      </c>
      <c r="D882" s="1" t="s">
        <v>3026</v>
      </c>
    </row>
    <row r="883">
      <c r="A883" s="14" t="s">
        <v>3291</v>
      </c>
      <c r="B883" s="1" t="s">
        <v>2374</v>
      </c>
      <c r="C883" s="1" t="s">
        <v>3025</v>
      </c>
      <c r="D883" s="1" t="s">
        <v>3026</v>
      </c>
    </row>
    <row r="884">
      <c r="A884" s="14" t="s">
        <v>3292</v>
      </c>
      <c r="B884" s="1" t="s">
        <v>2376</v>
      </c>
      <c r="C884" s="1" t="s">
        <v>3025</v>
      </c>
      <c r="D884" s="1" t="s">
        <v>3026</v>
      </c>
    </row>
    <row r="885">
      <c r="A885" s="14" t="s">
        <v>3293</v>
      </c>
      <c r="B885" s="1" t="s">
        <v>2378</v>
      </c>
      <c r="C885" s="1" t="s">
        <v>3025</v>
      </c>
      <c r="D885" s="1" t="s">
        <v>3026</v>
      </c>
    </row>
    <row r="886">
      <c r="A886" s="14" t="s">
        <v>3294</v>
      </c>
      <c r="B886" s="1" t="s">
        <v>2380</v>
      </c>
      <c r="C886" s="1" t="s">
        <v>3025</v>
      </c>
      <c r="D886" s="1" t="s">
        <v>3026</v>
      </c>
    </row>
    <row r="887">
      <c r="A887" s="14" t="s">
        <v>3295</v>
      </c>
      <c r="B887" s="1" t="s">
        <v>2382</v>
      </c>
      <c r="C887" s="1" t="s">
        <v>3025</v>
      </c>
      <c r="D887" s="1" t="s">
        <v>3026</v>
      </c>
    </row>
    <row r="888">
      <c r="A888" s="14" t="s">
        <v>3296</v>
      </c>
      <c r="B888" s="1" t="s">
        <v>2384</v>
      </c>
      <c r="C888" s="1" t="s">
        <v>3025</v>
      </c>
      <c r="D888" s="1" t="s">
        <v>3026</v>
      </c>
    </row>
    <row r="889">
      <c r="A889" s="14" t="s">
        <v>3297</v>
      </c>
      <c r="B889" s="1" t="s">
        <v>2386</v>
      </c>
      <c r="C889" s="1" t="s">
        <v>3025</v>
      </c>
      <c r="D889" s="1" t="s">
        <v>3026</v>
      </c>
    </row>
    <row r="890">
      <c r="A890" s="14" t="s">
        <v>3298</v>
      </c>
      <c r="B890" s="1" t="s">
        <v>2388</v>
      </c>
      <c r="C890" s="1" t="s">
        <v>3025</v>
      </c>
      <c r="D890" s="1" t="s">
        <v>3026</v>
      </c>
    </row>
    <row r="891">
      <c r="A891" s="14" t="s">
        <v>3299</v>
      </c>
      <c r="B891" s="1" t="s">
        <v>2390</v>
      </c>
      <c r="C891" s="1" t="s">
        <v>3025</v>
      </c>
      <c r="D891" s="1" t="s">
        <v>3026</v>
      </c>
    </row>
    <row r="892">
      <c r="A892" s="14" t="s">
        <v>3300</v>
      </c>
      <c r="B892" s="1" t="s">
        <v>2392</v>
      </c>
      <c r="C892" s="1" t="s">
        <v>3025</v>
      </c>
      <c r="D892" s="1" t="s">
        <v>3026</v>
      </c>
    </row>
    <row r="893">
      <c r="A893" s="14" t="s">
        <v>3301</v>
      </c>
      <c r="B893" s="1" t="s">
        <v>2394</v>
      </c>
      <c r="C893" s="1" t="s">
        <v>3025</v>
      </c>
      <c r="D893" s="1" t="s">
        <v>3026</v>
      </c>
    </row>
    <row r="894">
      <c r="A894" s="14" t="s">
        <v>3302</v>
      </c>
      <c r="B894" s="1" t="s">
        <v>2396</v>
      </c>
      <c r="C894" s="1" t="s">
        <v>3025</v>
      </c>
      <c r="D894" s="1" t="s">
        <v>3026</v>
      </c>
    </row>
    <row r="895">
      <c r="A895" s="14" t="s">
        <v>3303</v>
      </c>
      <c r="B895" s="1" t="s">
        <v>2398</v>
      </c>
      <c r="C895" s="1" t="s">
        <v>3025</v>
      </c>
      <c r="D895" s="1" t="s">
        <v>3026</v>
      </c>
    </row>
    <row r="896">
      <c r="A896" s="14" t="s">
        <v>3304</v>
      </c>
      <c r="B896" s="1" t="s">
        <v>2400</v>
      </c>
      <c r="C896" s="1" t="s">
        <v>3025</v>
      </c>
      <c r="D896" s="1" t="s">
        <v>3026</v>
      </c>
    </row>
    <row r="897">
      <c r="A897" s="14" t="s">
        <v>3305</v>
      </c>
      <c r="B897" s="1" t="s">
        <v>2402</v>
      </c>
      <c r="C897" s="1" t="s">
        <v>3025</v>
      </c>
      <c r="D897" s="1" t="s">
        <v>3026</v>
      </c>
    </row>
    <row r="1592">
      <c r="A1592" s="7"/>
    </row>
    <row r="1593">
      <c r="A1593" s="7"/>
    </row>
    <row r="1594">
      <c r="A1594" s="7"/>
    </row>
    <row r="1595">
      <c r="A1595" s="7"/>
    </row>
    <row r="1596">
      <c r="A1596" s="7"/>
    </row>
    <row r="1597">
      <c r="A1597" s="7"/>
    </row>
    <row r="1598">
      <c r="A1598" s="7"/>
    </row>
    <row r="1599">
      <c r="A1599" s="7"/>
    </row>
    <row r="1600">
      <c r="A1600" s="7"/>
    </row>
    <row r="1601">
      <c r="A1601" s="7"/>
    </row>
    <row r="1602">
      <c r="A1602" s="7"/>
    </row>
    <row r="1603">
      <c r="A1603" s="7"/>
    </row>
    <row r="1604">
      <c r="A1604" s="7"/>
    </row>
    <row r="1605">
      <c r="A1605" s="7"/>
    </row>
    <row r="1606">
      <c r="A1606" s="7"/>
    </row>
    <row r="1607">
      <c r="A1607" s="7"/>
    </row>
    <row r="1608">
      <c r="A1608" s="7"/>
    </row>
    <row r="1609">
      <c r="A1609" s="7"/>
    </row>
    <row r="1610">
      <c r="A1610" s="7"/>
    </row>
    <row r="1611">
      <c r="A1611" s="7"/>
    </row>
    <row r="1612">
      <c r="A1612" s="7"/>
    </row>
    <row r="1613">
      <c r="A1613" s="7"/>
    </row>
    <row r="1614">
      <c r="A1614" s="7"/>
    </row>
    <row r="1615">
      <c r="A1615" s="7"/>
    </row>
    <row r="1616">
      <c r="A1616" s="7"/>
    </row>
    <row r="1617">
      <c r="A1617" s="7"/>
    </row>
    <row r="1618">
      <c r="A1618" s="7"/>
    </row>
    <row r="1619">
      <c r="A1619" s="7"/>
    </row>
    <row r="1620">
      <c r="A1620" s="7"/>
    </row>
    <row r="1621">
      <c r="A1621" s="7"/>
    </row>
    <row r="1622">
      <c r="A1622" s="7"/>
    </row>
    <row r="1623">
      <c r="A1623" s="7"/>
    </row>
    <row r="1624">
      <c r="A1624" s="7"/>
    </row>
    <row r="1625">
      <c r="A1625" s="7"/>
    </row>
    <row r="1626">
      <c r="A1626" s="7"/>
    </row>
    <row r="1627">
      <c r="A1627" s="7"/>
    </row>
    <row r="1628">
      <c r="A1628" s="7"/>
    </row>
    <row r="1629">
      <c r="A1629" s="7"/>
    </row>
    <row r="1630">
      <c r="A1630" s="7"/>
    </row>
    <row r="1631">
      <c r="A1631" s="7"/>
    </row>
    <row r="1632">
      <c r="A1632" s="7"/>
    </row>
    <row r="1633">
      <c r="A1633" s="7"/>
    </row>
    <row r="1634">
      <c r="A1634" s="7"/>
    </row>
    <row r="1635">
      <c r="A1635" s="7"/>
    </row>
    <row r="1636">
      <c r="A1636" s="7"/>
    </row>
    <row r="1637">
      <c r="A1637" s="7"/>
    </row>
    <row r="1638">
      <c r="A1638" s="7"/>
    </row>
    <row r="1639">
      <c r="A1639" s="7"/>
    </row>
    <row r="1640">
      <c r="A1640" s="7"/>
    </row>
    <row r="1641">
      <c r="A1641" s="7"/>
    </row>
    <row r="1642">
      <c r="A1642" s="7"/>
    </row>
    <row r="1643">
      <c r="A1643" s="7"/>
    </row>
    <row r="1644">
      <c r="A1644" s="7"/>
    </row>
    <row r="1645">
      <c r="A1645" s="7"/>
    </row>
    <row r="1646">
      <c r="A1646" s="7"/>
    </row>
    <row r="1647">
      <c r="A1647" s="7"/>
    </row>
    <row r="1648">
      <c r="A1648" s="7"/>
    </row>
    <row r="1649">
      <c r="A1649" s="7"/>
    </row>
    <row r="1650">
      <c r="A1650" s="7"/>
    </row>
    <row r="1651">
      <c r="A1651" s="7"/>
    </row>
    <row r="1652">
      <c r="A1652" s="7"/>
    </row>
    <row r="1653">
      <c r="A1653" s="7"/>
    </row>
    <row r="1654">
      <c r="A1654" s="7"/>
    </row>
    <row r="1655">
      <c r="A1655" s="7"/>
    </row>
    <row r="1656">
      <c r="A1656" s="7"/>
    </row>
    <row r="1657">
      <c r="A1657" s="7"/>
    </row>
    <row r="1658">
      <c r="A1658" s="7"/>
    </row>
    <row r="1659">
      <c r="A1659" s="7"/>
    </row>
    <row r="1660">
      <c r="A1660" s="7"/>
    </row>
    <row r="1661">
      <c r="A1661" s="7"/>
    </row>
    <row r="1662">
      <c r="A1662" s="7"/>
    </row>
    <row r="1663">
      <c r="A1663" s="7"/>
    </row>
    <row r="1664">
      <c r="A1664" s="7"/>
    </row>
    <row r="1665">
      <c r="A1665" s="7"/>
    </row>
    <row r="1666">
      <c r="A1666" s="7"/>
    </row>
    <row r="1667">
      <c r="A1667" s="7"/>
    </row>
    <row r="1668">
      <c r="A1668" s="7"/>
    </row>
    <row r="1669">
      <c r="A1669" s="7"/>
    </row>
    <row r="1670">
      <c r="A1670" s="7"/>
    </row>
    <row r="1671">
      <c r="A1671" s="7"/>
    </row>
    <row r="1672">
      <c r="A1672" s="7"/>
    </row>
    <row r="1673">
      <c r="A1673" s="7"/>
    </row>
    <row r="1674">
      <c r="A1674" s="7"/>
    </row>
    <row r="1675">
      <c r="A1675" s="7"/>
    </row>
    <row r="1676">
      <c r="A1676" s="7"/>
    </row>
    <row r="1677">
      <c r="A1677" s="7"/>
    </row>
    <row r="1678">
      <c r="A1678" s="7"/>
    </row>
    <row r="1679">
      <c r="A1679" s="7"/>
    </row>
    <row r="1680">
      <c r="A1680" s="7"/>
    </row>
    <row r="1681">
      <c r="A1681" s="7"/>
    </row>
    <row r="1682">
      <c r="A1682" s="7"/>
    </row>
    <row r="1683">
      <c r="A1683" s="7"/>
    </row>
    <row r="1684">
      <c r="A1684" s="7"/>
    </row>
    <row r="1685">
      <c r="A1685" s="7"/>
    </row>
    <row r="1686">
      <c r="A1686" s="7"/>
    </row>
    <row r="1687">
      <c r="A1687" s="7"/>
    </row>
    <row r="1688">
      <c r="A1688" s="7"/>
    </row>
    <row r="1689">
      <c r="A1689" s="7"/>
    </row>
    <row r="1690">
      <c r="A1690" s="7"/>
    </row>
    <row r="1691">
      <c r="A1691" s="7"/>
    </row>
    <row r="1692">
      <c r="A1692" s="7"/>
    </row>
    <row r="1693">
      <c r="A1693" s="7"/>
    </row>
    <row r="1694">
      <c r="A1694" s="7"/>
    </row>
    <row r="1695">
      <c r="A1695" s="7"/>
    </row>
    <row r="1696">
      <c r="A1696" s="7"/>
    </row>
    <row r="1697">
      <c r="A1697" s="7"/>
    </row>
    <row r="1698">
      <c r="A1698" s="7"/>
    </row>
    <row r="1699">
      <c r="A1699" s="7"/>
    </row>
    <row r="1700">
      <c r="A1700" s="7"/>
    </row>
    <row r="1701">
      <c r="A1701" s="7"/>
    </row>
    <row r="1702">
      <c r="A1702" s="7"/>
    </row>
    <row r="1703">
      <c r="A1703" s="7"/>
    </row>
    <row r="1704">
      <c r="A1704" s="7"/>
    </row>
    <row r="1705">
      <c r="A1705" s="7"/>
    </row>
    <row r="1706">
      <c r="A1706" s="7"/>
    </row>
    <row r="1707">
      <c r="A1707" s="7"/>
    </row>
    <row r="1708">
      <c r="A1708" s="7"/>
    </row>
    <row r="1709">
      <c r="A1709" s="7"/>
    </row>
    <row r="1710">
      <c r="A1710" s="7"/>
    </row>
    <row r="1711">
      <c r="A1711" s="7"/>
    </row>
    <row r="1712">
      <c r="A1712" s="7"/>
    </row>
    <row r="1713">
      <c r="A1713" s="7"/>
    </row>
    <row r="1714">
      <c r="A1714" s="7"/>
    </row>
    <row r="1715">
      <c r="A1715" s="7"/>
    </row>
    <row r="1716">
      <c r="A1716" s="7"/>
    </row>
    <row r="1717">
      <c r="A1717" s="7"/>
    </row>
    <row r="1718">
      <c r="A1718" s="7"/>
    </row>
    <row r="1719">
      <c r="A1719" s="7"/>
    </row>
    <row r="1720">
      <c r="A1720" s="7"/>
    </row>
    <row r="1721">
      <c r="A1721" s="7"/>
    </row>
    <row r="1722">
      <c r="A1722" s="7"/>
    </row>
    <row r="1723">
      <c r="A1723" s="7"/>
    </row>
    <row r="1724">
      <c r="A1724" s="7"/>
    </row>
    <row r="1725">
      <c r="A1725" s="7"/>
    </row>
    <row r="1726">
      <c r="A1726" s="7"/>
    </row>
    <row r="1727">
      <c r="A1727" s="7"/>
    </row>
    <row r="1728">
      <c r="A1728" s="7"/>
    </row>
    <row r="1729">
      <c r="A1729" s="7"/>
    </row>
    <row r="1730">
      <c r="A1730" s="7"/>
    </row>
    <row r="1731">
      <c r="A1731" s="7"/>
    </row>
    <row r="1732">
      <c r="A1732" s="7"/>
    </row>
    <row r="1733">
      <c r="A1733" s="7"/>
    </row>
    <row r="1734">
      <c r="A1734" s="7"/>
    </row>
    <row r="1735">
      <c r="A1735" s="7"/>
    </row>
    <row r="1736">
      <c r="A1736" s="7"/>
    </row>
    <row r="1737">
      <c r="A1737" s="7"/>
    </row>
    <row r="1738">
      <c r="A1738" s="7"/>
    </row>
    <row r="1739">
      <c r="A1739" s="7"/>
    </row>
    <row r="1740">
      <c r="A1740" s="7"/>
    </row>
    <row r="1741">
      <c r="A1741" s="7"/>
    </row>
    <row r="1742">
      <c r="A1742" s="7"/>
    </row>
    <row r="1743">
      <c r="A1743" s="7"/>
    </row>
    <row r="1744">
      <c r="A1744" s="7"/>
    </row>
    <row r="1745">
      <c r="A1745" s="7"/>
    </row>
    <row r="1746">
      <c r="A1746" s="7"/>
    </row>
    <row r="1747">
      <c r="A1747" s="7"/>
    </row>
    <row r="1748">
      <c r="A1748" s="7"/>
    </row>
    <row r="1749">
      <c r="A1749" s="7"/>
    </row>
    <row r="1750">
      <c r="A1750" s="7"/>
    </row>
    <row r="1751">
      <c r="A1751" s="7"/>
    </row>
    <row r="1752">
      <c r="A1752" s="7"/>
    </row>
    <row r="1753">
      <c r="A1753" s="7"/>
    </row>
    <row r="1754">
      <c r="A1754" s="7"/>
    </row>
    <row r="1755">
      <c r="A1755" s="7"/>
    </row>
    <row r="1756">
      <c r="A1756" s="7"/>
    </row>
    <row r="1757">
      <c r="A1757" s="7"/>
    </row>
    <row r="1758">
      <c r="A1758" s="7"/>
    </row>
    <row r="1759">
      <c r="A1759" s="7"/>
    </row>
    <row r="1760">
      <c r="A1760" s="7"/>
    </row>
    <row r="1761">
      <c r="A1761" s="7"/>
    </row>
    <row r="1762">
      <c r="A1762" s="7"/>
    </row>
    <row r="1763">
      <c r="A1763" s="7"/>
    </row>
    <row r="1764">
      <c r="A1764" s="7"/>
    </row>
    <row r="1765">
      <c r="A1765" s="7"/>
    </row>
    <row r="1766">
      <c r="A1766" s="7"/>
    </row>
    <row r="1767">
      <c r="A1767" s="7"/>
    </row>
    <row r="1768">
      <c r="A1768" s="7"/>
    </row>
    <row r="1769">
      <c r="A1769" s="7"/>
    </row>
    <row r="1770">
      <c r="A1770" s="7"/>
    </row>
    <row r="1771">
      <c r="A1771" s="7"/>
    </row>
    <row r="1772">
      <c r="A1772" s="7"/>
    </row>
    <row r="1773">
      <c r="A1773" s="7"/>
    </row>
    <row r="1774">
      <c r="A1774" s="7"/>
    </row>
    <row r="1775">
      <c r="A1775" s="7"/>
    </row>
    <row r="1776">
      <c r="A1776" s="7"/>
    </row>
    <row r="1777">
      <c r="A1777" s="7"/>
    </row>
    <row r="1778">
      <c r="A1778" s="7"/>
    </row>
    <row r="1779">
      <c r="A1779" s="7"/>
    </row>
    <row r="1780">
      <c r="A1780" s="7"/>
    </row>
    <row r="1781">
      <c r="A1781" s="7"/>
    </row>
    <row r="1782">
      <c r="A1782" s="7"/>
    </row>
    <row r="1783">
      <c r="A1783" s="7"/>
    </row>
    <row r="1784">
      <c r="A1784" s="7"/>
    </row>
    <row r="1785">
      <c r="A1785" s="7"/>
    </row>
    <row r="1786">
      <c r="A1786" s="7"/>
    </row>
    <row r="1787">
      <c r="A1787" s="7"/>
    </row>
    <row r="1788">
      <c r="A1788" s="7"/>
    </row>
    <row r="1789">
      <c r="A1789" s="7"/>
    </row>
    <row r="1790">
      <c r="A1790" s="7"/>
    </row>
    <row r="1791">
      <c r="A1791" s="7"/>
    </row>
    <row r="1792">
      <c r="A1792" s="7"/>
    </row>
    <row r="1793">
      <c r="A1793" s="7"/>
    </row>
    <row r="1794">
      <c r="A1794" s="7"/>
    </row>
    <row r="1795">
      <c r="A1795" s="7"/>
    </row>
    <row r="1796">
      <c r="A1796" s="7"/>
    </row>
    <row r="1797">
      <c r="A1797" s="7"/>
    </row>
    <row r="1798">
      <c r="A1798" s="7"/>
    </row>
    <row r="1799">
      <c r="A1799" s="7"/>
    </row>
    <row r="1800">
      <c r="A1800" s="7"/>
    </row>
    <row r="1801">
      <c r="A1801" s="7"/>
    </row>
    <row r="1802">
      <c r="A1802" s="7"/>
    </row>
    <row r="1803">
      <c r="A1803" s="7"/>
    </row>
    <row r="1804">
      <c r="A1804" s="7"/>
    </row>
    <row r="1805">
      <c r="A1805" s="7"/>
    </row>
    <row r="1806">
      <c r="A1806" s="7"/>
    </row>
    <row r="1807">
      <c r="A1807" s="7"/>
    </row>
    <row r="1808">
      <c r="A1808" s="7"/>
    </row>
    <row r="1809">
      <c r="A1809" s="7"/>
    </row>
    <row r="1810">
      <c r="A1810" s="7"/>
    </row>
    <row r="1811">
      <c r="A1811" s="7"/>
    </row>
    <row r="1812">
      <c r="A1812" s="7"/>
    </row>
    <row r="1813">
      <c r="A1813" s="7"/>
    </row>
    <row r="1814">
      <c r="A1814" s="7"/>
    </row>
    <row r="1815">
      <c r="A1815" s="7"/>
    </row>
    <row r="1816">
      <c r="A1816" s="7"/>
    </row>
    <row r="1817">
      <c r="A1817" s="7"/>
    </row>
    <row r="1818">
      <c r="A1818" s="7"/>
    </row>
    <row r="1819">
      <c r="A1819" s="7"/>
    </row>
    <row r="1820">
      <c r="A1820" s="7"/>
    </row>
    <row r="1821">
      <c r="A1821" s="7"/>
    </row>
    <row r="1822">
      <c r="A1822" s="7"/>
    </row>
    <row r="1823">
      <c r="A1823" s="7"/>
    </row>
    <row r="1824">
      <c r="A1824" s="7"/>
    </row>
    <row r="1825">
      <c r="A1825" s="7"/>
    </row>
    <row r="1826">
      <c r="A1826" s="7"/>
    </row>
    <row r="1827">
      <c r="A1827" s="7"/>
    </row>
    <row r="1828">
      <c r="A1828" s="7"/>
    </row>
    <row r="1829">
      <c r="A1829" s="7"/>
    </row>
    <row r="1830">
      <c r="A1830" s="7"/>
    </row>
    <row r="1831">
      <c r="A1831" s="7"/>
    </row>
    <row r="1832">
      <c r="A1832" s="7"/>
    </row>
    <row r="1833">
      <c r="A1833" s="7"/>
    </row>
    <row r="1834">
      <c r="A1834" s="7"/>
    </row>
    <row r="1835">
      <c r="A1835" s="7"/>
    </row>
    <row r="1836">
      <c r="A1836" s="7"/>
    </row>
    <row r="1837">
      <c r="A1837" s="7"/>
    </row>
    <row r="1838">
      <c r="A1838" s="7"/>
    </row>
    <row r="1839">
      <c r="A1839" s="7"/>
    </row>
    <row r="1840">
      <c r="A1840" s="7"/>
    </row>
    <row r="1841">
      <c r="A1841" s="7"/>
    </row>
    <row r="1842">
      <c r="A1842" s="7"/>
    </row>
    <row r="1843">
      <c r="A1843" s="7"/>
    </row>
    <row r="1844">
      <c r="A1844" s="7"/>
    </row>
    <row r="1845">
      <c r="A1845" s="7"/>
    </row>
    <row r="1846">
      <c r="A1846" s="7"/>
    </row>
    <row r="1847">
      <c r="A1847" s="7"/>
    </row>
    <row r="1848">
      <c r="A1848" s="7"/>
    </row>
    <row r="1849">
      <c r="A1849" s="7"/>
    </row>
    <row r="1850">
      <c r="A1850" s="7"/>
    </row>
    <row r="1851">
      <c r="A1851" s="7"/>
    </row>
    <row r="1852">
      <c r="A1852" s="7"/>
    </row>
    <row r="1853">
      <c r="A1853" s="7"/>
    </row>
    <row r="1854">
      <c r="A1854" s="7"/>
    </row>
    <row r="1855">
      <c r="A1855" s="7"/>
    </row>
    <row r="1856">
      <c r="A1856" s="7"/>
    </row>
    <row r="1857">
      <c r="A1857" s="7"/>
    </row>
    <row r="1858">
      <c r="A1858" s="7"/>
    </row>
    <row r="1859">
      <c r="A1859" s="7"/>
    </row>
    <row r="1860">
      <c r="A1860" s="7"/>
    </row>
    <row r="1861">
      <c r="A1861" s="7"/>
    </row>
    <row r="1862">
      <c r="A1862" s="7"/>
    </row>
    <row r="1863">
      <c r="A1863" s="7"/>
    </row>
    <row r="1864">
      <c r="A1864" s="7"/>
    </row>
    <row r="1865">
      <c r="A1865" s="7"/>
    </row>
    <row r="1866">
      <c r="A1866" s="7"/>
    </row>
    <row r="1867">
      <c r="A1867" s="7"/>
    </row>
    <row r="1868">
      <c r="A1868" s="7"/>
    </row>
    <row r="1869">
      <c r="A1869" s="7"/>
    </row>
    <row r="1870">
      <c r="A1870" s="7"/>
    </row>
    <row r="1871">
      <c r="A1871" s="7"/>
    </row>
    <row r="1872">
      <c r="A1872" s="7"/>
    </row>
    <row r="1873">
      <c r="A1873" s="7"/>
    </row>
    <row r="1874">
      <c r="A1874" s="7"/>
    </row>
    <row r="1875">
      <c r="A1875" s="7"/>
    </row>
    <row r="1876">
      <c r="A1876" s="7"/>
    </row>
    <row r="1877">
      <c r="A1877" s="7"/>
    </row>
    <row r="1878">
      <c r="A1878" s="7"/>
    </row>
    <row r="1879">
      <c r="A1879" s="7"/>
    </row>
    <row r="1880">
      <c r="A1880" s="7"/>
    </row>
    <row r="1881">
      <c r="A1881" s="7"/>
    </row>
    <row r="1882">
      <c r="A1882" s="7"/>
    </row>
    <row r="1883">
      <c r="A1883" s="7"/>
    </row>
    <row r="1884">
      <c r="A1884" s="7"/>
    </row>
    <row r="1885">
      <c r="A1885" s="7"/>
    </row>
    <row r="1886">
      <c r="A1886" s="7"/>
    </row>
    <row r="1887">
      <c r="A1887" s="7"/>
    </row>
    <row r="1888">
      <c r="A1888" s="7"/>
    </row>
    <row r="1889">
      <c r="A1889" s="7"/>
    </row>
    <row r="1890">
      <c r="A1890" s="7"/>
    </row>
    <row r="1891">
      <c r="A1891" s="7"/>
    </row>
    <row r="1892">
      <c r="A1892" s="7"/>
    </row>
    <row r="1893">
      <c r="A1893" s="7"/>
    </row>
    <row r="1894">
      <c r="A1894" s="7"/>
    </row>
    <row r="1895">
      <c r="A1895" s="7"/>
    </row>
    <row r="1896">
      <c r="A1896" s="7"/>
    </row>
    <row r="1897">
      <c r="A1897" s="7"/>
    </row>
    <row r="1898">
      <c r="A1898" s="7"/>
    </row>
    <row r="1899">
      <c r="A1899" s="7"/>
    </row>
    <row r="1900">
      <c r="A1900" s="7"/>
    </row>
    <row r="1901">
      <c r="A1901" s="7"/>
    </row>
    <row r="1902">
      <c r="A1902" s="7"/>
    </row>
    <row r="1903">
      <c r="A1903" s="7"/>
    </row>
    <row r="1904">
      <c r="A1904" s="7"/>
    </row>
    <row r="1905">
      <c r="A1905" s="7"/>
    </row>
    <row r="1906">
      <c r="A1906" s="7"/>
    </row>
    <row r="1907">
      <c r="A1907" s="7"/>
    </row>
    <row r="1908">
      <c r="A1908" s="7"/>
    </row>
    <row r="1909">
      <c r="A1909" s="7"/>
    </row>
    <row r="1910">
      <c r="A1910" s="7"/>
    </row>
    <row r="1911">
      <c r="A1911" s="7"/>
    </row>
    <row r="1912">
      <c r="A1912" s="7"/>
    </row>
    <row r="1913">
      <c r="A1913" s="7"/>
    </row>
    <row r="1914">
      <c r="A1914" s="7"/>
    </row>
    <row r="1915">
      <c r="A1915" s="7"/>
    </row>
    <row r="1916">
      <c r="A1916" s="7"/>
    </row>
    <row r="1917">
      <c r="A1917" s="7"/>
    </row>
    <row r="1918">
      <c r="A1918" s="7"/>
    </row>
    <row r="1919">
      <c r="A1919" s="7"/>
    </row>
    <row r="1920">
      <c r="A1920" s="7"/>
    </row>
    <row r="1921">
      <c r="A1921" s="7"/>
    </row>
    <row r="1922">
      <c r="A1922" s="7"/>
    </row>
    <row r="1923">
      <c r="A1923" s="7"/>
    </row>
    <row r="1924">
      <c r="A1924" s="7"/>
    </row>
    <row r="1925">
      <c r="A1925" s="7"/>
    </row>
    <row r="1926">
      <c r="A1926" s="7"/>
    </row>
    <row r="1927">
      <c r="A1927" s="7"/>
    </row>
    <row r="1928">
      <c r="A1928" s="7"/>
    </row>
    <row r="1929">
      <c r="A1929" s="7"/>
    </row>
    <row r="1930">
      <c r="A1930" s="7"/>
    </row>
    <row r="1931">
      <c r="A1931" s="7"/>
    </row>
    <row r="1932">
      <c r="A1932" s="7"/>
    </row>
    <row r="1933">
      <c r="A1933" s="7"/>
    </row>
    <row r="1934">
      <c r="A1934" s="7"/>
    </row>
    <row r="1935">
      <c r="A1935" s="7"/>
    </row>
    <row r="1936">
      <c r="A1936" s="7"/>
    </row>
    <row r="1937">
      <c r="A1937" s="7"/>
    </row>
    <row r="1938">
      <c r="A1938" s="7"/>
    </row>
    <row r="1939">
      <c r="A1939" s="7"/>
    </row>
    <row r="1940">
      <c r="A1940" s="7"/>
    </row>
    <row r="1941">
      <c r="A1941" s="7"/>
    </row>
    <row r="1942">
      <c r="A1942" s="7"/>
    </row>
    <row r="1943">
      <c r="A1943" s="7"/>
    </row>
    <row r="1944">
      <c r="A1944" s="7"/>
    </row>
    <row r="1945">
      <c r="A1945" s="7"/>
    </row>
    <row r="1946">
      <c r="A1946" s="7"/>
    </row>
    <row r="1947">
      <c r="A1947" s="7"/>
    </row>
    <row r="1948">
      <c r="A1948" s="7"/>
    </row>
    <row r="1949">
      <c r="A1949" s="7"/>
    </row>
    <row r="1950">
      <c r="A1950" s="7"/>
    </row>
    <row r="1951">
      <c r="A1951" s="7"/>
    </row>
    <row r="1952">
      <c r="A1952" s="7"/>
    </row>
    <row r="1953">
      <c r="A1953" s="7"/>
    </row>
    <row r="1954">
      <c r="A1954" s="7"/>
    </row>
    <row r="1955">
      <c r="A1955" s="7"/>
    </row>
    <row r="1956">
      <c r="A1956" s="7"/>
    </row>
    <row r="1957">
      <c r="A1957" s="7"/>
    </row>
    <row r="1958">
      <c r="A1958" s="7"/>
    </row>
    <row r="1959">
      <c r="A1959" s="7"/>
    </row>
    <row r="1960">
      <c r="A1960" s="7"/>
    </row>
    <row r="1961">
      <c r="A1961" s="7"/>
    </row>
    <row r="1962">
      <c r="A1962" s="7"/>
    </row>
    <row r="1963">
      <c r="A1963" s="7"/>
    </row>
    <row r="1964">
      <c r="A1964" s="7"/>
    </row>
    <row r="1965">
      <c r="A1965" s="7"/>
    </row>
    <row r="1966">
      <c r="A1966" s="7"/>
    </row>
    <row r="1967">
      <c r="A1967" s="7"/>
    </row>
    <row r="1968">
      <c r="A1968" s="7"/>
    </row>
    <row r="1969">
      <c r="A1969" s="7"/>
    </row>
    <row r="1970">
      <c r="A1970" s="7"/>
    </row>
    <row r="1971">
      <c r="A1971" s="7"/>
    </row>
    <row r="1972">
      <c r="A1972" s="7"/>
    </row>
    <row r="1973">
      <c r="A1973" s="7"/>
    </row>
    <row r="1974">
      <c r="A1974" s="7"/>
    </row>
    <row r="1975">
      <c r="A1975" s="7"/>
    </row>
    <row r="1976">
      <c r="A1976" s="7"/>
    </row>
    <row r="1977">
      <c r="A1977" s="7"/>
    </row>
    <row r="1978">
      <c r="A1978" s="7"/>
    </row>
    <row r="1979">
      <c r="A1979" s="7"/>
    </row>
    <row r="1980">
      <c r="A1980" s="7"/>
    </row>
    <row r="1981">
      <c r="A1981" s="7"/>
    </row>
    <row r="1982">
      <c r="A1982" s="7"/>
    </row>
    <row r="1983">
      <c r="A1983" s="7"/>
    </row>
    <row r="1984">
      <c r="A1984" s="7"/>
    </row>
    <row r="1985">
      <c r="A1985" s="7"/>
    </row>
    <row r="1986">
      <c r="A1986" s="7"/>
    </row>
    <row r="1987">
      <c r="A1987" s="7"/>
    </row>
    <row r="1988">
      <c r="A1988" s="7"/>
    </row>
  </sheetData>
  <hyperlinks>
    <hyperlink r:id="rId1" ref="E2"/>
    <hyperlink r:id="rId2" ref="E5"/>
    <hyperlink r:id="rId3" ref="E7"/>
    <hyperlink r:id="rId4" ref="E10"/>
    <hyperlink r:id="rId5" ref="E12"/>
    <hyperlink r:id="rId6" ref="E17"/>
    <hyperlink r:id="rId7" ref="E22"/>
    <hyperlink r:id="rId8" ref="E24"/>
    <hyperlink r:id="rId9" ref="E25"/>
    <hyperlink r:id="rId10" ref="E29"/>
    <hyperlink r:id="rId11" ref="E30"/>
    <hyperlink r:id="rId12" ref="E32"/>
    <hyperlink r:id="rId13" ref="E33"/>
    <hyperlink r:id="rId14" ref="E41"/>
    <hyperlink r:id="rId15" ref="E51"/>
    <hyperlink r:id="rId16" ref="E52"/>
    <hyperlink r:id="rId17" ref="E53"/>
    <hyperlink r:id="rId18" ref="E54"/>
    <hyperlink r:id="rId19" ref="E57"/>
    <hyperlink r:id="rId20" ref="E70"/>
    <hyperlink r:id="rId21" ref="E77"/>
    <hyperlink r:id="rId22" ref="E83"/>
    <hyperlink r:id="rId23" ref="E96"/>
    <hyperlink r:id="rId24" ref="E99"/>
    <hyperlink r:id="rId25" ref="E106"/>
    <hyperlink r:id="rId26" ref="E109"/>
    <hyperlink r:id="rId27" ref="E123"/>
    <hyperlink r:id="rId28" ref="E136"/>
    <hyperlink r:id="rId29" ref="E137"/>
    <hyperlink r:id="rId30" ref="E141"/>
    <hyperlink r:id="rId31" ref="E142"/>
    <hyperlink r:id="rId32" ref="E143"/>
    <hyperlink r:id="rId33" ref="E144"/>
    <hyperlink r:id="rId34" ref="E149"/>
    <hyperlink r:id="rId35" ref="E155"/>
    <hyperlink r:id="rId36" ref="E157"/>
    <hyperlink r:id="rId37" ref="E161"/>
    <hyperlink r:id="rId38" ref="E168"/>
    <hyperlink r:id="rId39" ref="E178"/>
    <hyperlink r:id="rId40" ref="E182"/>
    <hyperlink r:id="rId41" ref="E183"/>
    <hyperlink r:id="rId42" ref="E185"/>
    <hyperlink r:id="rId43" ref="E188"/>
    <hyperlink r:id="rId44" ref="E192"/>
    <hyperlink r:id="rId45" ref="E208"/>
    <hyperlink r:id="rId46" ref="E212"/>
    <hyperlink r:id="rId47" ref="E218"/>
    <hyperlink r:id="rId48" ref="E222"/>
    <hyperlink r:id="rId49" ref="E223"/>
    <hyperlink r:id="rId50" ref="E226"/>
    <hyperlink r:id="rId51" ref="E228"/>
    <hyperlink r:id="rId52" ref="E230"/>
    <hyperlink r:id="rId53" ref="E231"/>
    <hyperlink r:id="rId54" ref="E232"/>
    <hyperlink r:id="rId55" ref="E236"/>
    <hyperlink r:id="rId56" ref="E238"/>
    <hyperlink r:id="rId57" ref="E240"/>
    <hyperlink r:id="rId58" ref="E243"/>
    <hyperlink r:id="rId59" ref="E246"/>
    <hyperlink r:id="rId60" ref="E266"/>
    <hyperlink r:id="rId61" ref="E269"/>
    <hyperlink r:id="rId62" ref="E276"/>
    <hyperlink r:id="rId63" ref="E306"/>
    <hyperlink r:id="rId64" ref="E314"/>
    <hyperlink r:id="rId65" ref="E315"/>
    <hyperlink r:id="rId66" ref="E316"/>
    <hyperlink r:id="rId67" ref="E358"/>
    <hyperlink r:id="rId68" ref="E368"/>
    <hyperlink r:id="rId69" ref="E370"/>
    <hyperlink r:id="rId70" ref="E380"/>
    <hyperlink r:id="rId71" ref="E424"/>
    <hyperlink r:id="rId72" ref="E426"/>
    <hyperlink r:id="rId73" ref="E427"/>
    <hyperlink r:id="rId74" ref="E430"/>
    <hyperlink r:id="rId75" ref="E433"/>
    <hyperlink r:id="rId76" ref="E434"/>
    <hyperlink r:id="rId77" ref="E435"/>
    <hyperlink r:id="rId78" ref="E437"/>
    <hyperlink r:id="rId79" ref="E439"/>
    <hyperlink r:id="rId80" ref="E441"/>
    <hyperlink r:id="rId81" ref="E448"/>
    <hyperlink r:id="rId82" ref="E451"/>
    <hyperlink r:id="rId83" ref="E453"/>
    <hyperlink r:id="rId84" ref="E459"/>
    <hyperlink r:id="rId85" ref="E462"/>
    <hyperlink r:id="rId86" ref="E469"/>
    <hyperlink r:id="rId87" ref="E472"/>
    <hyperlink r:id="rId88" ref="E475"/>
    <hyperlink r:id="rId89" ref="E476"/>
    <hyperlink r:id="rId90" ref="E480"/>
    <hyperlink r:id="rId91" ref="E481"/>
    <hyperlink r:id="rId92" ref="E490"/>
    <hyperlink r:id="rId93" ref="E497"/>
    <hyperlink r:id="rId94" ref="E499"/>
    <hyperlink r:id="rId95" ref="E504"/>
    <hyperlink r:id="rId96" ref="E510"/>
    <hyperlink r:id="rId97" ref="E518"/>
    <hyperlink r:id="rId98" ref="E523"/>
    <hyperlink r:id="rId99" ref="E526"/>
    <hyperlink r:id="rId100" ref="E529"/>
    <hyperlink r:id="rId101" ref="E535"/>
    <hyperlink r:id="rId102" ref="E536"/>
    <hyperlink r:id="rId103" ref="E537"/>
    <hyperlink r:id="rId104" ref="E538"/>
    <hyperlink r:id="rId105" ref="E543"/>
    <hyperlink r:id="rId106" ref="E581"/>
    <hyperlink r:id="rId107" ref="E597"/>
    <hyperlink r:id="rId108" ref="E607"/>
    <hyperlink r:id="rId109" ref="E614"/>
  </hyperlinks>
  <drawing r:id="rId1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3306</v>
      </c>
      <c r="B1" s="15" t="s">
        <v>3307</v>
      </c>
      <c r="C1" s="1" t="s">
        <v>2405</v>
      </c>
      <c r="D1" s="1" t="s">
        <v>3308</v>
      </c>
      <c r="E1" s="4" t="s">
        <v>3309</v>
      </c>
    </row>
    <row r="2">
      <c r="A2" s="16" t="s">
        <v>2504</v>
      </c>
      <c r="B2" s="16" t="s">
        <v>3028</v>
      </c>
      <c r="C2" s="1" t="s">
        <v>3310</v>
      </c>
      <c r="D2" s="1">
        <v>1.0</v>
      </c>
      <c r="E2" s="14" t="s">
        <v>1853</v>
      </c>
    </row>
    <row r="3">
      <c r="A3" s="16" t="s">
        <v>2504</v>
      </c>
      <c r="B3" s="16" t="s">
        <v>3029</v>
      </c>
      <c r="C3" s="1" t="s">
        <v>3310</v>
      </c>
      <c r="D3" s="1">
        <v>1.0</v>
      </c>
      <c r="E3" s="14" t="s">
        <v>1853</v>
      </c>
    </row>
    <row r="4">
      <c r="A4" s="16" t="s">
        <v>2793</v>
      </c>
      <c r="B4" s="16" t="s">
        <v>3096</v>
      </c>
      <c r="C4" s="1" t="s">
        <v>3310</v>
      </c>
      <c r="D4" s="1">
        <v>1.0</v>
      </c>
      <c r="E4" s="14" t="s">
        <v>1862</v>
      </c>
    </row>
    <row r="5">
      <c r="A5" s="16" t="s">
        <v>2793</v>
      </c>
      <c r="B5" s="16" t="s">
        <v>3049</v>
      </c>
      <c r="C5" s="1" t="s">
        <v>3310</v>
      </c>
      <c r="D5" s="1">
        <v>1.0</v>
      </c>
      <c r="E5" s="14" t="s">
        <v>1846</v>
      </c>
    </row>
    <row r="6">
      <c r="A6" s="16" t="s">
        <v>2793</v>
      </c>
      <c r="B6" s="16" t="s">
        <v>3024</v>
      </c>
      <c r="C6" s="1" t="s">
        <v>3310</v>
      </c>
      <c r="D6" s="1">
        <v>1.0</v>
      </c>
      <c r="E6" s="14" t="s">
        <v>1846</v>
      </c>
    </row>
    <row r="7">
      <c r="A7" s="16" t="s">
        <v>2779</v>
      </c>
      <c r="B7" s="16" t="s">
        <v>3024</v>
      </c>
      <c r="C7" s="1" t="s">
        <v>3310</v>
      </c>
      <c r="D7" s="1">
        <v>1.0</v>
      </c>
      <c r="E7" s="14" t="s">
        <v>1853</v>
      </c>
    </row>
    <row r="8">
      <c r="A8" s="16" t="s">
        <v>2779</v>
      </c>
      <c r="B8" s="16" t="s">
        <v>3028</v>
      </c>
      <c r="C8" s="1" t="s">
        <v>3310</v>
      </c>
      <c r="D8" s="1">
        <v>1.0</v>
      </c>
      <c r="E8" s="14" t="s">
        <v>1853</v>
      </c>
    </row>
    <row r="9">
      <c r="A9" s="16" t="s">
        <v>2779</v>
      </c>
      <c r="B9" s="16" t="s">
        <v>3040</v>
      </c>
      <c r="C9" s="1" t="s">
        <v>3310</v>
      </c>
      <c r="D9" s="1">
        <v>1.0</v>
      </c>
      <c r="E9" s="14" t="s">
        <v>1846</v>
      </c>
    </row>
    <row r="10">
      <c r="A10" s="16" t="s">
        <v>2779</v>
      </c>
      <c r="B10" s="16" t="s">
        <v>3045</v>
      </c>
      <c r="C10" s="1" t="s">
        <v>3310</v>
      </c>
      <c r="D10" s="1">
        <v>1.0</v>
      </c>
      <c r="E10" s="14" t="s">
        <v>1853</v>
      </c>
    </row>
    <row r="11">
      <c r="A11" s="16" t="s">
        <v>2779</v>
      </c>
      <c r="B11" s="16" t="s">
        <v>3098</v>
      </c>
      <c r="C11" s="1" t="s">
        <v>3310</v>
      </c>
      <c r="D11" s="1">
        <v>1.0</v>
      </c>
      <c r="E11" s="14" t="s">
        <v>1862</v>
      </c>
    </row>
    <row r="12">
      <c r="A12" s="16" t="s">
        <v>2779</v>
      </c>
      <c r="B12" s="16" t="s">
        <v>3029</v>
      </c>
      <c r="C12" s="1" t="s">
        <v>3310</v>
      </c>
      <c r="D12" s="1">
        <v>1.0</v>
      </c>
      <c r="E12" s="14" t="s">
        <v>1853</v>
      </c>
    </row>
    <row r="13">
      <c r="A13" s="16" t="s">
        <v>2779</v>
      </c>
      <c r="B13" s="16" t="s">
        <v>3100</v>
      </c>
      <c r="C13" s="1" t="s">
        <v>3310</v>
      </c>
      <c r="D13" s="1">
        <v>1.0</v>
      </c>
      <c r="E13" s="14" t="s">
        <v>1862</v>
      </c>
    </row>
    <row r="14">
      <c r="A14" s="16" t="s">
        <v>2801</v>
      </c>
      <c r="B14" s="16" t="s">
        <v>3036</v>
      </c>
      <c r="C14" s="1" t="s">
        <v>3310</v>
      </c>
      <c r="D14" s="1">
        <v>1.0</v>
      </c>
      <c r="E14" s="14" t="s">
        <v>1846</v>
      </c>
    </row>
    <row r="15">
      <c r="A15" s="16" t="s">
        <v>2801</v>
      </c>
      <c r="B15" s="16" t="s">
        <v>3024</v>
      </c>
      <c r="C15" s="1" t="s">
        <v>3310</v>
      </c>
      <c r="D15" s="1">
        <v>1.0</v>
      </c>
      <c r="E15" s="14" t="s">
        <v>1846</v>
      </c>
    </row>
    <row r="16">
      <c r="A16" s="16" t="s">
        <v>2801</v>
      </c>
      <c r="B16" s="16" t="s">
        <v>3042</v>
      </c>
      <c r="C16" s="1" t="s">
        <v>3310</v>
      </c>
      <c r="D16" s="1">
        <v>1.0</v>
      </c>
      <c r="E16" s="14" t="s">
        <v>1853</v>
      </c>
    </row>
    <row r="17">
      <c r="A17" s="16" t="s">
        <v>2801</v>
      </c>
      <c r="B17" s="16" t="s">
        <v>3040</v>
      </c>
      <c r="C17" s="1" t="s">
        <v>3310</v>
      </c>
      <c r="D17" s="1">
        <v>1.0</v>
      </c>
      <c r="E17" s="14" t="s">
        <v>1846</v>
      </c>
    </row>
    <row r="18">
      <c r="A18" s="16" t="s">
        <v>2801</v>
      </c>
      <c r="B18" s="16" t="s">
        <v>3053</v>
      </c>
      <c r="C18" s="1" t="s">
        <v>3310</v>
      </c>
      <c r="D18" s="1">
        <v>1.0</v>
      </c>
      <c r="E18" s="14" t="s">
        <v>1862</v>
      </c>
    </row>
    <row r="19">
      <c r="A19" s="16" t="s">
        <v>2530</v>
      </c>
      <c r="B19" s="16" t="s">
        <v>3036</v>
      </c>
      <c r="C19" s="1" t="s">
        <v>3310</v>
      </c>
      <c r="D19" s="1">
        <v>1.0</v>
      </c>
      <c r="E19" s="14" t="s">
        <v>1853</v>
      </c>
    </row>
    <row r="20">
      <c r="A20" s="16" t="s">
        <v>2530</v>
      </c>
      <c r="B20" s="16" t="s">
        <v>3041</v>
      </c>
      <c r="C20" s="1" t="s">
        <v>3310</v>
      </c>
      <c r="D20" s="1">
        <v>1.0</v>
      </c>
      <c r="E20" s="14" t="s">
        <v>1862</v>
      </c>
    </row>
    <row r="21">
      <c r="A21" s="16" t="s">
        <v>2530</v>
      </c>
      <c r="B21" s="16" t="s">
        <v>3063</v>
      </c>
      <c r="C21" s="1" t="s">
        <v>3310</v>
      </c>
      <c r="D21" s="1">
        <v>1.0</v>
      </c>
      <c r="E21" s="14" t="s">
        <v>1846</v>
      </c>
    </row>
    <row r="22">
      <c r="A22" s="16" t="s">
        <v>2530</v>
      </c>
      <c r="B22" s="16" t="s">
        <v>3040</v>
      </c>
      <c r="C22" s="1" t="s">
        <v>3310</v>
      </c>
      <c r="D22" s="1">
        <v>1.0</v>
      </c>
      <c r="E22" s="14" t="s">
        <v>1846</v>
      </c>
    </row>
    <row r="23">
      <c r="A23" s="16" t="s">
        <v>2458</v>
      </c>
      <c r="B23" s="16" t="s">
        <v>3036</v>
      </c>
      <c r="C23" s="1" t="s">
        <v>3310</v>
      </c>
      <c r="D23" s="1">
        <v>1.0</v>
      </c>
      <c r="E23" s="14" t="s">
        <v>1853</v>
      </c>
    </row>
    <row r="24">
      <c r="A24" s="16" t="s">
        <v>2458</v>
      </c>
      <c r="B24" s="16" t="s">
        <v>3041</v>
      </c>
      <c r="C24" s="1" t="s">
        <v>3310</v>
      </c>
      <c r="D24" s="1">
        <v>1.0</v>
      </c>
      <c r="E24" s="14" t="s">
        <v>1862</v>
      </c>
    </row>
    <row r="25">
      <c r="A25" s="16" t="s">
        <v>2458</v>
      </c>
      <c r="B25" s="16" t="s">
        <v>3028</v>
      </c>
      <c r="C25" s="1" t="s">
        <v>3310</v>
      </c>
      <c r="D25" s="1">
        <v>1.0</v>
      </c>
      <c r="E25" s="14" t="s">
        <v>1853</v>
      </c>
    </row>
    <row r="26">
      <c r="A26" s="16" t="s">
        <v>2458</v>
      </c>
      <c r="B26" s="16" t="s">
        <v>3045</v>
      </c>
      <c r="C26" s="1" t="s">
        <v>3310</v>
      </c>
      <c r="D26" s="1">
        <v>1.0</v>
      </c>
      <c r="E26" s="14" t="s">
        <v>1853</v>
      </c>
    </row>
    <row r="27">
      <c r="A27" s="16" t="s">
        <v>2458</v>
      </c>
      <c r="B27" s="16" t="s">
        <v>3029</v>
      </c>
      <c r="C27" s="1" t="s">
        <v>3310</v>
      </c>
      <c r="D27" s="1">
        <v>1.0</v>
      </c>
      <c r="E27" s="14" t="s">
        <v>1853</v>
      </c>
    </row>
    <row r="28">
      <c r="A28" s="16" t="s">
        <v>2739</v>
      </c>
      <c r="B28" s="16" t="s">
        <v>3120</v>
      </c>
      <c r="C28" s="1" t="s">
        <v>3310</v>
      </c>
      <c r="D28" s="1">
        <v>1.0</v>
      </c>
      <c r="E28" s="14" t="s">
        <v>1846</v>
      </c>
    </row>
    <row r="29">
      <c r="A29" s="16" t="s">
        <v>2739</v>
      </c>
      <c r="B29" s="16" t="s">
        <v>3037</v>
      </c>
      <c r="C29" s="1" t="s">
        <v>3310</v>
      </c>
      <c r="D29" s="1">
        <v>1.0</v>
      </c>
      <c r="E29" s="14" t="s">
        <v>1846</v>
      </c>
    </row>
    <row r="30">
      <c r="A30" s="16" t="s">
        <v>2739</v>
      </c>
      <c r="B30" s="16" t="s">
        <v>3040</v>
      </c>
      <c r="C30" s="1" t="s">
        <v>3310</v>
      </c>
      <c r="D30" s="1">
        <v>1.0</v>
      </c>
      <c r="E30" s="14" t="s">
        <v>1846</v>
      </c>
    </row>
    <row r="31">
      <c r="A31" s="16" t="s">
        <v>2739</v>
      </c>
      <c r="B31" s="16" t="s">
        <v>3050</v>
      </c>
      <c r="C31" s="1" t="s">
        <v>3310</v>
      </c>
      <c r="D31" s="1">
        <v>1.0</v>
      </c>
      <c r="E31" s="14" t="s">
        <v>1846</v>
      </c>
    </row>
    <row r="32">
      <c r="A32" s="16" t="s">
        <v>2739</v>
      </c>
      <c r="B32" s="16" t="s">
        <v>3208</v>
      </c>
      <c r="C32" s="1" t="s">
        <v>3310</v>
      </c>
      <c r="D32" s="1">
        <v>1.0</v>
      </c>
      <c r="E32" s="14" t="s">
        <v>1846</v>
      </c>
    </row>
    <row r="33">
      <c r="A33" s="16" t="s">
        <v>2739</v>
      </c>
      <c r="B33" s="16" t="s">
        <v>3210</v>
      </c>
      <c r="C33" s="1" t="s">
        <v>3310</v>
      </c>
      <c r="D33" s="1">
        <v>1.0</v>
      </c>
      <c r="E33" s="14" t="s">
        <v>1846</v>
      </c>
    </row>
    <row r="34">
      <c r="A34" s="16" t="s">
        <v>2526</v>
      </c>
      <c r="B34" s="16" t="s">
        <v>3028</v>
      </c>
      <c r="C34" s="1" t="s">
        <v>3310</v>
      </c>
      <c r="D34" s="1">
        <v>1.0</v>
      </c>
      <c r="E34" s="14" t="s">
        <v>1853</v>
      </c>
    </row>
    <row r="35">
      <c r="A35" s="16" t="s">
        <v>2526</v>
      </c>
      <c r="B35" s="16" t="s">
        <v>3028</v>
      </c>
      <c r="C35" s="1" t="s">
        <v>3310</v>
      </c>
      <c r="D35" s="1">
        <v>1.0</v>
      </c>
      <c r="E35" s="14" t="s">
        <v>1846</v>
      </c>
    </row>
    <row r="36">
      <c r="A36" s="16" t="s">
        <v>2526</v>
      </c>
      <c r="B36" s="16" t="s">
        <v>3045</v>
      </c>
      <c r="C36" s="1" t="s">
        <v>3310</v>
      </c>
      <c r="D36" s="1">
        <v>1.0</v>
      </c>
      <c r="E36" s="14" t="s">
        <v>1846</v>
      </c>
    </row>
    <row r="37">
      <c r="A37" s="16" t="s">
        <v>2526</v>
      </c>
      <c r="B37" s="16" t="s">
        <v>3260</v>
      </c>
      <c r="C37" s="1" t="s">
        <v>3310</v>
      </c>
      <c r="D37" s="1">
        <v>1.0</v>
      </c>
      <c r="E37" s="14" t="s">
        <v>1846</v>
      </c>
    </row>
    <row r="38">
      <c r="A38" s="16" t="s">
        <v>2822</v>
      </c>
      <c r="B38" s="16" t="s">
        <v>3156</v>
      </c>
      <c r="C38" s="1" t="s">
        <v>3310</v>
      </c>
      <c r="D38" s="1">
        <v>1.0</v>
      </c>
      <c r="E38" s="14" t="s">
        <v>1853</v>
      </c>
    </row>
    <row r="39">
      <c r="A39" s="16" t="s">
        <v>2822</v>
      </c>
      <c r="B39" s="16" t="s">
        <v>3157</v>
      </c>
      <c r="C39" s="1" t="s">
        <v>3310</v>
      </c>
      <c r="D39" s="1">
        <v>1.0</v>
      </c>
      <c r="E39" s="14" t="s">
        <v>1853</v>
      </c>
    </row>
    <row r="40">
      <c r="A40" s="16" t="s">
        <v>2822</v>
      </c>
      <c r="B40" s="16" t="s">
        <v>3158</v>
      </c>
      <c r="C40" s="1" t="s">
        <v>3310</v>
      </c>
      <c r="D40" s="1">
        <v>1.0</v>
      </c>
      <c r="E40" s="14" t="s">
        <v>1853</v>
      </c>
    </row>
    <row r="41">
      <c r="A41" s="16" t="s">
        <v>2459</v>
      </c>
      <c r="B41" s="16" t="s">
        <v>3297</v>
      </c>
      <c r="C41" s="1" t="s">
        <v>3310</v>
      </c>
      <c r="D41" s="1">
        <v>1.0</v>
      </c>
      <c r="E41" s="14" t="s">
        <v>1846</v>
      </c>
    </row>
    <row r="42">
      <c r="A42" s="16" t="s">
        <v>2459</v>
      </c>
      <c r="B42" s="16" t="s">
        <v>3298</v>
      </c>
      <c r="C42" s="1" t="s">
        <v>3310</v>
      </c>
      <c r="D42" s="1">
        <v>1.0</v>
      </c>
      <c r="E42" s="14" t="s">
        <v>1846</v>
      </c>
    </row>
    <row r="43">
      <c r="A43" s="16" t="s">
        <v>2459</v>
      </c>
      <c r="B43" s="16" t="s">
        <v>3300</v>
      </c>
      <c r="C43" s="1" t="s">
        <v>3310</v>
      </c>
      <c r="D43" s="1">
        <v>1.0</v>
      </c>
      <c r="E43" s="14" t="s">
        <v>1846</v>
      </c>
    </row>
    <row r="44">
      <c r="A44" s="16" t="s">
        <v>2634</v>
      </c>
      <c r="B44" s="16" t="s">
        <v>3087</v>
      </c>
      <c r="C44" s="1" t="s">
        <v>3310</v>
      </c>
      <c r="D44" s="1">
        <v>1.0</v>
      </c>
      <c r="E44" s="14" t="s">
        <v>1853</v>
      </c>
    </row>
    <row r="45">
      <c r="A45" s="16" t="s">
        <v>2634</v>
      </c>
      <c r="B45" s="16" t="s">
        <v>3087</v>
      </c>
      <c r="C45" s="1" t="s">
        <v>3310</v>
      </c>
      <c r="D45" s="1">
        <v>1.0</v>
      </c>
      <c r="E45" s="14" t="s">
        <v>1846</v>
      </c>
    </row>
    <row r="46">
      <c r="A46" s="16" t="s">
        <v>2744</v>
      </c>
      <c r="B46" s="16" t="s">
        <v>3033</v>
      </c>
      <c r="C46" s="1" t="s">
        <v>3310</v>
      </c>
      <c r="D46" s="1">
        <v>1.0</v>
      </c>
      <c r="E46" s="14" t="s">
        <v>1862</v>
      </c>
    </row>
    <row r="47">
      <c r="A47" s="16" t="s">
        <v>2744</v>
      </c>
      <c r="B47" s="16" t="s">
        <v>3069</v>
      </c>
      <c r="C47" s="1" t="s">
        <v>3310</v>
      </c>
      <c r="D47" s="1">
        <v>1.0</v>
      </c>
      <c r="E47" s="14" t="s">
        <v>1853</v>
      </c>
    </row>
    <row r="48">
      <c r="A48" s="16" t="s">
        <v>2744</v>
      </c>
      <c r="B48" s="16" t="s">
        <v>3039</v>
      </c>
      <c r="C48" s="1" t="s">
        <v>3310</v>
      </c>
      <c r="D48" s="1">
        <v>1.0</v>
      </c>
      <c r="E48" s="14" t="s">
        <v>1853</v>
      </c>
    </row>
    <row r="49">
      <c r="A49" s="16" t="s">
        <v>2744</v>
      </c>
      <c r="B49" s="16" t="s">
        <v>3028</v>
      </c>
      <c r="C49" s="1" t="s">
        <v>3310</v>
      </c>
      <c r="D49" s="1">
        <v>1.0</v>
      </c>
      <c r="E49" s="14" t="s">
        <v>1853</v>
      </c>
    </row>
    <row r="50">
      <c r="A50" s="16" t="s">
        <v>2537</v>
      </c>
      <c r="B50" s="16" t="s">
        <v>3200</v>
      </c>
      <c r="C50" s="1" t="s">
        <v>3310</v>
      </c>
      <c r="D50" s="1">
        <v>1.0</v>
      </c>
      <c r="E50" s="14" t="s">
        <v>1862</v>
      </c>
    </row>
    <row r="51">
      <c r="A51" s="16" t="s">
        <v>2537</v>
      </c>
      <c r="B51" s="16" t="s">
        <v>3040</v>
      </c>
      <c r="C51" s="1" t="s">
        <v>3310</v>
      </c>
      <c r="D51" s="1">
        <v>1.0</v>
      </c>
      <c r="E51" s="14" t="s">
        <v>1853</v>
      </c>
    </row>
    <row r="52">
      <c r="A52" s="16" t="s">
        <v>2543</v>
      </c>
      <c r="B52" s="16" t="s">
        <v>3145</v>
      </c>
      <c r="C52" s="1" t="s">
        <v>3310</v>
      </c>
      <c r="D52" s="1">
        <v>1.0</v>
      </c>
      <c r="E52" s="14" t="s">
        <v>1846</v>
      </c>
    </row>
    <row r="53">
      <c r="A53" s="16" t="s">
        <v>2771</v>
      </c>
      <c r="B53" s="16" t="s">
        <v>3028</v>
      </c>
      <c r="C53" s="1" t="s">
        <v>3310</v>
      </c>
      <c r="D53" s="1">
        <v>1.0</v>
      </c>
      <c r="E53" s="14" t="s">
        <v>1853</v>
      </c>
    </row>
    <row r="54">
      <c r="A54" s="16" t="s">
        <v>2771</v>
      </c>
      <c r="B54" s="16" t="s">
        <v>3033</v>
      </c>
      <c r="C54" s="1" t="s">
        <v>3310</v>
      </c>
      <c r="D54" s="1">
        <v>1.0</v>
      </c>
      <c r="E54" s="14" t="s">
        <v>1862</v>
      </c>
    </row>
    <row r="55">
      <c r="A55" s="16" t="s">
        <v>2771</v>
      </c>
      <c r="B55" s="16" t="s">
        <v>3039</v>
      </c>
      <c r="C55" s="1" t="s">
        <v>3310</v>
      </c>
      <c r="D55" s="1">
        <v>1.0</v>
      </c>
      <c r="E55" s="14" t="s">
        <v>1853</v>
      </c>
    </row>
    <row r="56">
      <c r="A56" s="16" t="s">
        <v>2771</v>
      </c>
      <c r="B56" s="16" t="s">
        <v>3074</v>
      </c>
      <c r="C56" s="1" t="s">
        <v>3310</v>
      </c>
      <c r="D56" s="1">
        <v>1.0</v>
      </c>
      <c r="E56" s="14" t="s">
        <v>1853</v>
      </c>
    </row>
    <row r="57">
      <c r="A57" s="16" t="s">
        <v>2501</v>
      </c>
      <c r="B57" s="16" t="s">
        <v>3086</v>
      </c>
      <c r="C57" s="1" t="s">
        <v>3310</v>
      </c>
      <c r="D57" s="1">
        <v>1.0</v>
      </c>
      <c r="E57" s="14" t="s">
        <v>1846</v>
      </c>
    </row>
    <row r="58">
      <c r="A58" s="16" t="s">
        <v>2501</v>
      </c>
      <c r="B58" s="16" t="s">
        <v>3111</v>
      </c>
      <c r="C58" s="1" t="s">
        <v>3310</v>
      </c>
      <c r="D58" s="1">
        <v>1.0</v>
      </c>
      <c r="E58" s="14" t="s">
        <v>1846</v>
      </c>
    </row>
    <row r="59">
      <c r="A59" s="16" t="s">
        <v>2501</v>
      </c>
      <c r="B59" s="16" t="s">
        <v>3070</v>
      </c>
      <c r="C59" s="1" t="s">
        <v>3310</v>
      </c>
      <c r="D59" s="1">
        <v>1.0</v>
      </c>
      <c r="E59" s="14" t="s">
        <v>1846</v>
      </c>
    </row>
    <row r="60">
      <c r="A60" s="16" t="s">
        <v>2501</v>
      </c>
      <c r="B60" s="16" t="s">
        <v>3028</v>
      </c>
      <c r="C60" s="1" t="s">
        <v>3310</v>
      </c>
      <c r="D60" s="1">
        <v>1.0</v>
      </c>
      <c r="E60" s="14" t="s">
        <v>1853</v>
      </c>
    </row>
    <row r="61">
      <c r="A61" s="16" t="s">
        <v>2501</v>
      </c>
      <c r="B61" s="16" t="s">
        <v>3186</v>
      </c>
      <c r="C61" s="1" t="s">
        <v>3310</v>
      </c>
      <c r="D61" s="1">
        <v>1.0</v>
      </c>
      <c r="E61" s="14" t="s">
        <v>1846</v>
      </c>
    </row>
    <row r="62">
      <c r="A62" s="16" t="s">
        <v>2501</v>
      </c>
      <c r="B62" s="16" t="s">
        <v>3033</v>
      </c>
      <c r="C62" s="1" t="s">
        <v>3310</v>
      </c>
      <c r="D62" s="1">
        <v>1.0</v>
      </c>
      <c r="E62" s="14" t="s">
        <v>1862</v>
      </c>
    </row>
    <row r="63">
      <c r="A63" s="16" t="s">
        <v>2920</v>
      </c>
      <c r="B63" s="16" t="s">
        <v>3040</v>
      </c>
      <c r="C63" s="1" t="s">
        <v>3310</v>
      </c>
      <c r="D63" s="1">
        <v>1.0</v>
      </c>
      <c r="E63" s="14" t="s">
        <v>1846</v>
      </c>
    </row>
    <row r="64">
      <c r="A64" s="16" t="s">
        <v>2920</v>
      </c>
      <c r="B64" s="16" t="s">
        <v>3050</v>
      </c>
      <c r="C64" s="1" t="s">
        <v>3310</v>
      </c>
      <c r="D64" s="1">
        <v>1.0</v>
      </c>
      <c r="E64" s="14" t="s">
        <v>1846</v>
      </c>
    </row>
    <row r="65">
      <c r="A65" s="16" t="s">
        <v>2920</v>
      </c>
      <c r="B65" s="16" t="s">
        <v>3028</v>
      </c>
      <c r="C65" s="1" t="s">
        <v>3310</v>
      </c>
      <c r="D65" s="1">
        <v>1.0</v>
      </c>
      <c r="E65" s="14" t="s">
        <v>1853</v>
      </c>
    </row>
    <row r="66">
      <c r="A66" s="16" t="s">
        <v>2608</v>
      </c>
      <c r="B66" s="16" t="s">
        <v>3028</v>
      </c>
      <c r="C66" s="1" t="s">
        <v>3310</v>
      </c>
      <c r="D66" s="1">
        <v>1.0</v>
      </c>
      <c r="E66" s="14" t="s">
        <v>1846</v>
      </c>
    </row>
    <row r="67">
      <c r="A67" s="16" t="s">
        <v>2434</v>
      </c>
      <c r="B67" s="16" t="s">
        <v>3040</v>
      </c>
      <c r="C67" s="1" t="s">
        <v>3310</v>
      </c>
      <c r="D67" s="1">
        <v>1.0</v>
      </c>
      <c r="E67" s="14" t="s">
        <v>1853</v>
      </c>
    </row>
    <row r="68">
      <c r="A68" s="16" t="s">
        <v>2434</v>
      </c>
      <c r="B68" s="16" t="s">
        <v>3228</v>
      </c>
      <c r="C68" s="1" t="s">
        <v>3310</v>
      </c>
      <c r="D68" s="1">
        <v>1.0</v>
      </c>
      <c r="E68" s="14" t="s">
        <v>1862</v>
      </c>
    </row>
    <row r="69">
      <c r="A69" s="16" t="s">
        <v>2659</v>
      </c>
      <c r="B69" s="16" t="s">
        <v>3040</v>
      </c>
      <c r="C69" s="1" t="s">
        <v>3310</v>
      </c>
      <c r="D69" s="1">
        <v>1.0</v>
      </c>
      <c r="E69" s="14" t="s">
        <v>1846</v>
      </c>
    </row>
    <row r="70">
      <c r="A70" s="16" t="s">
        <v>2659</v>
      </c>
      <c r="B70" s="16" t="s">
        <v>3121</v>
      </c>
      <c r="C70" s="1" t="s">
        <v>3310</v>
      </c>
      <c r="D70" s="1">
        <v>1.0</v>
      </c>
      <c r="E70" s="14" t="s">
        <v>1862</v>
      </c>
    </row>
    <row r="71">
      <c r="A71" s="16" t="s">
        <v>2707</v>
      </c>
      <c r="B71" s="16" t="s">
        <v>3029</v>
      </c>
      <c r="C71" s="1" t="s">
        <v>3310</v>
      </c>
      <c r="D71" s="1">
        <v>1.0</v>
      </c>
      <c r="E71" s="14" t="s">
        <v>1853</v>
      </c>
    </row>
    <row r="72">
      <c r="A72" s="16" t="s">
        <v>2707</v>
      </c>
      <c r="B72" s="16" t="s">
        <v>3024</v>
      </c>
      <c r="C72" s="1" t="s">
        <v>3310</v>
      </c>
      <c r="D72" s="1">
        <v>1.0</v>
      </c>
      <c r="E72" s="14" t="s">
        <v>1853</v>
      </c>
    </row>
    <row r="73">
      <c r="A73" s="16" t="s">
        <v>2707</v>
      </c>
      <c r="B73" s="16" t="s">
        <v>3121</v>
      </c>
      <c r="C73" s="1" t="s">
        <v>3310</v>
      </c>
      <c r="D73" s="1">
        <v>1.0</v>
      </c>
      <c r="E73" s="14" t="s">
        <v>1862</v>
      </c>
    </row>
    <row r="74">
      <c r="A74" s="16" t="s">
        <v>2886</v>
      </c>
      <c r="B74" s="16" t="s">
        <v>3045</v>
      </c>
      <c r="C74" s="1" t="s">
        <v>3310</v>
      </c>
      <c r="D74" s="1">
        <v>1.0</v>
      </c>
      <c r="E74" s="14" t="s">
        <v>1846</v>
      </c>
    </row>
    <row r="75">
      <c r="A75" s="16" t="s">
        <v>2599</v>
      </c>
      <c r="B75" s="16" t="s">
        <v>3050</v>
      </c>
      <c r="C75" s="1" t="s">
        <v>3310</v>
      </c>
      <c r="D75" s="1">
        <v>1.0</v>
      </c>
      <c r="E75" s="14" t="s">
        <v>1846</v>
      </c>
    </row>
    <row r="76">
      <c r="A76" s="16" t="s">
        <v>2792</v>
      </c>
      <c r="B76" s="16" t="s">
        <v>3050</v>
      </c>
      <c r="C76" s="1" t="s">
        <v>3310</v>
      </c>
      <c r="D76" s="1">
        <v>1.0</v>
      </c>
      <c r="E76" s="14" t="s">
        <v>1846</v>
      </c>
    </row>
    <row r="77">
      <c r="A77" s="16" t="s">
        <v>2670</v>
      </c>
      <c r="B77" s="16" t="s">
        <v>3028</v>
      </c>
      <c r="C77" s="1" t="s">
        <v>3310</v>
      </c>
      <c r="D77" s="1">
        <v>1.0</v>
      </c>
      <c r="E77" s="14" t="s">
        <v>1853</v>
      </c>
    </row>
    <row r="78">
      <c r="A78" s="16" t="s">
        <v>2764</v>
      </c>
      <c r="B78" s="16" t="s">
        <v>3028</v>
      </c>
      <c r="C78" s="1" t="s">
        <v>3310</v>
      </c>
      <c r="D78" s="1">
        <v>1.0</v>
      </c>
      <c r="E78" s="14" t="s">
        <v>1846</v>
      </c>
    </row>
    <row r="79">
      <c r="A79" s="16" t="s">
        <v>2614</v>
      </c>
      <c r="B79" s="16" t="s">
        <v>3227</v>
      </c>
      <c r="C79" s="1" t="s">
        <v>3310</v>
      </c>
      <c r="D79" s="1">
        <v>1.0</v>
      </c>
      <c r="E79" s="14" t="s">
        <v>1846</v>
      </c>
    </row>
    <row r="80">
      <c r="A80" s="16" t="s">
        <v>2614</v>
      </c>
      <c r="B80" s="16" t="s">
        <v>3086</v>
      </c>
      <c r="C80" s="1" t="s">
        <v>3310</v>
      </c>
      <c r="D80" s="1">
        <v>1.0</v>
      </c>
      <c r="E80" s="14" t="s">
        <v>1846</v>
      </c>
    </row>
    <row r="81">
      <c r="A81" s="16" t="s">
        <v>2789</v>
      </c>
      <c r="B81" s="16" t="s">
        <v>3070</v>
      </c>
      <c r="C81" s="1" t="s">
        <v>3310</v>
      </c>
      <c r="D81" s="1">
        <v>1.0</v>
      </c>
      <c r="E81" s="14" t="s">
        <v>1846</v>
      </c>
    </row>
    <row r="82">
      <c r="A82" s="16" t="s">
        <v>2789</v>
      </c>
      <c r="B82" s="16" t="s">
        <v>3040</v>
      </c>
      <c r="C82" s="1" t="s">
        <v>3310</v>
      </c>
      <c r="D82" s="1">
        <v>1.0</v>
      </c>
      <c r="E82" s="14" t="s">
        <v>1846</v>
      </c>
    </row>
    <row r="83">
      <c r="A83" s="16" t="s">
        <v>2762</v>
      </c>
      <c r="B83" s="16" t="s">
        <v>3028</v>
      </c>
      <c r="C83" s="1" t="s">
        <v>3310</v>
      </c>
      <c r="D83" s="1">
        <v>1.0</v>
      </c>
      <c r="E83" s="14" t="s">
        <v>1853</v>
      </c>
    </row>
    <row r="84">
      <c r="A84" s="16" t="s">
        <v>2762</v>
      </c>
      <c r="B84" s="16" t="s">
        <v>3040</v>
      </c>
      <c r="C84" s="1" t="s">
        <v>3310</v>
      </c>
      <c r="D84" s="1">
        <v>1.0</v>
      </c>
      <c r="E84" s="14" t="s">
        <v>1846</v>
      </c>
    </row>
    <row r="85">
      <c r="A85" s="16" t="s">
        <v>2762</v>
      </c>
      <c r="B85" s="16" t="s">
        <v>3033</v>
      </c>
      <c r="C85" s="1" t="s">
        <v>3310</v>
      </c>
      <c r="D85" s="1">
        <v>1.0</v>
      </c>
      <c r="E85" s="14" t="s">
        <v>1862</v>
      </c>
    </row>
    <row r="86">
      <c r="A86" s="16" t="s">
        <v>2787</v>
      </c>
      <c r="B86" s="16" t="s">
        <v>3237</v>
      </c>
      <c r="C86" s="1" t="s">
        <v>3310</v>
      </c>
      <c r="D86" s="1">
        <v>1.0</v>
      </c>
      <c r="E86" s="14" t="s">
        <v>1846</v>
      </c>
    </row>
    <row r="87">
      <c r="A87" s="16" t="s">
        <v>2787</v>
      </c>
      <c r="B87" s="16" t="s">
        <v>3238</v>
      </c>
      <c r="C87" s="1" t="s">
        <v>3310</v>
      </c>
      <c r="D87" s="1">
        <v>1.0</v>
      </c>
      <c r="E87" s="14" t="s">
        <v>1846</v>
      </c>
    </row>
    <row r="88">
      <c r="A88" s="16" t="s">
        <v>2787</v>
      </c>
      <c r="B88" s="16" t="s">
        <v>3041</v>
      </c>
      <c r="C88" s="1" t="s">
        <v>3310</v>
      </c>
      <c r="D88" s="1">
        <v>1.0</v>
      </c>
      <c r="E88" s="14" t="s">
        <v>1862</v>
      </c>
    </row>
    <row r="89">
      <c r="A89" s="16" t="s">
        <v>2787</v>
      </c>
      <c r="B89" s="16" t="s">
        <v>3027</v>
      </c>
      <c r="C89" s="1" t="s">
        <v>3310</v>
      </c>
      <c r="D89" s="1">
        <v>1.0</v>
      </c>
      <c r="E89" s="14" t="s">
        <v>1846</v>
      </c>
    </row>
    <row r="90">
      <c r="A90" s="16" t="s">
        <v>2787</v>
      </c>
      <c r="B90" s="16" t="s">
        <v>3037</v>
      </c>
      <c r="C90" s="1" t="s">
        <v>3310</v>
      </c>
      <c r="D90" s="1">
        <v>1.0</v>
      </c>
      <c r="E90" s="14" t="s">
        <v>1846</v>
      </c>
    </row>
    <row r="91">
      <c r="A91" s="16" t="s">
        <v>2787</v>
      </c>
      <c r="B91" s="16" t="s">
        <v>3096</v>
      </c>
      <c r="C91" s="1" t="s">
        <v>3310</v>
      </c>
      <c r="D91" s="1">
        <v>1.0</v>
      </c>
      <c r="E91" s="14" t="s">
        <v>1862</v>
      </c>
    </row>
    <row r="92">
      <c r="A92" s="16" t="s">
        <v>2787</v>
      </c>
      <c r="B92" s="16" t="s">
        <v>3069</v>
      </c>
      <c r="C92" s="1" t="s">
        <v>3310</v>
      </c>
      <c r="D92" s="1">
        <v>1.0</v>
      </c>
      <c r="E92" s="14" t="s">
        <v>1846</v>
      </c>
    </row>
    <row r="93">
      <c r="A93" s="16" t="s">
        <v>2416</v>
      </c>
      <c r="B93" s="16" t="s">
        <v>3073</v>
      </c>
      <c r="C93" s="1" t="s">
        <v>3310</v>
      </c>
      <c r="D93" s="1">
        <v>1.0</v>
      </c>
      <c r="E93" s="14" t="s">
        <v>1862</v>
      </c>
    </row>
    <row r="94">
      <c r="A94" s="16" t="s">
        <v>2633</v>
      </c>
      <c r="B94" s="16" t="s">
        <v>3092</v>
      </c>
      <c r="C94" s="1" t="s">
        <v>3310</v>
      </c>
      <c r="D94" s="1">
        <v>1.0</v>
      </c>
      <c r="E94" s="14" t="s">
        <v>1853</v>
      </c>
    </row>
    <row r="95">
      <c r="A95" s="16" t="s">
        <v>2633</v>
      </c>
      <c r="B95" s="16" t="s">
        <v>3198</v>
      </c>
      <c r="C95" s="1" t="s">
        <v>3310</v>
      </c>
      <c r="D95" s="1">
        <v>1.0</v>
      </c>
      <c r="E95" s="14" t="s">
        <v>1846</v>
      </c>
    </row>
    <row r="96">
      <c r="A96" s="16" t="s">
        <v>2633</v>
      </c>
      <c r="B96" s="16" t="s">
        <v>3124</v>
      </c>
      <c r="C96" s="1" t="s">
        <v>3310</v>
      </c>
      <c r="D96" s="1">
        <v>1.0</v>
      </c>
      <c r="E96" s="14" t="s">
        <v>1846</v>
      </c>
    </row>
    <row r="97">
      <c r="A97" s="16" t="s">
        <v>2500</v>
      </c>
      <c r="B97" s="16" t="s">
        <v>3040</v>
      </c>
      <c r="C97" s="1" t="s">
        <v>3310</v>
      </c>
      <c r="D97" s="1">
        <v>1.0</v>
      </c>
      <c r="E97" s="14" t="s">
        <v>1846</v>
      </c>
    </row>
    <row r="98">
      <c r="A98" s="16" t="s">
        <v>2604</v>
      </c>
      <c r="B98" s="16" t="s">
        <v>3040</v>
      </c>
      <c r="C98" s="1" t="s">
        <v>3310</v>
      </c>
      <c r="D98" s="1">
        <v>1.0</v>
      </c>
      <c r="E98" s="14" t="s">
        <v>1846</v>
      </c>
    </row>
    <row r="99">
      <c r="A99" s="16" t="s">
        <v>2604</v>
      </c>
      <c r="B99" s="16" t="s">
        <v>3024</v>
      </c>
      <c r="C99" s="1" t="s">
        <v>3310</v>
      </c>
      <c r="D99" s="1">
        <v>1.0</v>
      </c>
      <c r="E99" s="14" t="s">
        <v>1846</v>
      </c>
    </row>
    <row r="100">
      <c r="A100" s="16" t="s">
        <v>2604</v>
      </c>
      <c r="B100" s="16" t="s">
        <v>3037</v>
      </c>
      <c r="C100" s="1" t="s">
        <v>3310</v>
      </c>
      <c r="D100" s="1">
        <v>1.0</v>
      </c>
      <c r="E100" s="14" t="s">
        <v>1846</v>
      </c>
    </row>
    <row r="101">
      <c r="A101" s="16" t="s">
        <v>2742</v>
      </c>
      <c r="B101" s="16" t="s">
        <v>3049</v>
      </c>
      <c r="C101" s="1" t="s">
        <v>3310</v>
      </c>
      <c r="D101" s="1">
        <v>1.0</v>
      </c>
      <c r="E101" s="14" t="s">
        <v>1846</v>
      </c>
    </row>
    <row r="102">
      <c r="A102" s="16" t="s">
        <v>2655</v>
      </c>
      <c r="B102" s="16" t="s">
        <v>3028</v>
      </c>
      <c r="C102" s="1" t="s">
        <v>3310</v>
      </c>
      <c r="D102" s="1">
        <v>1.0</v>
      </c>
      <c r="E102" s="14" t="s">
        <v>1853</v>
      </c>
    </row>
    <row r="103">
      <c r="A103" s="16" t="s">
        <v>2502</v>
      </c>
      <c r="B103" s="16" t="s">
        <v>3028</v>
      </c>
      <c r="C103" s="1" t="s">
        <v>3310</v>
      </c>
      <c r="D103" s="1">
        <v>1.0</v>
      </c>
      <c r="E103" s="14" t="s">
        <v>1853</v>
      </c>
    </row>
    <row r="104">
      <c r="A104" s="16" t="s">
        <v>2502</v>
      </c>
      <c r="B104" s="16" t="s">
        <v>3028</v>
      </c>
      <c r="C104" s="1" t="s">
        <v>3310</v>
      </c>
      <c r="D104" s="1">
        <v>1.0</v>
      </c>
      <c r="E104" s="14" t="s">
        <v>1846</v>
      </c>
    </row>
    <row r="105">
      <c r="A105" s="16" t="s">
        <v>2672</v>
      </c>
      <c r="B105" s="16" t="s">
        <v>3070</v>
      </c>
      <c r="C105" s="1" t="s">
        <v>3310</v>
      </c>
      <c r="D105" s="1">
        <v>1.0</v>
      </c>
      <c r="E105" s="14" t="s">
        <v>1846</v>
      </c>
    </row>
    <row r="106">
      <c r="A106" s="16" t="s">
        <v>2672</v>
      </c>
      <c r="B106" s="16" t="s">
        <v>3028</v>
      </c>
      <c r="C106" s="1" t="s">
        <v>3310</v>
      </c>
      <c r="D106" s="1">
        <v>1.0</v>
      </c>
      <c r="E106" s="14" t="s">
        <v>1853</v>
      </c>
    </row>
    <row r="107">
      <c r="A107" s="16" t="s">
        <v>2672</v>
      </c>
      <c r="B107" s="16" t="s">
        <v>3045</v>
      </c>
      <c r="C107" s="1" t="s">
        <v>3310</v>
      </c>
      <c r="D107" s="1">
        <v>1.0</v>
      </c>
      <c r="E107" s="14" t="s">
        <v>1853</v>
      </c>
    </row>
    <row r="108">
      <c r="A108" s="16" t="s">
        <v>2672</v>
      </c>
      <c r="B108" s="16" t="s">
        <v>3050</v>
      </c>
      <c r="C108" s="1" t="s">
        <v>3310</v>
      </c>
      <c r="D108" s="1">
        <v>1.0</v>
      </c>
      <c r="E108" s="14" t="s">
        <v>1846</v>
      </c>
    </row>
    <row r="109">
      <c r="A109" s="16" t="s">
        <v>2812</v>
      </c>
      <c r="B109" s="16" t="s">
        <v>3034</v>
      </c>
      <c r="C109" s="1" t="s">
        <v>3310</v>
      </c>
      <c r="D109" s="1">
        <v>1.0</v>
      </c>
      <c r="E109" s="14" t="s">
        <v>1846</v>
      </c>
    </row>
    <row r="110">
      <c r="A110" s="16" t="s">
        <v>2812</v>
      </c>
      <c r="B110" s="16" t="s">
        <v>3024</v>
      </c>
      <c r="C110" s="1" t="s">
        <v>3310</v>
      </c>
      <c r="D110" s="1">
        <v>1.0</v>
      </c>
      <c r="E110" s="14" t="s">
        <v>1846</v>
      </c>
    </row>
    <row r="111">
      <c r="A111" s="16" t="s">
        <v>2812</v>
      </c>
      <c r="B111" s="16" t="s">
        <v>3040</v>
      </c>
      <c r="C111" s="1" t="s">
        <v>3310</v>
      </c>
      <c r="D111" s="1">
        <v>1.0</v>
      </c>
      <c r="E111" s="14" t="s">
        <v>1846</v>
      </c>
    </row>
    <row r="112">
      <c r="A112" s="16" t="s">
        <v>2480</v>
      </c>
      <c r="B112" s="16" t="s">
        <v>3051</v>
      </c>
      <c r="C112" s="1" t="s">
        <v>3310</v>
      </c>
      <c r="D112" s="1">
        <v>1.0</v>
      </c>
      <c r="E112" s="14" t="s">
        <v>1846</v>
      </c>
    </row>
    <row r="113">
      <c r="A113" s="16" t="s">
        <v>2736</v>
      </c>
      <c r="B113" s="16" t="s">
        <v>3027</v>
      </c>
      <c r="C113" s="1" t="s">
        <v>3310</v>
      </c>
      <c r="D113" s="1">
        <v>1.0</v>
      </c>
      <c r="E113" s="14" t="s">
        <v>1846</v>
      </c>
    </row>
    <row r="114">
      <c r="A114" s="16" t="s">
        <v>2736</v>
      </c>
      <c r="B114" s="16" t="s">
        <v>3040</v>
      </c>
      <c r="C114" s="1" t="s">
        <v>3310</v>
      </c>
      <c r="D114" s="1">
        <v>1.0</v>
      </c>
      <c r="E114" s="14" t="s">
        <v>1846</v>
      </c>
    </row>
    <row r="115">
      <c r="A115" s="16" t="s">
        <v>2736</v>
      </c>
      <c r="B115" s="16" t="s">
        <v>3050</v>
      </c>
      <c r="C115" s="1" t="s">
        <v>3310</v>
      </c>
      <c r="D115" s="1">
        <v>1.0</v>
      </c>
      <c r="E115" s="14" t="s">
        <v>1846</v>
      </c>
    </row>
    <row r="116">
      <c r="A116" s="16" t="s">
        <v>2606</v>
      </c>
      <c r="B116" s="16" t="s">
        <v>3029</v>
      </c>
      <c r="C116" s="1" t="s">
        <v>3310</v>
      </c>
      <c r="D116" s="1">
        <v>1.0</v>
      </c>
      <c r="E116" s="14" t="s">
        <v>1846</v>
      </c>
    </row>
    <row r="117">
      <c r="A117" s="16" t="s">
        <v>2606</v>
      </c>
      <c r="B117" s="16" t="s">
        <v>3030</v>
      </c>
      <c r="C117" s="1" t="s">
        <v>3310</v>
      </c>
      <c r="D117" s="1">
        <v>1.0</v>
      </c>
      <c r="E117" s="14" t="s">
        <v>1846</v>
      </c>
    </row>
    <row r="118">
      <c r="A118" s="16" t="s">
        <v>2606</v>
      </c>
      <c r="B118" s="16" t="s">
        <v>3035</v>
      </c>
      <c r="C118" s="1" t="s">
        <v>3310</v>
      </c>
      <c r="D118" s="1">
        <v>1.0</v>
      </c>
      <c r="E118" s="14" t="s">
        <v>1846</v>
      </c>
    </row>
    <row r="119">
      <c r="A119" s="16" t="s">
        <v>2606</v>
      </c>
      <c r="B119" s="16" t="s">
        <v>3042</v>
      </c>
      <c r="C119" s="1" t="s">
        <v>3310</v>
      </c>
      <c r="D119" s="1">
        <v>1.0</v>
      </c>
      <c r="E119" s="14" t="s">
        <v>1846</v>
      </c>
    </row>
    <row r="120">
      <c r="A120" s="16" t="s">
        <v>2606</v>
      </c>
      <c r="B120" s="16" t="s">
        <v>3028</v>
      </c>
      <c r="C120" s="1" t="s">
        <v>3310</v>
      </c>
      <c r="D120" s="1">
        <v>1.0</v>
      </c>
      <c r="E120" s="14" t="s">
        <v>1853</v>
      </c>
    </row>
    <row r="121">
      <c r="A121" s="16" t="s">
        <v>2606</v>
      </c>
      <c r="B121" s="16" t="s">
        <v>3040</v>
      </c>
      <c r="C121" s="1" t="s">
        <v>3310</v>
      </c>
      <c r="D121" s="1">
        <v>1.0</v>
      </c>
      <c r="E121" s="14" t="s">
        <v>1846</v>
      </c>
    </row>
    <row r="122">
      <c r="A122" s="16" t="s">
        <v>2745</v>
      </c>
      <c r="B122" s="16" t="s">
        <v>3036</v>
      </c>
      <c r="C122" s="1" t="s">
        <v>3310</v>
      </c>
      <c r="D122" s="1">
        <v>1.0</v>
      </c>
      <c r="E122" s="14" t="s">
        <v>1853</v>
      </c>
    </row>
    <row r="123">
      <c r="A123" s="16" t="s">
        <v>2497</v>
      </c>
      <c r="B123" s="16" t="s">
        <v>3036</v>
      </c>
      <c r="C123" s="1" t="s">
        <v>3310</v>
      </c>
      <c r="D123" s="1">
        <v>1.0</v>
      </c>
      <c r="E123" s="14" t="s">
        <v>1846</v>
      </c>
    </row>
    <row r="124">
      <c r="A124" s="16" t="s">
        <v>2497</v>
      </c>
      <c r="B124" s="16" t="s">
        <v>3028</v>
      </c>
      <c r="C124" s="1" t="s">
        <v>3310</v>
      </c>
      <c r="D124" s="1">
        <v>1.0</v>
      </c>
      <c r="E124" s="14" t="s">
        <v>1853</v>
      </c>
    </row>
    <row r="125">
      <c r="A125" s="16" t="s">
        <v>2498</v>
      </c>
      <c r="B125" s="16" t="s">
        <v>3031</v>
      </c>
      <c r="C125" s="1" t="s">
        <v>3310</v>
      </c>
      <c r="D125" s="1">
        <v>1.0</v>
      </c>
      <c r="E125" s="14" t="s">
        <v>1846</v>
      </c>
    </row>
    <row r="126">
      <c r="A126" s="16" t="s">
        <v>2498</v>
      </c>
      <c r="B126" s="16" t="s">
        <v>3092</v>
      </c>
      <c r="C126" s="1" t="s">
        <v>3310</v>
      </c>
      <c r="D126" s="1">
        <v>1.0</v>
      </c>
      <c r="E126" s="14" t="s">
        <v>1853</v>
      </c>
    </row>
    <row r="127">
      <c r="A127" s="16" t="s">
        <v>2609</v>
      </c>
      <c r="B127" s="16" t="s">
        <v>3028</v>
      </c>
      <c r="C127" s="1" t="s">
        <v>3310</v>
      </c>
      <c r="D127" s="1">
        <v>1.0</v>
      </c>
      <c r="E127" s="14" t="s">
        <v>1846</v>
      </c>
    </row>
    <row r="128">
      <c r="A128" s="16" t="s">
        <v>2609</v>
      </c>
      <c r="B128" s="16" t="s">
        <v>3027</v>
      </c>
      <c r="C128" s="1" t="s">
        <v>3310</v>
      </c>
      <c r="D128" s="1">
        <v>1.0</v>
      </c>
      <c r="E128" s="14" t="s">
        <v>1846</v>
      </c>
    </row>
    <row r="129">
      <c r="A129" s="16" t="s">
        <v>2657</v>
      </c>
      <c r="B129" s="16" t="s">
        <v>3028</v>
      </c>
      <c r="C129" s="1" t="s">
        <v>3310</v>
      </c>
      <c r="D129" s="1">
        <v>1.0</v>
      </c>
      <c r="E129" s="14" t="s">
        <v>1853</v>
      </c>
    </row>
    <row r="130">
      <c r="A130" s="16" t="s">
        <v>2657</v>
      </c>
      <c r="B130" s="16" t="s">
        <v>3033</v>
      </c>
      <c r="C130" s="1" t="s">
        <v>3310</v>
      </c>
      <c r="D130" s="1">
        <v>1.0</v>
      </c>
      <c r="E130" s="14" t="s">
        <v>1862</v>
      </c>
    </row>
    <row r="131">
      <c r="A131" s="16" t="s">
        <v>2794</v>
      </c>
      <c r="B131" s="16" t="s">
        <v>3024</v>
      </c>
      <c r="C131" s="1" t="s">
        <v>3310</v>
      </c>
      <c r="D131" s="1">
        <v>1.0</v>
      </c>
      <c r="E131" s="14" t="s">
        <v>1846</v>
      </c>
    </row>
    <row r="132">
      <c r="A132" s="16" t="s">
        <v>2794</v>
      </c>
      <c r="B132" s="16" t="s">
        <v>3027</v>
      </c>
      <c r="C132" s="1" t="s">
        <v>3310</v>
      </c>
      <c r="D132" s="1">
        <v>1.0</v>
      </c>
      <c r="E132" s="14" t="s">
        <v>1846</v>
      </c>
    </row>
    <row r="133">
      <c r="A133" s="16" t="s">
        <v>2775</v>
      </c>
      <c r="B133" s="16" t="s">
        <v>3032</v>
      </c>
      <c r="C133" s="1" t="s">
        <v>3310</v>
      </c>
      <c r="D133" s="1">
        <v>1.0</v>
      </c>
      <c r="E133" s="14" t="s">
        <v>1846</v>
      </c>
    </row>
    <row r="134">
      <c r="A134" s="16" t="s">
        <v>2629</v>
      </c>
      <c r="B134" s="16" t="s">
        <v>3120</v>
      </c>
      <c r="C134" s="1" t="s">
        <v>3310</v>
      </c>
      <c r="D134" s="1">
        <v>1.0</v>
      </c>
      <c r="E134" s="14" t="s">
        <v>1846</v>
      </c>
    </row>
    <row r="135">
      <c r="A135" s="16" t="s">
        <v>2629</v>
      </c>
      <c r="B135" s="16" t="s">
        <v>3205</v>
      </c>
      <c r="C135" s="1" t="s">
        <v>3310</v>
      </c>
      <c r="D135" s="1">
        <v>1.0</v>
      </c>
      <c r="E135" s="14" t="s">
        <v>1846</v>
      </c>
    </row>
    <row r="136">
      <c r="A136" s="16" t="s">
        <v>2815</v>
      </c>
      <c r="B136" s="16" t="s">
        <v>3123</v>
      </c>
      <c r="C136" s="1" t="s">
        <v>3310</v>
      </c>
      <c r="D136" s="1">
        <v>1.0</v>
      </c>
      <c r="E136" s="14" t="s">
        <v>1846</v>
      </c>
    </row>
    <row r="137">
      <c r="A137" s="16" t="s">
        <v>2815</v>
      </c>
      <c r="B137" s="16" t="s">
        <v>3120</v>
      </c>
      <c r="C137" s="1" t="s">
        <v>3310</v>
      </c>
      <c r="D137" s="1">
        <v>1.0</v>
      </c>
      <c r="E137" s="14" t="s">
        <v>1846</v>
      </c>
    </row>
    <row r="138">
      <c r="A138" s="16" t="s">
        <v>2747</v>
      </c>
      <c r="B138" s="16" t="s">
        <v>3028</v>
      </c>
      <c r="C138" s="1" t="s">
        <v>3310</v>
      </c>
      <c r="D138" s="1">
        <v>1.0</v>
      </c>
      <c r="E138" s="14" t="s">
        <v>1846</v>
      </c>
    </row>
    <row r="139">
      <c r="A139" s="16" t="s">
        <v>2747</v>
      </c>
      <c r="B139" s="16" t="s">
        <v>3179</v>
      </c>
      <c r="C139" s="1" t="s">
        <v>3310</v>
      </c>
      <c r="D139" s="1">
        <v>1.0</v>
      </c>
      <c r="E139" s="14" t="s">
        <v>1846</v>
      </c>
    </row>
    <row r="140">
      <c r="A140" s="16" t="s">
        <v>2747</v>
      </c>
      <c r="B140" s="16" t="s">
        <v>3120</v>
      </c>
      <c r="C140" s="1" t="s">
        <v>3310</v>
      </c>
      <c r="D140" s="1">
        <v>1.0</v>
      </c>
      <c r="E140" s="14" t="s">
        <v>1853</v>
      </c>
    </row>
    <row r="141">
      <c r="A141" s="16" t="s">
        <v>2747</v>
      </c>
      <c r="B141" s="16" t="s">
        <v>3120</v>
      </c>
      <c r="C141" s="1" t="s">
        <v>3310</v>
      </c>
      <c r="D141" s="1">
        <v>1.0</v>
      </c>
      <c r="E141" s="14" t="s">
        <v>1846</v>
      </c>
    </row>
    <row r="142">
      <c r="A142" s="16" t="s">
        <v>2763</v>
      </c>
      <c r="B142" s="16" t="s">
        <v>3153</v>
      </c>
      <c r="C142" s="1" t="s">
        <v>3310</v>
      </c>
      <c r="D142" s="1">
        <v>1.0</v>
      </c>
      <c r="E142" s="14" t="s">
        <v>1846</v>
      </c>
    </row>
    <row r="143">
      <c r="A143" s="16" t="s">
        <v>2763</v>
      </c>
      <c r="B143" s="16" t="s">
        <v>3040</v>
      </c>
      <c r="C143" s="1" t="s">
        <v>3310</v>
      </c>
      <c r="D143" s="1">
        <v>1.0</v>
      </c>
      <c r="E143" s="14" t="s">
        <v>1846</v>
      </c>
    </row>
    <row r="144">
      <c r="A144" s="16" t="s">
        <v>2763</v>
      </c>
      <c r="B144" s="16" t="s">
        <v>3152</v>
      </c>
      <c r="C144" s="1" t="s">
        <v>3310</v>
      </c>
      <c r="D144" s="1">
        <v>1.0</v>
      </c>
      <c r="E144" s="14" t="s">
        <v>1846</v>
      </c>
    </row>
    <row r="145">
      <c r="A145" s="16" t="s">
        <v>2522</v>
      </c>
      <c r="B145" s="16" t="s">
        <v>3126</v>
      </c>
      <c r="C145" s="1" t="s">
        <v>3310</v>
      </c>
      <c r="D145" s="1">
        <v>1.0</v>
      </c>
      <c r="E145" s="14" t="s">
        <v>1846</v>
      </c>
    </row>
    <row r="146">
      <c r="A146" s="16" t="s">
        <v>2522</v>
      </c>
      <c r="B146" s="16" t="s">
        <v>3141</v>
      </c>
      <c r="C146" s="1" t="s">
        <v>3310</v>
      </c>
      <c r="D146" s="1">
        <v>1.0</v>
      </c>
      <c r="E146" s="14" t="s">
        <v>1846</v>
      </c>
    </row>
    <row r="147">
      <c r="A147" s="16" t="s">
        <v>2494</v>
      </c>
      <c r="B147" s="16" t="s">
        <v>3126</v>
      </c>
      <c r="C147" s="1" t="s">
        <v>3310</v>
      </c>
      <c r="D147" s="1">
        <v>1.0</v>
      </c>
      <c r="E147" s="14" t="s">
        <v>1846</v>
      </c>
    </row>
    <row r="148">
      <c r="A148" s="16" t="s">
        <v>2664</v>
      </c>
      <c r="B148" s="16" t="s">
        <v>3028</v>
      </c>
      <c r="C148" s="1" t="s">
        <v>3310</v>
      </c>
      <c r="D148" s="1">
        <v>1.0</v>
      </c>
      <c r="E148" s="14" t="s">
        <v>1853</v>
      </c>
    </row>
    <row r="149">
      <c r="A149" s="16" t="s">
        <v>2817</v>
      </c>
      <c r="B149" s="16" t="s">
        <v>3039</v>
      </c>
      <c r="C149" s="1" t="s">
        <v>3310</v>
      </c>
      <c r="D149" s="1">
        <v>1.0</v>
      </c>
      <c r="E149" s="14" t="s">
        <v>1853</v>
      </c>
    </row>
    <row r="150">
      <c r="A150" s="16" t="s">
        <v>2817</v>
      </c>
      <c r="B150" s="16" t="s">
        <v>3043</v>
      </c>
      <c r="C150" s="1" t="s">
        <v>3310</v>
      </c>
      <c r="D150" s="1">
        <v>1.0</v>
      </c>
      <c r="E150" s="14" t="s">
        <v>1853</v>
      </c>
    </row>
    <row r="151">
      <c r="A151" s="16" t="s">
        <v>2817</v>
      </c>
      <c r="B151" s="16" t="s">
        <v>3033</v>
      </c>
      <c r="C151" s="1" t="s">
        <v>3310</v>
      </c>
      <c r="D151" s="1">
        <v>1.0</v>
      </c>
      <c r="E151" s="14" t="s">
        <v>1862</v>
      </c>
    </row>
    <row r="152">
      <c r="A152" s="16" t="s">
        <v>2817</v>
      </c>
      <c r="B152" s="16" t="s">
        <v>3049</v>
      </c>
      <c r="C152" s="1" t="s">
        <v>3310</v>
      </c>
      <c r="D152" s="1">
        <v>1.0</v>
      </c>
      <c r="E152" s="14" t="s">
        <v>1853</v>
      </c>
    </row>
    <row r="153">
      <c r="A153" s="16" t="s">
        <v>2811</v>
      </c>
      <c r="B153" s="16" t="s">
        <v>3053</v>
      </c>
      <c r="C153" s="1" t="s">
        <v>3310</v>
      </c>
      <c r="D153" s="1">
        <v>1.0</v>
      </c>
      <c r="E153" s="14" t="s">
        <v>1862</v>
      </c>
    </row>
    <row r="154">
      <c r="A154" s="16" t="s">
        <v>2811</v>
      </c>
      <c r="B154" s="16" t="s">
        <v>3197</v>
      </c>
      <c r="C154" s="1" t="s">
        <v>3310</v>
      </c>
      <c r="D154" s="1">
        <v>1.0</v>
      </c>
      <c r="E154" s="14" t="s">
        <v>1846</v>
      </c>
    </row>
    <row r="155">
      <c r="A155" s="16" t="s">
        <v>2811</v>
      </c>
      <c r="B155" s="16" t="s">
        <v>3124</v>
      </c>
      <c r="C155" s="1" t="s">
        <v>3310</v>
      </c>
      <c r="D155" s="1">
        <v>1.0</v>
      </c>
      <c r="E155" s="14" t="s">
        <v>1846</v>
      </c>
    </row>
    <row r="156">
      <c r="A156" s="16" t="s">
        <v>2811</v>
      </c>
      <c r="B156" s="16" t="s">
        <v>3135</v>
      </c>
      <c r="C156" s="1" t="s">
        <v>3310</v>
      </c>
      <c r="D156" s="1">
        <v>1.0</v>
      </c>
      <c r="E156" s="14" t="s">
        <v>1862</v>
      </c>
    </row>
    <row r="157">
      <c r="A157" s="16" t="s">
        <v>2583</v>
      </c>
      <c r="B157" s="16" t="s">
        <v>3046</v>
      </c>
      <c r="C157" s="1" t="s">
        <v>3310</v>
      </c>
      <c r="D157" s="1">
        <v>1.0</v>
      </c>
      <c r="E157" s="14" t="s">
        <v>1853</v>
      </c>
    </row>
    <row r="158">
      <c r="A158" s="16" t="s">
        <v>2583</v>
      </c>
      <c r="B158" s="16" t="s">
        <v>3044</v>
      </c>
      <c r="C158" s="1" t="s">
        <v>3310</v>
      </c>
      <c r="D158" s="1">
        <v>1.0</v>
      </c>
      <c r="E158" s="14" t="s">
        <v>1846</v>
      </c>
    </row>
    <row r="159">
      <c r="A159" s="16" t="s">
        <v>2583</v>
      </c>
      <c r="B159" s="16" t="s">
        <v>3028</v>
      </c>
      <c r="C159" s="1" t="s">
        <v>3310</v>
      </c>
      <c r="D159" s="1">
        <v>1.0</v>
      </c>
      <c r="E159" s="14" t="s">
        <v>1853</v>
      </c>
    </row>
    <row r="160">
      <c r="A160" s="16" t="s">
        <v>2583</v>
      </c>
      <c r="B160" s="16" t="s">
        <v>3028</v>
      </c>
      <c r="C160" s="1" t="s">
        <v>3310</v>
      </c>
      <c r="D160" s="1">
        <v>1.0</v>
      </c>
      <c r="E160" s="14" t="s">
        <v>1846</v>
      </c>
    </row>
    <row r="161">
      <c r="A161" s="16" t="s">
        <v>2583</v>
      </c>
      <c r="B161" s="16" t="s">
        <v>3045</v>
      </c>
      <c r="C161" s="1" t="s">
        <v>3310</v>
      </c>
      <c r="D161" s="1">
        <v>1.0</v>
      </c>
      <c r="E161" s="14" t="s">
        <v>1846</v>
      </c>
    </row>
    <row r="162">
      <c r="A162" s="16" t="s">
        <v>2786</v>
      </c>
      <c r="B162" s="16" t="s">
        <v>3039</v>
      </c>
      <c r="C162" s="1" t="s">
        <v>3310</v>
      </c>
      <c r="D162" s="1">
        <v>1.0</v>
      </c>
      <c r="E162" s="14" t="s">
        <v>1853</v>
      </c>
    </row>
    <row r="163">
      <c r="A163" s="16" t="s">
        <v>2477</v>
      </c>
      <c r="B163" s="16" t="s">
        <v>3028</v>
      </c>
      <c r="C163" s="1" t="s">
        <v>3310</v>
      </c>
      <c r="D163" s="1">
        <v>1.0</v>
      </c>
      <c r="E163" s="14" t="s">
        <v>1853</v>
      </c>
    </row>
    <row r="164">
      <c r="A164" s="16" t="s">
        <v>2737</v>
      </c>
      <c r="B164" s="16" t="s">
        <v>3109</v>
      </c>
      <c r="C164" s="1" t="s">
        <v>3310</v>
      </c>
      <c r="D164" s="1">
        <v>1.0</v>
      </c>
      <c r="E164" s="14" t="s">
        <v>1846</v>
      </c>
    </row>
    <row r="165">
      <c r="A165" s="16" t="s">
        <v>2738</v>
      </c>
      <c r="B165" s="16" t="s">
        <v>3028</v>
      </c>
      <c r="C165" s="1" t="s">
        <v>3310</v>
      </c>
      <c r="D165" s="1">
        <v>1.0</v>
      </c>
      <c r="E165" s="14" t="s">
        <v>1846</v>
      </c>
    </row>
    <row r="166">
      <c r="A166" s="16" t="s">
        <v>2738</v>
      </c>
      <c r="B166" s="16" t="s">
        <v>3045</v>
      </c>
      <c r="C166" s="1" t="s">
        <v>3310</v>
      </c>
      <c r="D166" s="1">
        <v>1.0</v>
      </c>
      <c r="E166" s="14" t="s">
        <v>1846</v>
      </c>
    </row>
    <row r="167">
      <c r="A167" s="16" t="s">
        <v>2823</v>
      </c>
      <c r="B167" s="16" t="s">
        <v>3028</v>
      </c>
      <c r="C167" s="1" t="s">
        <v>3310</v>
      </c>
      <c r="D167" s="1">
        <v>1.0</v>
      </c>
      <c r="E167" s="14" t="s">
        <v>1853</v>
      </c>
    </row>
    <row r="168">
      <c r="A168" s="16" t="s">
        <v>2823</v>
      </c>
      <c r="B168" s="16" t="s">
        <v>3045</v>
      </c>
      <c r="C168" s="1" t="s">
        <v>3310</v>
      </c>
      <c r="D168" s="1">
        <v>1.0</v>
      </c>
      <c r="E168" s="14" t="s">
        <v>1853</v>
      </c>
    </row>
    <row r="169">
      <c r="A169" s="16" t="s">
        <v>2756</v>
      </c>
      <c r="B169" s="16" t="s">
        <v>3041</v>
      </c>
      <c r="C169" s="1" t="s">
        <v>3310</v>
      </c>
      <c r="D169" s="1">
        <v>1.0</v>
      </c>
      <c r="E169" s="14" t="s">
        <v>1862</v>
      </c>
    </row>
    <row r="170">
      <c r="A170" s="16" t="s">
        <v>2756</v>
      </c>
      <c r="B170" s="16" t="s">
        <v>3040</v>
      </c>
      <c r="C170" s="1" t="s">
        <v>3310</v>
      </c>
      <c r="D170" s="1">
        <v>1.0</v>
      </c>
      <c r="E170" s="14" t="s">
        <v>1846</v>
      </c>
    </row>
    <row r="171">
      <c r="A171" s="16" t="s">
        <v>2773</v>
      </c>
      <c r="B171" s="16" t="s">
        <v>3151</v>
      </c>
      <c r="C171" s="1" t="s">
        <v>3310</v>
      </c>
      <c r="D171" s="1">
        <v>1.0</v>
      </c>
      <c r="E171" s="14" t="s">
        <v>1846</v>
      </c>
    </row>
    <row r="172">
      <c r="A172" s="16" t="s">
        <v>2773</v>
      </c>
      <c r="B172" s="16" t="s">
        <v>3028</v>
      </c>
      <c r="C172" s="1" t="s">
        <v>3310</v>
      </c>
      <c r="D172" s="1">
        <v>1.0</v>
      </c>
      <c r="E172" s="14" t="s">
        <v>1853</v>
      </c>
    </row>
    <row r="173">
      <c r="A173" s="16" t="s">
        <v>2773</v>
      </c>
      <c r="B173" s="16" t="s">
        <v>3037</v>
      </c>
      <c r="C173" s="1" t="s">
        <v>3310</v>
      </c>
      <c r="D173" s="1">
        <v>1.0</v>
      </c>
      <c r="E173" s="14" t="s">
        <v>1846</v>
      </c>
    </row>
    <row r="174">
      <c r="A174" s="16" t="s">
        <v>2773</v>
      </c>
      <c r="B174" s="16" t="s">
        <v>3033</v>
      </c>
      <c r="C174" s="1" t="s">
        <v>3310</v>
      </c>
      <c r="D174" s="1">
        <v>1.0</v>
      </c>
      <c r="E174" s="14" t="s">
        <v>1862</v>
      </c>
    </row>
    <row r="175">
      <c r="A175" s="16" t="s">
        <v>2782</v>
      </c>
      <c r="B175" s="16" t="s">
        <v>3254</v>
      </c>
      <c r="C175" s="1" t="s">
        <v>3310</v>
      </c>
      <c r="D175" s="1">
        <v>1.0</v>
      </c>
      <c r="E175" s="14" t="s">
        <v>1846</v>
      </c>
    </row>
    <row r="176">
      <c r="A176" s="16" t="s">
        <v>2782</v>
      </c>
      <c r="B176" s="16" t="s">
        <v>3283</v>
      </c>
      <c r="C176" s="1" t="s">
        <v>3310</v>
      </c>
      <c r="D176" s="1">
        <v>1.0</v>
      </c>
      <c r="E176" s="14" t="s">
        <v>1846</v>
      </c>
    </row>
    <row r="177">
      <c r="A177" s="16" t="s">
        <v>2782</v>
      </c>
      <c r="B177" s="16" t="s">
        <v>3284</v>
      </c>
      <c r="C177" s="1" t="s">
        <v>3310</v>
      </c>
      <c r="D177" s="1">
        <v>1.0</v>
      </c>
      <c r="E177" s="14" t="s">
        <v>1846</v>
      </c>
    </row>
    <row r="178">
      <c r="A178" s="16" t="s">
        <v>2782</v>
      </c>
      <c r="B178" s="16" t="s">
        <v>3092</v>
      </c>
      <c r="C178" s="1" t="s">
        <v>3310</v>
      </c>
      <c r="D178" s="1">
        <v>1.0</v>
      </c>
      <c r="E178" s="14" t="s">
        <v>1853</v>
      </c>
    </row>
    <row r="179">
      <c r="A179" s="16" t="s">
        <v>2611</v>
      </c>
      <c r="B179" s="16" t="s">
        <v>3029</v>
      </c>
      <c r="C179" s="1" t="s">
        <v>3310</v>
      </c>
      <c r="D179" s="1">
        <v>1.0</v>
      </c>
      <c r="E179" s="14" t="s">
        <v>1853</v>
      </c>
    </row>
    <row r="180">
      <c r="A180" s="16" t="s">
        <v>2611</v>
      </c>
      <c r="B180" s="16" t="s">
        <v>3153</v>
      </c>
      <c r="C180" s="1" t="s">
        <v>3310</v>
      </c>
      <c r="D180" s="1">
        <v>1.0</v>
      </c>
      <c r="E180" s="14" t="s">
        <v>1846</v>
      </c>
    </row>
    <row r="181">
      <c r="A181" s="16" t="s">
        <v>2611</v>
      </c>
      <c r="B181" s="16" t="s">
        <v>3028</v>
      </c>
      <c r="C181" s="1" t="s">
        <v>3310</v>
      </c>
      <c r="D181" s="1">
        <v>1.0</v>
      </c>
      <c r="E181" s="14" t="s">
        <v>1846</v>
      </c>
    </row>
    <row r="182">
      <c r="A182" s="16" t="s">
        <v>2761</v>
      </c>
      <c r="B182" s="16" t="s">
        <v>3040</v>
      </c>
      <c r="C182" s="1" t="s">
        <v>3310</v>
      </c>
      <c r="D182" s="1">
        <v>1.0</v>
      </c>
      <c r="E182" s="14" t="s">
        <v>1846</v>
      </c>
    </row>
    <row r="183">
      <c r="A183" s="16" t="s">
        <v>2761</v>
      </c>
      <c r="B183" s="16" t="s">
        <v>3024</v>
      </c>
      <c r="C183" s="1" t="s">
        <v>3310</v>
      </c>
      <c r="D183" s="1">
        <v>1.0</v>
      </c>
      <c r="E183" s="14" t="s">
        <v>1846</v>
      </c>
    </row>
    <row r="184">
      <c r="A184" s="16" t="s">
        <v>2876</v>
      </c>
      <c r="B184" s="16" t="s">
        <v>3045</v>
      </c>
      <c r="C184" s="1" t="s">
        <v>3310</v>
      </c>
      <c r="D184" s="1">
        <v>1.0</v>
      </c>
      <c r="E184" s="14" t="s">
        <v>1853</v>
      </c>
    </row>
    <row r="185">
      <c r="A185" s="16" t="s">
        <v>2876</v>
      </c>
      <c r="B185" s="16" t="s">
        <v>3045</v>
      </c>
      <c r="C185" s="1" t="s">
        <v>3310</v>
      </c>
      <c r="D185" s="1">
        <v>1.0</v>
      </c>
      <c r="E185" s="14" t="s">
        <v>1846</v>
      </c>
    </row>
    <row r="186">
      <c r="A186" s="16" t="s">
        <v>2876</v>
      </c>
      <c r="B186" s="16" t="s">
        <v>3029</v>
      </c>
      <c r="C186" s="1" t="s">
        <v>3310</v>
      </c>
      <c r="D186" s="1">
        <v>1.0</v>
      </c>
      <c r="E186" s="14" t="s">
        <v>1853</v>
      </c>
    </row>
    <row r="187">
      <c r="A187" s="16" t="s">
        <v>2876</v>
      </c>
      <c r="B187" s="16" t="s">
        <v>3028</v>
      </c>
      <c r="C187" s="1" t="s">
        <v>3310</v>
      </c>
      <c r="D187" s="1">
        <v>1.0</v>
      </c>
      <c r="E187" s="14" t="s">
        <v>1853</v>
      </c>
    </row>
    <row r="188">
      <c r="A188" s="16" t="s">
        <v>2656</v>
      </c>
      <c r="B188" s="16" t="s">
        <v>3028</v>
      </c>
      <c r="C188" s="1" t="s">
        <v>3310</v>
      </c>
      <c r="D188" s="1">
        <v>1.0</v>
      </c>
      <c r="E188" s="14" t="s">
        <v>1853</v>
      </c>
    </row>
    <row r="189">
      <c r="A189" s="16" t="s">
        <v>2656</v>
      </c>
      <c r="B189" s="16" t="s">
        <v>3033</v>
      </c>
      <c r="C189" s="1" t="s">
        <v>3310</v>
      </c>
      <c r="D189" s="1">
        <v>1.0</v>
      </c>
      <c r="E189" s="14" t="s">
        <v>1862</v>
      </c>
    </row>
    <row r="190">
      <c r="A190" s="16" t="s">
        <v>2791</v>
      </c>
      <c r="B190" s="16" t="s">
        <v>3040</v>
      </c>
      <c r="C190" s="1" t="s">
        <v>3310</v>
      </c>
      <c r="D190" s="1">
        <v>1.0</v>
      </c>
      <c r="E190" s="14" t="s">
        <v>1846</v>
      </c>
    </row>
    <row r="191">
      <c r="A191" s="16" t="s">
        <v>2791</v>
      </c>
      <c r="B191" s="16" t="s">
        <v>3045</v>
      </c>
      <c r="C191" s="1" t="s">
        <v>3310</v>
      </c>
      <c r="D191" s="1">
        <v>1.0</v>
      </c>
      <c r="E191" s="14" t="s">
        <v>1853</v>
      </c>
    </row>
    <row r="192">
      <c r="A192" s="16" t="s">
        <v>2791</v>
      </c>
      <c r="B192" s="16" t="s">
        <v>3050</v>
      </c>
      <c r="C192" s="1" t="s">
        <v>3310</v>
      </c>
      <c r="D192" s="1">
        <v>1.0</v>
      </c>
      <c r="E192" s="14" t="s">
        <v>1853</v>
      </c>
    </row>
    <row r="193">
      <c r="A193" s="16" t="s">
        <v>2791</v>
      </c>
      <c r="B193" s="16" t="s">
        <v>3050</v>
      </c>
      <c r="C193" s="1" t="s">
        <v>3310</v>
      </c>
      <c r="D193" s="1">
        <v>1.0</v>
      </c>
      <c r="E193" s="14" t="s">
        <v>1846</v>
      </c>
    </row>
    <row r="194">
      <c r="A194" s="16" t="s">
        <v>2800</v>
      </c>
      <c r="B194" s="16" t="s">
        <v>3120</v>
      </c>
      <c r="C194" s="1" t="s">
        <v>3310</v>
      </c>
      <c r="D194" s="1">
        <v>1.0</v>
      </c>
      <c r="E194" s="14" t="s">
        <v>1846</v>
      </c>
    </row>
    <row r="195">
      <c r="A195" s="16" t="s">
        <v>2800</v>
      </c>
      <c r="B195" s="16" t="s">
        <v>3042</v>
      </c>
      <c r="C195" s="1" t="s">
        <v>3310</v>
      </c>
      <c r="D195" s="1">
        <v>1.0</v>
      </c>
      <c r="E195" s="14" t="s">
        <v>1853</v>
      </c>
    </row>
    <row r="196">
      <c r="A196" s="16" t="s">
        <v>2457</v>
      </c>
      <c r="B196" s="16" t="s">
        <v>3050</v>
      </c>
      <c r="C196" s="1" t="s">
        <v>3310</v>
      </c>
      <c r="D196" s="1">
        <v>1.0</v>
      </c>
      <c r="E196" s="14" t="s">
        <v>1846</v>
      </c>
    </row>
    <row r="197">
      <c r="A197" s="16" t="s">
        <v>2457</v>
      </c>
      <c r="B197" s="16" t="s">
        <v>3187</v>
      </c>
      <c r="C197" s="1" t="s">
        <v>3310</v>
      </c>
      <c r="D197" s="1">
        <v>1.0</v>
      </c>
      <c r="E197" s="14" t="s">
        <v>1846</v>
      </c>
    </row>
    <row r="198">
      <c r="A198" s="16" t="s">
        <v>2457</v>
      </c>
      <c r="B198" s="16" t="s">
        <v>3041</v>
      </c>
      <c r="C198" s="1" t="s">
        <v>3310</v>
      </c>
      <c r="D198" s="1">
        <v>1.0</v>
      </c>
      <c r="E198" s="14" t="s">
        <v>1862</v>
      </c>
    </row>
    <row r="199">
      <c r="A199" s="16" t="s">
        <v>2753</v>
      </c>
      <c r="B199" s="16" t="s">
        <v>3040</v>
      </c>
      <c r="C199" s="1" t="s">
        <v>3310</v>
      </c>
      <c r="D199" s="1">
        <v>1.0</v>
      </c>
      <c r="E199" s="14" t="s">
        <v>1846</v>
      </c>
    </row>
    <row r="200">
      <c r="A200" s="16" t="s">
        <v>2753</v>
      </c>
      <c r="B200" s="16" t="s">
        <v>3024</v>
      </c>
      <c r="C200" s="1" t="s">
        <v>3310</v>
      </c>
      <c r="D200" s="1">
        <v>1.0</v>
      </c>
      <c r="E200" s="14" t="s">
        <v>1846</v>
      </c>
    </row>
    <row r="201">
      <c r="A201" s="16" t="s">
        <v>2752</v>
      </c>
      <c r="B201" s="16" t="s">
        <v>3037</v>
      </c>
      <c r="C201" s="1" t="s">
        <v>3310</v>
      </c>
      <c r="D201" s="1">
        <v>1.0</v>
      </c>
      <c r="E201" s="14" t="s">
        <v>1846</v>
      </c>
    </row>
    <row r="202">
      <c r="A202" s="16" t="s">
        <v>2752</v>
      </c>
      <c r="B202" s="16" t="s">
        <v>3050</v>
      </c>
      <c r="C202" s="1" t="s">
        <v>3310</v>
      </c>
      <c r="D202" s="1">
        <v>1.0</v>
      </c>
      <c r="E202" s="14" t="s">
        <v>1846</v>
      </c>
    </row>
    <row r="203">
      <c r="A203" s="16" t="s">
        <v>2752</v>
      </c>
      <c r="B203" s="16" t="s">
        <v>3305</v>
      </c>
      <c r="C203" s="1" t="s">
        <v>3310</v>
      </c>
      <c r="D203" s="1">
        <v>1.0</v>
      </c>
      <c r="E203" s="14" t="s">
        <v>1846</v>
      </c>
    </row>
    <row r="204">
      <c r="A204" s="16" t="s">
        <v>2929</v>
      </c>
      <c r="B204" s="16" t="s">
        <v>3028</v>
      </c>
      <c r="C204" s="1" t="s">
        <v>3310</v>
      </c>
      <c r="D204" s="1">
        <v>1.0</v>
      </c>
      <c r="E204" s="14" t="s">
        <v>1846</v>
      </c>
    </row>
    <row r="205">
      <c r="A205" s="16" t="s">
        <v>2929</v>
      </c>
      <c r="B205" s="16" t="s">
        <v>3037</v>
      </c>
      <c r="C205" s="1" t="s">
        <v>3310</v>
      </c>
      <c r="D205" s="1">
        <v>1.0</v>
      </c>
      <c r="E205" s="14" t="s">
        <v>1846</v>
      </c>
    </row>
    <row r="206">
      <c r="A206" s="16" t="s">
        <v>2929</v>
      </c>
      <c r="B206" s="16" t="s">
        <v>3040</v>
      </c>
      <c r="C206" s="1" t="s">
        <v>3310</v>
      </c>
      <c r="D206" s="1">
        <v>1.0</v>
      </c>
      <c r="E206" s="14" t="s">
        <v>1846</v>
      </c>
    </row>
    <row r="207">
      <c r="A207" s="16" t="s">
        <v>2929</v>
      </c>
      <c r="B207" s="16" t="s">
        <v>3050</v>
      </c>
      <c r="C207" s="1" t="s">
        <v>3310</v>
      </c>
      <c r="D207" s="1">
        <v>1.0</v>
      </c>
      <c r="E207" s="14" t="s">
        <v>1846</v>
      </c>
    </row>
    <row r="208">
      <c r="A208" s="16" t="s">
        <v>2930</v>
      </c>
      <c r="B208" s="16" t="s">
        <v>3045</v>
      </c>
      <c r="C208" s="1" t="s">
        <v>3310</v>
      </c>
      <c r="D208" s="1">
        <v>1.0</v>
      </c>
      <c r="E208" s="14" t="s">
        <v>1853</v>
      </c>
    </row>
    <row r="209">
      <c r="A209" s="16" t="s">
        <v>2528</v>
      </c>
      <c r="B209" s="16" t="s">
        <v>3047</v>
      </c>
      <c r="C209" s="1" t="s">
        <v>3310</v>
      </c>
      <c r="D209" s="1">
        <v>1.0</v>
      </c>
      <c r="E209" s="14" t="s">
        <v>1846</v>
      </c>
    </row>
    <row r="210">
      <c r="A210" s="16" t="s">
        <v>2439</v>
      </c>
      <c r="B210" s="16" t="s">
        <v>3031</v>
      </c>
      <c r="C210" s="1" t="s">
        <v>3310</v>
      </c>
      <c r="D210" s="1">
        <v>1.0</v>
      </c>
      <c r="E210" s="14" t="s">
        <v>1853</v>
      </c>
    </row>
    <row r="211">
      <c r="A211" s="16" t="s">
        <v>2439</v>
      </c>
      <c r="B211" s="16" t="s">
        <v>3029</v>
      </c>
      <c r="C211" s="1" t="s">
        <v>3310</v>
      </c>
      <c r="D211" s="1">
        <v>1.0</v>
      </c>
      <c r="E211" s="14" t="s">
        <v>1853</v>
      </c>
    </row>
    <row r="212">
      <c r="A212" s="16" t="s">
        <v>2758</v>
      </c>
      <c r="B212" s="16" t="s">
        <v>3148</v>
      </c>
      <c r="C212" s="1" t="s">
        <v>3310</v>
      </c>
      <c r="D212" s="1">
        <v>1.0</v>
      </c>
      <c r="E212" s="14" t="s">
        <v>1846</v>
      </c>
    </row>
    <row r="213">
      <c r="A213" s="16" t="s">
        <v>2820</v>
      </c>
      <c r="B213" s="16" t="s">
        <v>3069</v>
      </c>
      <c r="C213" s="1" t="s">
        <v>3310</v>
      </c>
      <c r="D213" s="1">
        <v>1.0</v>
      </c>
      <c r="E213" s="14" t="s">
        <v>1846</v>
      </c>
    </row>
    <row r="214">
      <c r="A214" s="16" t="s">
        <v>2820</v>
      </c>
      <c r="B214" s="16" t="s">
        <v>3053</v>
      </c>
      <c r="C214" s="1" t="s">
        <v>3310</v>
      </c>
      <c r="D214" s="1">
        <v>1.0</v>
      </c>
      <c r="E214" s="14" t="s">
        <v>1862</v>
      </c>
    </row>
    <row r="215">
      <c r="A215" s="16" t="s">
        <v>2820</v>
      </c>
      <c r="B215" s="16" t="s">
        <v>3028</v>
      </c>
      <c r="C215" s="1" t="s">
        <v>3310</v>
      </c>
      <c r="D215" s="1">
        <v>1.0</v>
      </c>
      <c r="E215" s="14" t="s">
        <v>1846</v>
      </c>
    </row>
    <row r="216">
      <c r="A216" s="16" t="s">
        <v>2820</v>
      </c>
      <c r="B216" s="16" t="s">
        <v>3040</v>
      </c>
      <c r="C216" s="1" t="s">
        <v>3310</v>
      </c>
      <c r="D216" s="1">
        <v>1.0</v>
      </c>
      <c r="E216" s="14" t="s">
        <v>1846</v>
      </c>
    </row>
    <row r="217">
      <c r="A217" s="16" t="s">
        <v>2630</v>
      </c>
      <c r="B217" s="16" t="s">
        <v>3044</v>
      </c>
      <c r="C217" s="1" t="s">
        <v>3310</v>
      </c>
      <c r="D217" s="1">
        <v>1.0</v>
      </c>
      <c r="E217" s="14" t="s">
        <v>1846</v>
      </c>
    </row>
    <row r="218">
      <c r="A218" s="16" t="s">
        <v>2630</v>
      </c>
      <c r="B218" s="16" t="s">
        <v>3028</v>
      </c>
      <c r="C218" s="1" t="s">
        <v>3310</v>
      </c>
      <c r="D218" s="1">
        <v>1.0</v>
      </c>
      <c r="E218" s="14" t="s">
        <v>1853</v>
      </c>
    </row>
    <row r="219">
      <c r="A219" s="16" t="s">
        <v>2630</v>
      </c>
      <c r="B219" s="16" t="s">
        <v>3028</v>
      </c>
      <c r="C219" s="1" t="s">
        <v>3310</v>
      </c>
      <c r="D219" s="1">
        <v>1.0</v>
      </c>
      <c r="E219" s="14" t="s">
        <v>1846</v>
      </c>
    </row>
    <row r="220">
      <c r="A220" s="16" t="s">
        <v>2630</v>
      </c>
      <c r="B220" s="16" t="s">
        <v>3040</v>
      </c>
      <c r="C220" s="1" t="s">
        <v>3310</v>
      </c>
      <c r="D220" s="1">
        <v>1.0</v>
      </c>
      <c r="E220" s="14" t="s">
        <v>1846</v>
      </c>
    </row>
    <row r="221">
      <c r="A221" s="16" t="s">
        <v>2630</v>
      </c>
      <c r="B221" s="16" t="s">
        <v>3045</v>
      </c>
      <c r="C221" s="1" t="s">
        <v>3310</v>
      </c>
      <c r="D221" s="1">
        <v>1.0</v>
      </c>
      <c r="E221" s="14" t="s">
        <v>1853</v>
      </c>
    </row>
    <row r="222">
      <c r="A222" s="16" t="s">
        <v>2601</v>
      </c>
      <c r="B222" s="16" t="s">
        <v>3086</v>
      </c>
      <c r="C222" s="1" t="s">
        <v>3310</v>
      </c>
      <c r="D222" s="1">
        <v>1.0</v>
      </c>
      <c r="E222" s="14" t="s">
        <v>1846</v>
      </c>
    </row>
    <row r="223">
      <c r="A223" s="16" t="s">
        <v>2754</v>
      </c>
      <c r="B223" s="16" t="s">
        <v>3144</v>
      </c>
      <c r="C223" s="1" t="s">
        <v>3310</v>
      </c>
      <c r="D223" s="1">
        <v>1.0</v>
      </c>
      <c r="E223" s="14" t="s">
        <v>1846</v>
      </c>
    </row>
    <row r="224">
      <c r="A224" s="16" t="s">
        <v>2754</v>
      </c>
      <c r="B224" s="16" t="s">
        <v>3028</v>
      </c>
      <c r="C224" s="1" t="s">
        <v>3310</v>
      </c>
      <c r="D224" s="1">
        <v>1.0</v>
      </c>
      <c r="E224" s="14" t="s">
        <v>1846</v>
      </c>
    </row>
    <row r="225">
      <c r="A225" s="16" t="s">
        <v>2493</v>
      </c>
      <c r="B225" s="16" t="s">
        <v>3028</v>
      </c>
      <c r="C225" s="1" t="s">
        <v>3310</v>
      </c>
      <c r="D225" s="1">
        <v>1.0</v>
      </c>
      <c r="E225" s="14" t="s">
        <v>1853</v>
      </c>
    </row>
    <row r="226">
      <c r="A226" s="16" t="s">
        <v>2783</v>
      </c>
      <c r="B226" s="16" t="s">
        <v>3029</v>
      </c>
      <c r="C226" s="1" t="s">
        <v>3310</v>
      </c>
      <c r="D226" s="1">
        <v>1.0</v>
      </c>
      <c r="E226" s="14" t="s">
        <v>1853</v>
      </c>
    </row>
    <row r="227">
      <c r="A227" s="16" t="s">
        <v>2783</v>
      </c>
      <c r="B227" s="16" t="s">
        <v>3120</v>
      </c>
      <c r="C227" s="1" t="s">
        <v>3310</v>
      </c>
      <c r="D227" s="1">
        <v>1.0</v>
      </c>
      <c r="E227" s="14" t="s">
        <v>1846</v>
      </c>
    </row>
    <row r="228">
      <c r="A228" s="16" t="s">
        <v>2783</v>
      </c>
      <c r="B228" s="16" t="s">
        <v>3040</v>
      </c>
      <c r="C228" s="1" t="s">
        <v>3310</v>
      </c>
      <c r="D228" s="1">
        <v>1.0</v>
      </c>
      <c r="E228" s="14" t="s">
        <v>1846</v>
      </c>
    </row>
    <row r="229">
      <c r="A229" s="16" t="s">
        <v>2772</v>
      </c>
      <c r="B229" s="16" t="s">
        <v>3255</v>
      </c>
      <c r="C229" s="1" t="s">
        <v>3310</v>
      </c>
      <c r="D229" s="1">
        <v>1.0</v>
      </c>
      <c r="E229" s="14" t="s">
        <v>1853</v>
      </c>
    </row>
    <row r="230">
      <c r="A230" s="16" t="s">
        <v>2772</v>
      </c>
      <c r="B230" s="16" t="s">
        <v>3259</v>
      </c>
      <c r="C230" s="1" t="s">
        <v>3310</v>
      </c>
      <c r="D230" s="1">
        <v>1.0</v>
      </c>
      <c r="E230" s="14" t="s">
        <v>1853</v>
      </c>
    </row>
    <row r="231">
      <c r="A231" s="16" t="s">
        <v>2772</v>
      </c>
      <c r="B231" s="16" t="s">
        <v>3028</v>
      </c>
      <c r="C231" s="1" t="s">
        <v>3310</v>
      </c>
      <c r="D231" s="1">
        <v>1.0</v>
      </c>
      <c r="E231" s="14" t="s">
        <v>1853</v>
      </c>
    </row>
    <row r="232">
      <c r="A232" s="16" t="s">
        <v>2492</v>
      </c>
      <c r="B232" s="16" t="s">
        <v>3304</v>
      </c>
      <c r="C232" s="1" t="s">
        <v>3310</v>
      </c>
      <c r="D232" s="1">
        <v>1.0</v>
      </c>
      <c r="E232" s="14" t="s">
        <v>1846</v>
      </c>
    </row>
    <row r="233">
      <c r="A233" s="16" t="s">
        <v>2751</v>
      </c>
      <c r="B233" s="16" t="s">
        <v>3024</v>
      </c>
      <c r="C233" s="1" t="s">
        <v>3310</v>
      </c>
      <c r="D233" s="1">
        <v>1.0</v>
      </c>
      <c r="E233" s="14" t="s">
        <v>1846</v>
      </c>
    </row>
    <row r="234">
      <c r="A234" s="16" t="s">
        <v>2751</v>
      </c>
      <c r="B234" s="16" t="s">
        <v>3048</v>
      </c>
      <c r="C234" s="1" t="s">
        <v>3310</v>
      </c>
      <c r="D234" s="1">
        <v>1.0</v>
      </c>
      <c r="E234" s="14" t="s">
        <v>1846</v>
      </c>
    </row>
    <row r="235">
      <c r="A235" s="16" t="s">
        <v>2751</v>
      </c>
      <c r="B235" s="16" t="s">
        <v>3037</v>
      </c>
      <c r="C235" s="1" t="s">
        <v>3310</v>
      </c>
      <c r="D235" s="1">
        <v>1.0</v>
      </c>
      <c r="E235" s="14" t="s">
        <v>1846</v>
      </c>
    </row>
    <row r="236">
      <c r="A236" s="16" t="s">
        <v>2653</v>
      </c>
      <c r="B236" s="16" t="s">
        <v>3028</v>
      </c>
      <c r="C236" s="1" t="s">
        <v>3310</v>
      </c>
      <c r="D236" s="1">
        <v>1.0</v>
      </c>
      <c r="E236" s="14" t="s">
        <v>1853</v>
      </c>
    </row>
    <row r="237">
      <c r="A237" s="16" t="s">
        <v>2653</v>
      </c>
      <c r="B237" s="16" t="s">
        <v>3045</v>
      </c>
      <c r="C237" s="1" t="s">
        <v>3310</v>
      </c>
      <c r="D237" s="1">
        <v>1.0</v>
      </c>
      <c r="E237" s="14" t="s">
        <v>1853</v>
      </c>
    </row>
    <row r="238">
      <c r="A238" s="16" t="s">
        <v>2653</v>
      </c>
      <c r="B238" s="16" t="s">
        <v>3155</v>
      </c>
      <c r="C238" s="1" t="s">
        <v>3310</v>
      </c>
      <c r="D238" s="1">
        <v>1.0</v>
      </c>
      <c r="E238" s="14" t="s">
        <v>1846</v>
      </c>
    </row>
    <row r="239">
      <c r="A239" s="16" t="s">
        <v>2795</v>
      </c>
      <c r="B239" s="16" t="s">
        <v>3092</v>
      </c>
      <c r="C239" s="1" t="s">
        <v>3310</v>
      </c>
      <c r="D239" s="1">
        <v>1.0</v>
      </c>
      <c r="E239" s="14" t="s">
        <v>1853</v>
      </c>
    </row>
    <row r="240">
      <c r="A240" s="16" t="s">
        <v>2795</v>
      </c>
      <c r="B240" s="16" t="s">
        <v>3254</v>
      </c>
      <c r="C240" s="1" t="s">
        <v>3310</v>
      </c>
      <c r="D240" s="1">
        <v>1.0</v>
      </c>
      <c r="E240" s="14" t="s">
        <v>1846</v>
      </c>
    </row>
    <row r="241">
      <c r="A241" s="16" t="s">
        <v>2795</v>
      </c>
      <c r="B241" s="16" t="s">
        <v>3190</v>
      </c>
      <c r="C241" s="1" t="s">
        <v>3310</v>
      </c>
      <c r="D241" s="1">
        <v>1.0</v>
      </c>
      <c r="E241" s="14" t="s">
        <v>1853</v>
      </c>
    </row>
    <row r="242">
      <c r="A242" s="16" t="s">
        <v>2795</v>
      </c>
      <c r="B242" s="16" t="s">
        <v>3124</v>
      </c>
      <c r="C242" s="1" t="s">
        <v>3310</v>
      </c>
      <c r="D242" s="1">
        <v>1.0</v>
      </c>
      <c r="E242" s="14" t="s">
        <v>1853</v>
      </c>
    </row>
    <row r="243">
      <c r="A243" s="16" t="s">
        <v>2479</v>
      </c>
      <c r="B243" s="16" t="s">
        <v>3052</v>
      </c>
      <c r="C243" s="1" t="s">
        <v>3310</v>
      </c>
      <c r="D243" s="1">
        <v>1.0</v>
      </c>
      <c r="E243" s="14" t="s">
        <v>1846</v>
      </c>
    </row>
    <row r="244">
      <c r="A244" s="16" t="s">
        <v>2479</v>
      </c>
      <c r="B244" s="16" t="s">
        <v>3028</v>
      </c>
      <c r="C244" s="1" t="s">
        <v>3310</v>
      </c>
      <c r="D244" s="1">
        <v>1.0</v>
      </c>
      <c r="E244" s="14" t="s">
        <v>1846</v>
      </c>
    </row>
    <row r="245">
      <c r="A245" s="16" t="s">
        <v>2748</v>
      </c>
      <c r="B245" s="16" t="s">
        <v>3037</v>
      </c>
      <c r="C245" s="1" t="s">
        <v>3310</v>
      </c>
      <c r="D245" s="1">
        <v>1.0</v>
      </c>
      <c r="E245" s="14" t="s">
        <v>1846</v>
      </c>
    </row>
    <row r="246">
      <c r="A246" s="16" t="s">
        <v>2748</v>
      </c>
      <c r="B246" s="16" t="s">
        <v>3040</v>
      </c>
      <c r="C246" s="1" t="s">
        <v>3310</v>
      </c>
      <c r="D246" s="1">
        <v>1.0</v>
      </c>
      <c r="E246" s="14" t="s">
        <v>1846</v>
      </c>
    </row>
    <row r="247">
      <c r="A247" s="16" t="s">
        <v>2802</v>
      </c>
      <c r="B247" s="16" t="s">
        <v>3024</v>
      </c>
      <c r="C247" s="1" t="s">
        <v>3310</v>
      </c>
      <c r="D247" s="1">
        <v>1.0</v>
      </c>
      <c r="E247" s="14" t="s">
        <v>1846</v>
      </c>
    </row>
    <row r="248">
      <c r="A248" s="16" t="s">
        <v>2802</v>
      </c>
      <c r="B248" s="16" t="s">
        <v>3040</v>
      </c>
      <c r="C248" s="1" t="s">
        <v>3310</v>
      </c>
      <c r="D248" s="1">
        <v>1.0</v>
      </c>
      <c r="E248" s="14" t="s">
        <v>1846</v>
      </c>
    </row>
    <row r="249">
      <c r="A249" s="16" t="s">
        <v>2802</v>
      </c>
      <c r="B249" s="16" t="s">
        <v>3052</v>
      </c>
      <c r="C249" s="1" t="s">
        <v>3310</v>
      </c>
      <c r="D249" s="1">
        <v>1.0</v>
      </c>
      <c r="E249" s="14" t="s">
        <v>1846</v>
      </c>
    </row>
    <row r="250">
      <c r="A250" s="16" t="s">
        <v>2484</v>
      </c>
      <c r="B250" s="16" t="s">
        <v>3037</v>
      </c>
      <c r="C250" s="1" t="s">
        <v>3310</v>
      </c>
      <c r="D250" s="1">
        <v>1.0</v>
      </c>
      <c r="E250" s="14" t="s">
        <v>1846</v>
      </c>
    </row>
    <row r="251">
      <c r="A251" s="16" t="s">
        <v>2808</v>
      </c>
      <c r="B251" s="16" t="s">
        <v>3045</v>
      </c>
      <c r="C251" s="1" t="s">
        <v>3310</v>
      </c>
      <c r="D251" s="1">
        <v>1.0</v>
      </c>
      <c r="E251" s="14" t="s">
        <v>1853</v>
      </c>
    </row>
    <row r="252">
      <c r="A252" s="16" t="s">
        <v>2808</v>
      </c>
      <c r="B252" s="16" t="s">
        <v>3050</v>
      </c>
      <c r="C252" s="1" t="s">
        <v>3310</v>
      </c>
      <c r="D252" s="1">
        <v>1.0</v>
      </c>
      <c r="E252" s="14" t="s">
        <v>1846</v>
      </c>
    </row>
    <row r="253">
      <c r="A253" s="16" t="s">
        <v>2808</v>
      </c>
      <c r="B253" s="16" t="s">
        <v>3086</v>
      </c>
      <c r="C253" s="1" t="s">
        <v>3310</v>
      </c>
      <c r="D253" s="1">
        <v>1.0</v>
      </c>
      <c r="E253" s="14" t="s">
        <v>1846</v>
      </c>
    </row>
    <row r="254">
      <c r="A254" s="16" t="s">
        <v>2749</v>
      </c>
      <c r="B254" s="16" t="s">
        <v>3028</v>
      </c>
      <c r="C254" s="1" t="s">
        <v>3310</v>
      </c>
      <c r="D254" s="1">
        <v>1.0</v>
      </c>
      <c r="E254" s="14" t="s">
        <v>1853</v>
      </c>
    </row>
    <row r="255">
      <c r="A255" s="16" t="s">
        <v>2749</v>
      </c>
      <c r="B255" s="16" t="s">
        <v>3037</v>
      </c>
      <c r="C255" s="1" t="s">
        <v>3310</v>
      </c>
      <c r="D255" s="1">
        <v>1.0</v>
      </c>
      <c r="E255" s="14" t="s">
        <v>1846</v>
      </c>
    </row>
    <row r="256">
      <c r="A256" s="16" t="s">
        <v>2749</v>
      </c>
      <c r="B256" s="16" t="s">
        <v>3040</v>
      </c>
      <c r="C256" s="1" t="s">
        <v>3310</v>
      </c>
      <c r="D256" s="1">
        <v>1.0</v>
      </c>
      <c r="E256" s="14" t="s">
        <v>1846</v>
      </c>
    </row>
    <row r="257">
      <c r="A257" s="16" t="s">
        <v>2749</v>
      </c>
      <c r="B257" s="16" t="s">
        <v>3052</v>
      </c>
      <c r="C257" s="1" t="s">
        <v>3310</v>
      </c>
      <c r="D257" s="1">
        <v>1.0</v>
      </c>
      <c r="E257" s="14" t="s">
        <v>1846</v>
      </c>
    </row>
    <row r="258">
      <c r="A258" s="16" t="s">
        <v>2816</v>
      </c>
      <c r="B258" s="16" t="s">
        <v>3034</v>
      </c>
      <c r="C258" s="1" t="s">
        <v>3310</v>
      </c>
      <c r="D258" s="1">
        <v>1.0</v>
      </c>
      <c r="E258" s="14" t="s">
        <v>1846</v>
      </c>
    </row>
    <row r="259">
      <c r="A259" s="16" t="s">
        <v>2816</v>
      </c>
      <c r="B259" s="16" t="s">
        <v>3040</v>
      </c>
      <c r="C259" s="1" t="s">
        <v>3310</v>
      </c>
      <c r="D259" s="1">
        <v>1.0</v>
      </c>
      <c r="E259" s="14" t="s">
        <v>1846</v>
      </c>
    </row>
    <row r="260">
      <c r="A260" s="16" t="s">
        <v>2816</v>
      </c>
      <c r="B260" s="16" t="s">
        <v>3050</v>
      </c>
      <c r="C260" s="1" t="s">
        <v>3310</v>
      </c>
      <c r="D260" s="1">
        <v>1.0</v>
      </c>
      <c r="E260" s="14" t="s">
        <v>1846</v>
      </c>
    </row>
    <row r="261">
      <c r="A261" s="16" t="s">
        <v>2816</v>
      </c>
      <c r="B261" s="16" t="s">
        <v>3053</v>
      </c>
      <c r="C261" s="1" t="s">
        <v>3310</v>
      </c>
      <c r="D261" s="1">
        <v>1.0</v>
      </c>
      <c r="E261" s="14" t="s">
        <v>1862</v>
      </c>
    </row>
    <row r="262">
      <c r="A262" s="16" t="s">
        <v>2743</v>
      </c>
      <c r="B262" s="16" t="s">
        <v>3024</v>
      </c>
      <c r="C262" s="1" t="s">
        <v>3310</v>
      </c>
      <c r="D262" s="1">
        <v>1.0</v>
      </c>
      <c r="E262" s="14" t="s">
        <v>1846</v>
      </c>
    </row>
    <row r="263">
      <c r="A263" s="16" t="s">
        <v>2743</v>
      </c>
      <c r="B263" s="16" t="s">
        <v>3038</v>
      </c>
      <c r="C263" s="1" t="s">
        <v>3310</v>
      </c>
      <c r="D263" s="1">
        <v>1.0</v>
      </c>
      <c r="E263" s="14" t="s">
        <v>1846</v>
      </c>
    </row>
    <row r="264">
      <c r="A264" s="16" t="s">
        <v>2743</v>
      </c>
      <c r="B264" s="16" t="s">
        <v>3028</v>
      </c>
      <c r="C264" s="1" t="s">
        <v>3310</v>
      </c>
      <c r="D264" s="1">
        <v>1.0</v>
      </c>
      <c r="E264" s="14" t="s">
        <v>1853</v>
      </c>
    </row>
    <row r="265">
      <c r="A265" s="16" t="s">
        <v>2743</v>
      </c>
      <c r="B265" s="16" t="s">
        <v>3040</v>
      </c>
      <c r="C265" s="1" t="s">
        <v>3310</v>
      </c>
      <c r="D265" s="1">
        <v>1.0</v>
      </c>
      <c r="E265" s="14" t="s">
        <v>1846</v>
      </c>
    </row>
    <row r="266">
      <c r="A266" s="16" t="s">
        <v>2743</v>
      </c>
      <c r="B266" s="16" t="s">
        <v>3033</v>
      </c>
      <c r="C266" s="1" t="s">
        <v>3310</v>
      </c>
      <c r="D266" s="1">
        <v>1.0</v>
      </c>
      <c r="E266" s="14" t="s">
        <v>1862</v>
      </c>
    </row>
    <row r="267">
      <c r="A267" s="16" t="s">
        <v>2743</v>
      </c>
      <c r="B267" s="16" t="s">
        <v>3045</v>
      </c>
      <c r="C267" s="1" t="s">
        <v>3310</v>
      </c>
      <c r="D267" s="1">
        <v>1.0</v>
      </c>
      <c r="E267" s="14" t="s">
        <v>1853</v>
      </c>
    </row>
    <row r="268">
      <c r="A268" s="16" t="s">
        <v>2746</v>
      </c>
      <c r="B268" s="16" t="s">
        <v>3024</v>
      </c>
      <c r="C268" s="1" t="s">
        <v>3310</v>
      </c>
      <c r="D268" s="1">
        <v>1.0</v>
      </c>
      <c r="E268" s="14" t="s">
        <v>1846</v>
      </c>
    </row>
    <row r="269">
      <c r="A269" s="16" t="s">
        <v>2746</v>
      </c>
      <c r="B269" s="16" t="s">
        <v>3120</v>
      </c>
      <c r="C269" s="1" t="s">
        <v>3310</v>
      </c>
      <c r="D269" s="1">
        <v>1.0</v>
      </c>
      <c r="E269" s="14" t="s">
        <v>1846</v>
      </c>
    </row>
    <row r="270">
      <c r="A270" s="16" t="s">
        <v>2759</v>
      </c>
      <c r="B270" s="16" t="s">
        <v>3069</v>
      </c>
      <c r="C270" s="1" t="s">
        <v>3310</v>
      </c>
      <c r="D270" s="1">
        <v>1.0</v>
      </c>
      <c r="E270" s="14" t="s">
        <v>1846</v>
      </c>
    </row>
    <row r="271">
      <c r="A271" s="16" t="s">
        <v>2759</v>
      </c>
      <c r="B271" s="16" t="s">
        <v>3086</v>
      </c>
      <c r="C271" s="1" t="s">
        <v>3310</v>
      </c>
      <c r="D271" s="1">
        <v>1.0</v>
      </c>
      <c r="E271" s="14" t="s">
        <v>1846</v>
      </c>
    </row>
    <row r="272">
      <c r="A272" s="16" t="s">
        <v>2759</v>
      </c>
      <c r="B272" s="16" t="s">
        <v>3036</v>
      </c>
      <c r="C272" s="1" t="s">
        <v>3310</v>
      </c>
      <c r="D272" s="1">
        <v>1.0</v>
      </c>
      <c r="E272" s="14" t="s">
        <v>1846</v>
      </c>
    </row>
    <row r="273">
      <c r="A273" s="16" t="s">
        <v>2759</v>
      </c>
      <c r="B273" s="16" t="s">
        <v>3097</v>
      </c>
      <c r="C273" s="1" t="s">
        <v>3310</v>
      </c>
      <c r="D273" s="1">
        <v>1.0</v>
      </c>
      <c r="E273" s="14" t="s">
        <v>1846</v>
      </c>
    </row>
    <row r="274">
      <c r="A274" s="16" t="s">
        <v>2759</v>
      </c>
      <c r="B274" s="16" t="s">
        <v>3045</v>
      </c>
      <c r="C274" s="1" t="s">
        <v>3310</v>
      </c>
      <c r="D274" s="1">
        <v>1.0</v>
      </c>
      <c r="E274" s="14" t="s">
        <v>1853</v>
      </c>
    </row>
    <row r="275">
      <c r="A275" s="16" t="s">
        <v>2774</v>
      </c>
      <c r="B275" s="16" t="s">
        <v>3040</v>
      </c>
      <c r="C275" s="1" t="s">
        <v>3310</v>
      </c>
      <c r="D275" s="1">
        <v>1.0</v>
      </c>
      <c r="E275" s="14" t="s">
        <v>1846</v>
      </c>
    </row>
    <row r="276">
      <c r="A276" s="16" t="s">
        <v>2774</v>
      </c>
      <c r="B276" s="16" t="s">
        <v>3045</v>
      </c>
      <c r="C276" s="1" t="s">
        <v>3310</v>
      </c>
      <c r="D276" s="1">
        <v>1.0</v>
      </c>
      <c r="E276" s="14" t="s">
        <v>1853</v>
      </c>
    </row>
    <row r="277">
      <c r="A277" s="16" t="s">
        <v>2797</v>
      </c>
      <c r="B277" s="16" t="s">
        <v>3052</v>
      </c>
      <c r="C277" s="1" t="s">
        <v>3310</v>
      </c>
      <c r="D277" s="1">
        <v>1.0</v>
      </c>
      <c r="E277" s="14" t="s">
        <v>1846</v>
      </c>
    </row>
    <row r="278">
      <c r="A278" s="16" t="s">
        <v>2797</v>
      </c>
      <c r="B278" s="16" t="s">
        <v>3033</v>
      </c>
      <c r="C278" s="1" t="s">
        <v>3310</v>
      </c>
      <c r="D278" s="1">
        <v>1.0</v>
      </c>
      <c r="E278" s="14" t="s">
        <v>1862</v>
      </c>
    </row>
    <row r="279">
      <c r="A279" s="16" t="s">
        <v>2607</v>
      </c>
      <c r="B279" s="16" t="s">
        <v>3029</v>
      </c>
      <c r="C279" s="1" t="s">
        <v>3310</v>
      </c>
      <c r="D279" s="1">
        <v>1.0</v>
      </c>
      <c r="E279" s="14" t="s">
        <v>1853</v>
      </c>
    </row>
    <row r="280">
      <c r="A280" s="16" t="s">
        <v>2607</v>
      </c>
      <c r="B280" s="16" t="s">
        <v>3294</v>
      </c>
      <c r="C280" s="1" t="s">
        <v>3310</v>
      </c>
      <c r="D280" s="1">
        <v>1.0</v>
      </c>
      <c r="E280" s="14" t="s">
        <v>1846</v>
      </c>
    </row>
    <row r="281">
      <c r="A281" s="16" t="s">
        <v>2607</v>
      </c>
      <c r="B281" s="16" t="s">
        <v>3295</v>
      </c>
      <c r="C281" s="1" t="s">
        <v>3310</v>
      </c>
      <c r="D281" s="1">
        <v>1.0</v>
      </c>
      <c r="E281" s="14" t="s">
        <v>1846</v>
      </c>
    </row>
    <row r="282">
      <c r="A282" s="16" t="s">
        <v>2607</v>
      </c>
      <c r="B282" s="16" t="s">
        <v>3124</v>
      </c>
      <c r="C282" s="1" t="s">
        <v>3310</v>
      </c>
      <c r="D282" s="1">
        <v>1.0</v>
      </c>
      <c r="E282" s="14" t="s">
        <v>1853</v>
      </c>
    </row>
    <row r="283">
      <c r="A283" s="16" t="s">
        <v>2607</v>
      </c>
      <c r="B283" s="16" t="s">
        <v>3092</v>
      </c>
      <c r="C283" s="1" t="s">
        <v>3310</v>
      </c>
      <c r="D283" s="1">
        <v>1.0</v>
      </c>
      <c r="E283" s="14" t="s">
        <v>1853</v>
      </c>
    </row>
    <row r="284">
      <c r="A284" s="16" t="s">
        <v>2607</v>
      </c>
      <c r="B284" s="16" t="s">
        <v>3254</v>
      </c>
      <c r="C284" s="1" t="s">
        <v>3310</v>
      </c>
      <c r="D284" s="1">
        <v>1.0</v>
      </c>
      <c r="E284" s="14" t="s">
        <v>1846</v>
      </c>
    </row>
    <row r="285">
      <c r="A285" s="16" t="s">
        <v>2666</v>
      </c>
      <c r="B285" s="16" t="s">
        <v>3028</v>
      </c>
      <c r="C285" s="1" t="s">
        <v>3310</v>
      </c>
      <c r="D285" s="1">
        <v>1.0</v>
      </c>
      <c r="E285" s="14" t="s">
        <v>1853</v>
      </c>
    </row>
    <row r="286">
      <c r="A286" s="16" t="s">
        <v>2666</v>
      </c>
      <c r="B286" s="16" t="s">
        <v>3028</v>
      </c>
      <c r="C286" s="1" t="s">
        <v>3310</v>
      </c>
      <c r="D286" s="1">
        <v>1.0</v>
      </c>
      <c r="E286" s="14" t="s">
        <v>1846</v>
      </c>
    </row>
    <row r="287">
      <c r="A287" s="16" t="s">
        <v>2666</v>
      </c>
      <c r="B287" s="16" t="s">
        <v>3033</v>
      </c>
      <c r="C287" s="1" t="s">
        <v>3310</v>
      </c>
      <c r="D287" s="1">
        <v>1.0</v>
      </c>
      <c r="E287" s="14" t="s">
        <v>1862</v>
      </c>
    </row>
    <row r="288">
      <c r="A288" s="16" t="s">
        <v>2767</v>
      </c>
      <c r="B288" s="16" t="s">
        <v>3028</v>
      </c>
      <c r="C288" s="1" t="s">
        <v>3310</v>
      </c>
      <c r="D288" s="1">
        <v>1.0</v>
      </c>
      <c r="E288" s="14" t="s">
        <v>1846</v>
      </c>
    </row>
    <row r="289">
      <c r="A289" s="16" t="s">
        <v>2767</v>
      </c>
      <c r="B289" s="16" t="s">
        <v>3148</v>
      </c>
      <c r="C289" s="1" t="s">
        <v>3310</v>
      </c>
      <c r="D289" s="1">
        <v>1.0</v>
      </c>
      <c r="E289" s="14" t="s">
        <v>1846</v>
      </c>
    </row>
    <row r="290">
      <c r="A290" s="16" t="s">
        <v>2873</v>
      </c>
      <c r="B290" s="16" t="s">
        <v>3028</v>
      </c>
      <c r="C290" s="1" t="s">
        <v>3310</v>
      </c>
      <c r="D290" s="1">
        <v>1.0</v>
      </c>
      <c r="E290" s="14" t="s">
        <v>1853</v>
      </c>
    </row>
    <row r="291">
      <c r="A291" s="16" t="s">
        <v>2873</v>
      </c>
      <c r="B291" s="16" t="s">
        <v>3033</v>
      </c>
      <c r="C291" s="1" t="s">
        <v>3310</v>
      </c>
      <c r="D291" s="1">
        <v>1.0</v>
      </c>
      <c r="E291" s="14" t="s">
        <v>1862</v>
      </c>
    </row>
    <row r="292">
      <c r="A292" s="16" t="s">
        <v>2873</v>
      </c>
      <c r="B292" s="16" t="s">
        <v>3024</v>
      </c>
      <c r="C292" s="1" t="s">
        <v>3310</v>
      </c>
      <c r="D292" s="1">
        <v>1.0</v>
      </c>
      <c r="E292" s="14" t="s">
        <v>1846</v>
      </c>
    </row>
    <row r="293">
      <c r="A293" s="16" t="s">
        <v>2910</v>
      </c>
      <c r="B293" s="16" t="s">
        <v>3109</v>
      </c>
      <c r="C293" s="1" t="s">
        <v>3310</v>
      </c>
      <c r="D293" s="1">
        <v>1.0</v>
      </c>
      <c r="E293" s="14" t="s">
        <v>1846</v>
      </c>
    </row>
    <row r="294">
      <c r="A294" s="16" t="s">
        <v>2910</v>
      </c>
      <c r="B294" s="16" t="s">
        <v>3277</v>
      </c>
      <c r="C294" s="1" t="s">
        <v>3310</v>
      </c>
      <c r="D294" s="1">
        <v>1.0</v>
      </c>
      <c r="E294" s="14" t="s">
        <v>1846</v>
      </c>
    </row>
    <row r="295">
      <c r="A295" s="16" t="s">
        <v>2768</v>
      </c>
      <c r="B295" s="16" t="s">
        <v>3036</v>
      </c>
      <c r="C295" s="1" t="s">
        <v>3310</v>
      </c>
      <c r="D295" s="1">
        <v>1.0</v>
      </c>
      <c r="E295" s="14" t="s">
        <v>1846</v>
      </c>
    </row>
    <row r="296">
      <c r="A296" s="16" t="s">
        <v>2732</v>
      </c>
      <c r="B296" s="16" t="s">
        <v>3040</v>
      </c>
      <c r="C296" s="1" t="s">
        <v>3310</v>
      </c>
      <c r="D296" s="1">
        <v>1.0</v>
      </c>
      <c r="E296" s="14" t="s">
        <v>1846</v>
      </c>
    </row>
    <row r="297">
      <c r="A297" s="16" t="s">
        <v>2732</v>
      </c>
      <c r="B297" s="16" t="s">
        <v>3041</v>
      </c>
      <c r="C297" s="1" t="s">
        <v>3310</v>
      </c>
      <c r="D297" s="1">
        <v>1.0</v>
      </c>
      <c r="E297" s="14" t="s">
        <v>1862</v>
      </c>
    </row>
    <row r="298">
      <c r="A298" s="16" t="s">
        <v>2733</v>
      </c>
      <c r="B298" s="16" t="s">
        <v>3040</v>
      </c>
      <c r="C298" s="1" t="s">
        <v>3310</v>
      </c>
      <c r="D298" s="1">
        <v>1.0</v>
      </c>
      <c r="E298" s="14" t="s">
        <v>1846</v>
      </c>
    </row>
    <row r="299">
      <c r="A299" s="16" t="s">
        <v>2733</v>
      </c>
      <c r="B299" s="16" t="s">
        <v>3036</v>
      </c>
      <c r="C299" s="1" t="s">
        <v>3310</v>
      </c>
      <c r="D299" s="1">
        <v>1.0</v>
      </c>
      <c r="E299" s="14" t="s">
        <v>1846</v>
      </c>
    </row>
    <row r="300">
      <c r="A300" s="16" t="s">
        <v>2733</v>
      </c>
      <c r="B300" s="16" t="s">
        <v>3028</v>
      </c>
      <c r="C300" s="1" t="s">
        <v>3310</v>
      </c>
      <c r="D300" s="1">
        <v>1.0</v>
      </c>
      <c r="E300" s="14" t="s">
        <v>1853</v>
      </c>
    </row>
    <row r="301">
      <c r="A301" s="16" t="s">
        <v>2927</v>
      </c>
      <c r="B301" s="16" t="s">
        <v>3028</v>
      </c>
      <c r="C301" s="1" t="s">
        <v>3310</v>
      </c>
      <c r="D301" s="1">
        <v>1.0</v>
      </c>
      <c r="E301" s="14" t="s">
        <v>1853</v>
      </c>
    </row>
    <row r="302">
      <c r="A302" s="16" t="s">
        <v>2927</v>
      </c>
      <c r="B302" s="16" t="s">
        <v>3040</v>
      </c>
      <c r="C302" s="1" t="s">
        <v>3310</v>
      </c>
      <c r="D302" s="1">
        <v>1.0</v>
      </c>
      <c r="E302" s="14" t="s">
        <v>1853</v>
      </c>
    </row>
    <row r="303">
      <c r="A303" s="16" t="s">
        <v>2922</v>
      </c>
      <c r="B303" s="16" t="s">
        <v>3213</v>
      </c>
      <c r="C303" s="1" t="s">
        <v>3310</v>
      </c>
      <c r="D303" s="1">
        <v>1.0</v>
      </c>
      <c r="E303" s="14" t="s">
        <v>1846</v>
      </c>
    </row>
    <row r="304">
      <c r="A304" s="16" t="s">
        <v>2922</v>
      </c>
      <c r="B304" s="16" t="s">
        <v>3224</v>
      </c>
      <c r="C304" s="1" t="s">
        <v>3310</v>
      </c>
      <c r="D304" s="1">
        <v>1.0</v>
      </c>
      <c r="E304" s="14" t="s">
        <v>1846</v>
      </c>
    </row>
    <row r="305">
      <c r="A305" s="16" t="s">
        <v>2998</v>
      </c>
      <c r="B305" s="16" t="s">
        <v>3119</v>
      </c>
      <c r="C305" s="1" t="s">
        <v>3310</v>
      </c>
      <c r="D305" s="1">
        <v>1.0</v>
      </c>
      <c r="E305" s="14" t="s">
        <v>1853</v>
      </c>
    </row>
    <row r="306">
      <c r="A306" s="16" t="s">
        <v>2519</v>
      </c>
      <c r="B306" s="16" t="s">
        <v>3233</v>
      </c>
      <c r="C306" s="1" t="s">
        <v>3310</v>
      </c>
      <c r="D306" s="1">
        <v>1.0</v>
      </c>
      <c r="E306" s="14" t="s">
        <v>1846</v>
      </c>
    </row>
    <row r="307">
      <c r="A307" s="16" t="s">
        <v>2684</v>
      </c>
      <c r="B307" s="16" t="s">
        <v>3280</v>
      </c>
      <c r="C307" s="1" t="s">
        <v>3310</v>
      </c>
      <c r="D307" s="1">
        <v>1.0</v>
      </c>
      <c r="E307" s="14" t="s">
        <v>1862</v>
      </c>
    </row>
    <row r="308">
      <c r="A308" s="16" t="s">
        <v>2935</v>
      </c>
      <c r="B308" s="16" t="s">
        <v>3029</v>
      </c>
      <c r="C308" s="1" t="s">
        <v>3310</v>
      </c>
      <c r="D308" s="1">
        <v>1.0</v>
      </c>
      <c r="E308" s="14" t="s">
        <v>1853</v>
      </c>
    </row>
    <row r="309">
      <c r="A309" s="16" t="s">
        <v>2976</v>
      </c>
      <c r="B309" s="16" t="s">
        <v>3288</v>
      </c>
      <c r="C309" s="1" t="s">
        <v>3310</v>
      </c>
      <c r="D309" s="1">
        <v>1.0</v>
      </c>
      <c r="E309" s="14" t="s">
        <v>1862</v>
      </c>
    </row>
    <row r="310">
      <c r="A310" s="16" t="s">
        <v>2947</v>
      </c>
      <c r="B310" s="16" t="s">
        <v>3040</v>
      </c>
      <c r="C310" s="1" t="s">
        <v>3310</v>
      </c>
      <c r="D310" s="1">
        <v>1.0</v>
      </c>
      <c r="E310" s="14" t="s">
        <v>1853</v>
      </c>
    </row>
    <row r="311">
      <c r="A311" s="16" t="s">
        <v>2685</v>
      </c>
      <c r="B311" s="16" t="s">
        <v>3119</v>
      </c>
      <c r="C311" s="1" t="s">
        <v>3310</v>
      </c>
      <c r="D311" s="1">
        <v>1.0</v>
      </c>
      <c r="E311" s="14" t="s">
        <v>1853</v>
      </c>
    </row>
    <row r="312">
      <c r="A312" s="16" t="s">
        <v>2809</v>
      </c>
      <c r="B312" s="16" t="s">
        <v>3174</v>
      </c>
      <c r="C312" s="1" t="s">
        <v>3310</v>
      </c>
      <c r="D312" s="1">
        <v>1.0</v>
      </c>
      <c r="E312" s="14" t="s">
        <v>1846</v>
      </c>
    </row>
    <row r="313">
      <c r="A313" s="16" t="s">
        <v>2809</v>
      </c>
      <c r="B313" s="16" t="s">
        <v>3176</v>
      </c>
      <c r="C313" s="1" t="s">
        <v>3310</v>
      </c>
      <c r="D313" s="1">
        <v>1.0</v>
      </c>
      <c r="E313" s="14" t="s">
        <v>1846</v>
      </c>
    </row>
    <row r="314">
      <c r="A314" s="16" t="s">
        <v>2809</v>
      </c>
      <c r="B314" s="16" t="s">
        <v>3028</v>
      </c>
      <c r="C314" s="1" t="s">
        <v>3310</v>
      </c>
      <c r="D314" s="1">
        <v>1.0</v>
      </c>
      <c r="E314" s="14" t="s">
        <v>1853</v>
      </c>
    </row>
    <row r="315">
      <c r="A315" s="16" t="s">
        <v>2809</v>
      </c>
      <c r="B315" s="16" t="s">
        <v>3045</v>
      </c>
      <c r="C315" s="1" t="s">
        <v>3310</v>
      </c>
      <c r="D315" s="1">
        <v>1.0</v>
      </c>
      <c r="E315" s="14" t="s">
        <v>1853</v>
      </c>
    </row>
    <row r="316">
      <c r="A316" s="16" t="s">
        <v>2727</v>
      </c>
      <c r="B316" s="16" t="s">
        <v>3040</v>
      </c>
      <c r="C316" s="1" t="s">
        <v>3310</v>
      </c>
      <c r="D316" s="1">
        <v>1.0</v>
      </c>
      <c r="E316" s="14" t="s">
        <v>1846</v>
      </c>
    </row>
    <row r="317">
      <c r="A317" s="16" t="s">
        <v>2814</v>
      </c>
      <c r="B317" s="16" t="s">
        <v>3040</v>
      </c>
      <c r="C317" s="1" t="s">
        <v>3310</v>
      </c>
      <c r="D317" s="1">
        <v>1.0</v>
      </c>
      <c r="E317" s="14" t="s">
        <v>1846</v>
      </c>
    </row>
    <row r="318">
      <c r="A318" s="16" t="s">
        <v>2814</v>
      </c>
      <c r="B318" s="16" t="s">
        <v>3029</v>
      </c>
      <c r="C318" s="1" t="s">
        <v>3310</v>
      </c>
      <c r="D318" s="1">
        <v>1.0</v>
      </c>
      <c r="E318" s="14" t="s">
        <v>1853</v>
      </c>
    </row>
    <row r="319">
      <c r="A319" s="16" t="s">
        <v>2805</v>
      </c>
      <c r="B319" s="16" t="s">
        <v>3195</v>
      </c>
      <c r="C319" s="1" t="s">
        <v>3310</v>
      </c>
      <c r="D319" s="1">
        <v>1.0</v>
      </c>
      <c r="E319" s="14" t="s">
        <v>1846</v>
      </c>
    </row>
    <row r="320">
      <c r="A320" s="16" t="s">
        <v>2805</v>
      </c>
      <c r="B320" s="16" t="s">
        <v>3040</v>
      </c>
      <c r="C320" s="1" t="s">
        <v>3310</v>
      </c>
      <c r="D320" s="1">
        <v>1.0</v>
      </c>
      <c r="E320" s="14" t="s">
        <v>1846</v>
      </c>
    </row>
    <row r="321">
      <c r="A321" s="16" t="s">
        <v>2805</v>
      </c>
      <c r="B321" s="16" t="s">
        <v>3212</v>
      </c>
      <c r="C321" s="1" t="s">
        <v>3310</v>
      </c>
      <c r="D321" s="1">
        <v>1.0</v>
      </c>
      <c r="E321" s="14" t="s">
        <v>1846</v>
      </c>
    </row>
    <row r="322">
      <c r="A322" s="16" t="s">
        <v>2560</v>
      </c>
      <c r="B322" s="16" t="s">
        <v>3191</v>
      </c>
      <c r="C322" s="1" t="s">
        <v>3310</v>
      </c>
      <c r="D322" s="1">
        <v>1.0</v>
      </c>
      <c r="E322" s="14" t="s">
        <v>1846</v>
      </c>
    </row>
    <row r="323">
      <c r="A323" s="16" t="s">
        <v>2560</v>
      </c>
      <c r="B323" s="16" t="s">
        <v>3192</v>
      </c>
      <c r="C323" s="1" t="s">
        <v>3310</v>
      </c>
      <c r="D323" s="1">
        <v>1.0</v>
      </c>
      <c r="E323" s="14" t="s">
        <v>1846</v>
      </c>
    </row>
    <row r="324">
      <c r="A324" s="16" t="s">
        <v>2560</v>
      </c>
      <c r="B324" s="16" t="s">
        <v>3193</v>
      </c>
      <c r="C324" s="1" t="s">
        <v>3310</v>
      </c>
      <c r="D324" s="1">
        <v>1.0</v>
      </c>
      <c r="E324" s="14" t="s">
        <v>1846</v>
      </c>
    </row>
    <row r="325">
      <c r="A325" s="16" t="s">
        <v>2560</v>
      </c>
      <c r="B325" s="16" t="s">
        <v>3194</v>
      </c>
      <c r="C325" s="1" t="s">
        <v>3310</v>
      </c>
      <c r="D325" s="1">
        <v>1.0</v>
      </c>
      <c r="E325" s="14" t="s">
        <v>1846</v>
      </c>
    </row>
    <row r="326">
      <c r="A326" s="16" t="s">
        <v>2915</v>
      </c>
      <c r="B326" s="16" t="s">
        <v>3185</v>
      </c>
      <c r="C326" s="1" t="s">
        <v>3310</v>
      </c>
      <c r="D326" s="1">
        <v>1.0</v>
      </c>
      <c r="E326" s="14" t="s">
        <v>1846</v>
      </c>
    </row>
    <row r="327">
      <c r="A327" s="16" t="s">
        <v>2915</v>
      </c>
      <c r="B327" s="16" t="s">
        <v>3059</v>
      </c>
      <c r="C327" s="1" t="s">
        <v>3310</v>
      </c>
      <c r="D327" s="1">
        <v>1.0</v>
      </c>
      <c r="E327" s="14" t="s">
        <v>1862</v>
      </c>
    </row>
    <row r="328">
      <c r="A328" s="16" t="s">
        <v>2915</v>
      </c>
      <c r="B328" s="16" t="s">
        <v>3029</v>
      </c>
      <c r="C328" s="1" t="s">
        <v>3310</v>
      </c>
      <c r="D328" s="1">
        <v>1.0</v>
      </c>
      <c r="E328" s="14" t="s">
        <v>1853</v>
      </c>
    </row>
    <row r="329">
      <c r="A329" s="16" t="s">
        <v>2916</v>
      </c>
      <c r="B329" s="16" t="s">
        <v>3028</v>
      </c>
      <c r="C329" s="1" t="s">
        <v>3310</v>
      </c>
      <c r="D329" s="1">
        <v>1.0</v>
      </c>
      <c r="E329" s="14" t="s">
        <v>1853</v>
      </c>
    </row>
    <row r="330">
      <c r="A330" s="16" t="s">
        <v>2916</v>
      </c>
      <c r="B330" s="16" t="s">
        <v>3078</v>
      </c>
      <c r="C330" s="1" t="s">
        <v>3310</v>
      </c>
      <c r="D330" s="1">
        <v>1.0</v>
      </c>
      <c r="E330" s="14" t="s">
        <v>1862</v>
      </c>
    </row>
    <row r="331">
      <c r="A331" s="16" t="s">
        <v>2916</v>
      </c>
      <c r="B331" s="16" t="s">
        <v>3024</v>
      </c>
      <c r="C331" s="1" t="s">
        <v>3310</v>
      </c>
      <c r="D331" s="1">
        <v>1.0</v>
      </c>
      <c r="E331" s="14" t="s">
        <v>1853</v>
      </c>
    </row>
    <row r="332">
      <c r="A332" s="16" t="s">
        <v>2829</v>
      </c>
      <c r="B332" s="16" t="s">
        <v>3028</v>
      </c>
      <c r="C332" s="1" t="s">
        <v>3310</v>
      </c>
      <c r="D332" s="1">
        <v>1.0</v>
      </c>
      <c r="E332" s="14" t="s">
        <v>1853</v>
      </c>
    </row>
    <row r="333">
      <c r="A333" s="16" t="s">
        <v>2829</v>
      </c>
      <c r="B333" s="16" t="s">
        <v>3045</v>
      </c>
      <c r="C333" s="1" t="s">
        <v>3310</v>
      </c>
      <c r="D333" s="1">
        <v>1.0</v>
      </c>
      <c r="E333" s="14" t="s">
        <v>1853</v>
      </c>
    </row>
    <row r="334">
      <c r="A334" s="16" t="s">
        <v>2588</v>
      </c>
      <c r="B334" s="16" t="s">
        <v>3028</v>
      </c>
      <c r="C334" s="1" t="s">
        <v>3310</v>
      </c>
      <c r="D334" s="1">
        <v>1.0</v>
      </c>
      <c r="E334" s="14" t="s">
        <v>1853</v>
      </c>
    </row>
    <row r="335">
      <c r="A335" s="16" t="s">
        <v>2588</v>
      </c>
      <c r="B335" s="16" t="s">
        <v>3033</v>
      </c>
      <c r="C335" s="1" t="s">
        <v>3310</v>
      </c>
      <c r="D335" s="1">
        <v>1.0</v>
      </c>
      <c r="E335" s="14" t="s">
        <v>1862</v>
      </c>
    </row>
    <row r="336">
      <c r="A336" s="16" t="s">
        <v>2925</v>
      </c>
      <c r="B336" s="16" t="s">
        <v>3028</v>
      </c>
      <c r="C336" s="1" t="s">
        <v>3310</v>
      </c>
      <c r="D336" s="1">
        <v>1.0</v>
      </c>
      <c r="E336" s="14" t="s">
        <v>1853</v>
      </c>
    </row>
    <row r="337">
      <c r="A337" s="16" t="s">
        <v>2872</v>
      </c>
      <c r="B337" s="16" t="s">
        <v>3033</v>
      </c>
      <c r="C337" s="1" t="s">
        <v>3310</v>
      </c>
      <c r="D337" s="1">
        <v>1.0</v>
      </c>
      <c r="E337" s="14" t="s">
        <v>1862</v>
      </c>
    </row>
    <row r="338">
      <c r="A338" s="16" t="s">
        <v>2872</v>
      </c>
      <c r="B338" s="16" t="s">
        <v>3076</v>
      </c>
      <c r="C338" s="1" t="s">
        <v>3310</v>
      </c>
      <c r="D338" s="1">
        <v>1.0</v>
      </c>
      <c r="E338" s="14" t="s">
        <v>1853</v>
      </c>
    </row>
    <row r="339">
      <c r="A339" s="16" t="s">
        <v>2872</v>
      </c>
      <c r="B339" s="16" t="s">
        <v>3039</v>
      </c>
      <c r="C339" s="1" t="s">
        <v>3310</v>
      </c>
      <c r="D339" s="1">
        <v>1.0</v>
      </c>
      <c r="E339" s="14" t="s">
        <v>1853</v>
      </c>
    </row>
    <row r="340">
      <c r="A340" s="16" t="s">
        <v>2872</v>
      </c>
      <c r="B340" s="16" t="s">
        <v>3028</v>
      </c>
      <c r="C340" s="1" t="s">
        <v>3310</v>
      </c>
      <c r="D340" s="1">
        <v>1.0</v>
      </c>
      <c r="E340" s="14" t="s">
        <v>1853</v>
      </c>
    </row>
    <row r="341">
      <c r="A341" s="16" t="s">
        <v>2510</v>
      </c>
      <c r="B341" s="16" t="s">
        <v>3068</v>
      </c>
      <c r="C341" s="1" t="s">
        <v>3310</v>
      </c>
      <c r="D341" s="1">
        <v>1.0</v>
      </c>
      <c r="E341" s="14" t="s">
        <v>1853</v>
      </c>
    </row>
    <row r="342">
      <c r="A342" s="16" t="s">
        <v>2510</v>
      </c>
      <c r="B342" s="16" t="s">
        <v>3039</v>
      </c>
      <c r="C342" s="1" t="s">
        <v>3310</v>
      </c>
      <c r="D342" s="1">
        <v>1.0</v>
      </c>
      <c r="E342" s="14" t="s">
        <v>1853</v>
      </c>
    </row>
    <row r="343">
      <c r="A343" s="16" t="s">
        <v>2561</v>
      </c>
      <c r="B343" s="16" t="s">
        <v>3040</v>
      </c>
      <c r="C343" s="1" t="s">
        <v>3310</v>
      </c>
      <c r="D343" s="1">
        <v>1.0</v>
      </c>
      <c r="E343" s="14" t="s">
        <v>1853</v>
      </c>
    </row>
    <row r="344">
      <c r="A344" s="16" t="s">
        <v>2561</v>
      </c>
      <c r="B344" s="16" t="s">
        <v>3178</v>
      </c>
      <c r="C344" s="1" t="s">
        <v>3310</v>
      </c>
      <c r="D344" s="1">
        <v>1.0</v>
      </c>
      <c r="E344" s="14" t="s">
        <v>1846</v>
      </c>
    </row>
    <row r="345">
      <c r="A345" s="16" t="s">
        <v>2726</v>
      </c>
      <c r="B345" s="16" t="s">
        <v>3028</v>
      </c>
      <c r="C345" s="1" t="s">
        <v>3310</v>
      </c>
      <c r="D345" s="1">
        <v>1.0</v>
      </c>
      <c r="E345" s="14" t="s">
        <v>1846</v>
      </c>
    </row>
    <row r="346">
      <c r="A346" s="16" t="s">
        <v>2726</v>
      </c>
      <c r="B346" s="16" t="s">
        <v>3045</v>
      </c>
      <c r="C346" s="1" t="s">
        <v>3310</v>
      </c>
      <c r="D346" s="1">
        <v>1.0</v>
      </c>
      <c r="E346" s="14" t="s">
        <v>1853</v>
      </c>
    </row>
    <row r="347">
      <c r="A347" s="16" t="s">
        <v>2726</v>
      </c>
      <c r="B347" s="16" t="s">
        <v>3182</v>
      </c>
      <c r="C347" s="1" t="s">
        <v>3310</v>
      </c>
      <c r="D347" s="1">
        <v>1.0</v>
      </c>
      <c r="E347" s="14" t="s">
        <v>1846</v>
      </c>
    </row>
    <row r="348">
      <c r="A348" s="16" t="s">
        <v>2603</v>
      </c>
      <c r="B348" s="16" t="s">
        <v>3040</v>
      </c>
      <c r="C348" s="1" t="s">
        <v>3310</v>
      </c>
      <c r="D348" s="1">
        <v>1.0</v>
      </c>
      <c r="E348" s="14" t="s">
        <v>1853</v>
      </c>
    </row>
    <row r="349">
      <c r="A349" s="16" t="s">
        <v>2603</v>
      </c>
      <c r="B349" s="16" t="s">
        <v>3024</v>
      </c>
      <c r="C349" s="1" t="s">
        <v>3310</v>
      </c>
      <c r="D349" s="1">
        <v>1.0</v>
      </c>
      <c r="E349" s="14" t="s">
        <v>1853</v>
      </c>
    </row>
    <row r="350">
      <c r="A350" s="16" t="s">
        <v>2474</v>
      </c>
      <c r="B350" s="16" t="s">
        <v>3040</v>
      </c>
      <c r="C350" s="1" t="s">
        <v>3310</v>
      </c>
      <c r="D350" s="1">
        <v>1.0</v>
      </c>
      <c r="E350" s="14" t="s">
        <v>1853</v>
      </c>
    </row>
    <row r="351">
      <c r="A351" s="16" t="s">
        <v>2474</v>
      </c>
      <c r="B351" s="16" t="s">
        <v>3029</v>
      </c>
      <c r="C351" s="1" t="s">
        <v>3310</v>
      </c>
      <c r="D351" s="1">
        <v>1.0</v>
      </c>
      <c r="E351" s="14" t="s">
        <v>1853</v>
      </c>
    </row>
    <row r="352">
      <c r="A352" s="16" t="s">
        <v>2864</v>
      </c>
      <c r="B352" s="16" t="s">
        <v>3028</v>
      </c>
      <c r="C352" s="1" t="s">
        <v>3310</v>
      </c>
      <c r="D352" s="1">
        <v>1.0</v>
      </c>
      <c r="E352" s="14" t="s">
        <v>1853</v>
      </c>
    </row>
    <row r="353">
      <c r="A353" s="16" t="s">
        <v>2864</v>
      </c>
      <c r="B353" s="16" t="s">
        <v>3029</v>
      </c>
      <c r="C353" s="1" t="s">
        <v>3310</v>
      </c>
      <c r="D353" s="1">
        <v>1.0</v>
      </c>
      <c r="E353" s="14" t="s">
        <v>1853</v>
      </c>
    </row>
    <row r="354">
      <c r="A354" s="16" t="s">
        <v>2472</v>
      </c>
      <c r="B354" s="16" t="s">
        <v>3028</v>
      </c>
      <c r="C354" s="1" t="s">
        <v>3310</v>
      </c>
      <c r="D354" s="1">
        <v>1.0</v>
      </c>
      <c r="E354" s="14" t="s">
        <v>1853</v>
      </c>
    </row>
    <row r="355">
      <c r="A355" s="16" t="s">
        <v>2658</v>
      </c>
      <c r="B355" s="16" t="s">
        <v>3028</v>
      </c>
      <c r="C355" s="1" t="s">
        <v>3310</v>
      </c>
      <c r="D355" s="1">
        <v>1.0</v>
      </c>
      <c r="E355" s="14" t="s">
        <v>1853</v>
      </c>
    </row>
    <row r="356">
      <c r="A356" s="16" t="s">
        <v>2658</v>
      </c>
      <c r="B356" s="16" t="s">
        <v>3281</v>
      </c>
      <c r="C356" s="1" t="s">
        <v>3310</v>
      </c>
      <c r="D356" s="1">
        <v>1.0</v>
      </c>
      <c r="E356" s="14" t="s">
        <v>1853</v>
      </c>
    </row>
    <row r="357">
      <c r="A357" s="16" t="s">
        <v>2658</v>
      </c>
      <c r="B357" s="16" t="s">
        <v>3281</v>
      </c>
      <c r="C357" s="1" t="s">
        <v>3310</v>
      </c>
      <c r="D357" s="1">
        <v>1.0</v>
      </c>
      <c r="E357" s="14" t="s">
        <v>1862</v>
      </c>
    </row>
    <row r="358">
      <c r="A358" s="16" t="s">
        <v>2658</v>
      </c>
      <c r="B358" s="16" t="s">
        <v>3033</v>
      </c>
      <c r="C358" s="1" t="s">
        <v>3310</v>
      </c>
      <c r="D358" s="1">
        <v>1.0</v>
      </c>
      <c r="E358" s="14" t="s">
        <v>1862</v>
      </c>
    </row>
    <row r="359">
      <c r="A359" s="16" t="s">
        <v>2448</v>
      </c>
      <c r="B359" s="16" t="s">
        <v>3028</v>
      </c>
      <c r="C359" s="1" t="s">
        <v>3310</v>
      </c>
      <c r="D359" s="1">
        <v>1.0</v>
      </c>
      <c r="E359" s="14" t="s">
        <v>1853</v>
      </c>
    </row>
    <row r="360">
      <c r="A360" s="16" t="s">
        <v>2448</v>
      </c>
      <c r="B360" s="16" t="s">
        <v>3029</v>
      </c>
      <c r="C360" s="1" t="s">
        <v>3310</v>
      </c>
      <c r="D360" s="1">
        <v>1.0</v>
      </c>
      <c r="E360" s="14" t="s">
        <v>1853</v>
      </c>
    </row>
    <row r="361">
      <c r="A361" s="16" t="s">
        <v>2881</v>
      </c>
      <c r="B361" s="16" t="s">
        <v>3056</v>
      </c>
      <c r="C361" s="1" t="s">
        <v>3310</v>
      </c>
      <c r="D361" s="1">
        <v>1.0</v>
      </c>
      <c r="E361" s="14" t="s">
        <v>1853</v>
      </c>
    </row>
    <row r="362">
      <c r="A362" s="16" t="s">
        <v>2881</v>
      </c>
      <c r="B362" s="16" t="s">
        <v>3074</v>
      </c>
      <c r="C362" s="1" t="s">
        <v>3310</v>
      </c>
      <c r="D362" s="1">
        <v>1.0</v>
      </c>
      <c r="E362" s="14" t="s">
        <v>1846</v>
      </c>
    </row>
    <row r="363">
      <c r="A363" s="16" t="s">
        <v>2881</v>
      </c>
      <c r="B363" s="16" t="s">
        <v>3028</v>
      </c>
      <c r="C363" s="1" t="s">
        <v>3310</v>
      </c>
      <c r="D363" s="1">
        <v>1.0</v>
      </c>
      <c r="E363" s="14" t="s">
        <v>1846</v>
      </c>
    </row>
    <row r="364">
      <c r="A364" s="16" t="s">
        <v>2662</v>
      </c>
      <c r="B364" s="16" t="s">
        <v>3028</v>
      </c>
      <c r="C364" s="1" t="s">
        <v>3310</v>
      </c>
      <c r="D364" s="1">
        <v>1.0</v>
      </c>
      <c r="E364" s="14" t="s">
        <v>1853</v>
      </c>
    </row>
    <row r="365">
      <c r="A365" s="16" t="s">
        <v>2662</v>
      </c>
      <c r="B365" s="16" t="s">
        <v>3033</v>
      </c>
      <c r="C365" s="1" t="s">
        <v>3310</v>
      </c>
      <c r="D365" s="1">
        <v>1.0</v>
      </c>
      <c r="E365" s="14" t="s">
        <v>1862</v>
      </c>
    </row>
    <row r="366">
      <c r="A366" s="16" t="s">
        <v>2443</v>
      </c>
      <c r="B366" s="16" t="s">
        <v>3028</v>
      </c>
      <c r="C366" s="1" t="s">
        <v>3310</v>
      </c>
      <c r="D366" s="1">
        <v>1.0</v>
      </c>
      <c r="E366" s="14" t="s">
        <v>1853</v>
      </c>
    </row>
    <row r="367">
      <c r="A367" s="16" t="s">
        <v>2665</v>
      </c>
      <c r="B367" s="16" t="s">
        <v>3028</v>
      </c>
      <c r="C367" s="1" t="s">
        <v>3310</v>
      </c>
      <c r="D367" s="1">
        <v>1.0</v>
      </c>
      <c r="E367" s="14" t="s">
        <v>1853</v>
      </c>
    </row>
    <row r="368">
      <c r="A368" s="16" t="s">
        <v>2665</v>
      </c>
      <c r="B368" s="16" t="s">
        <v>3033</v>
      </c>
      <c r="C368" s="1" t="s">
        <v>3310</v>
      </c>
      <c r="D368" s="1">
        <v>1.0</v>
      </c>
      <c r="E368" s="14" t="s">
        <v>1862</v>
      </c>
    </row>
    <row r="369">
      <c r="A369" s="16" t="s">
        <v>2660</v>
      </c>
      <c r="B369" s="16" t="s">
        <v>3028</v>
      </c>
      <c r="C369" s="1" t="s">
        <v>3310</v>
      </c>
      <c r="D369" s="1">
        <v>1.0</v>
      </c>
      <c r="E369" s="14" t="s">
        <v>1853</v>
      </c>
    </row>
    <row r="370">
      <c r="A370" s="16" t="s">
        <v>2874</v>
      </c>
      <c r="B370" s="16" t="s">
        <v>3029</v>
      </c>
      <c r="C370" s="1" t="s">
        <v>3310</v>
      </c>
      <c r="D370" s="1">
        <v>1.0</v>
      </c>
      <c r="E370" s="14" t="s">
        <v>1853</v>
      </c>
    </row>
    <row r="371">
      <c r="A371" s="16" t="s">
        <v>2874</v>
      </c>
      <c r="B371" s="16" t="s">
        <v>3256</v>
      </c>
      <c r="C371" s="1" t="s">
        <v>3310</v>
      </c>
      <c r="D371" s="1">
        <v>1.0</v>
      </c>
      <c r="E371" s="14" t="s">
        <v>1853</v>
      </c>
    </row>
    <row r="372">
      <c r="A372" s="16" t="s">
        <v>2874</v>
      </c>
      <c r="B372" s="16" t="s">
        <v>3028</v>
      </c>
      <c r="C372" s="1" t="s">
        <v>3310</v>
      </c>
      <c r="D372" s="1">
        <v>1.0</v>
      </c>
      <c r="E372" s="14" t="s">
        <v>1853</v>
      </c>
    </row>
    <row r="373">
      <c r="A373" s="16" t="s">
        <v>2542</v>
      </c>
      <c r="B373" s="16" t="s">
        <v>3028</v>
      </c>
      <c r="C373" s="1" t="s">
        <v>3310</v>
      </c>
      <c r="D373" s="1">
        <v>1.0</v>
      </c>
      <c r="E373" s="14" t="s">
        <v>1853</v>
      </c>
    </row>
    <row r="374">
      <c r="A374" s="16" t="s">
        <v>2887</v>
      </c>
      <c r="B374" s="16" t="s">
        <v>3039</v>
      </c>
      <c r="C374" s="1" t="s">
        <v>3310</v>
      </c>
      <c r="D374" s="1">
        <v>1.0</v>
      </c>
      <c r="E374" s="14" t="s">
        <v>1846</v>
      </c>
    </row>
    <row r="375">
      <c r="A375" s="16" t="s">
        <v>2887</v>
      </c>
      <c r="B375" s="16" t="s">
        <v>3045</v>
      </c>
      <c r="C375" s="1" t="s">
        <v>3310</v>
      </c>
      <c r="D375" s="1">
        <v>1.0</v>
      </c>
      <c r="E375" s="14" t="s">
        <v>1846</v>
      </c>
    </row>
    <row r="376">
      <c r="A376" s="16" t="s">
        <v>2663</v>
      </c>
      <c r="B376" s="16" t="s">
        <v>3039</v>
      </c>
      <c r="C376" s="1" t="s">
        <v>3310</v>
      </c>
      <c r="D376" s="1">
        <v>1.0</v>
      </c>
      <c r="E376" s="14" t="s">
        <v>1853</v>
      </c>
    </row>
    <row r="377">
      <c r="A377" s="16" t="s">
        <v>2663</v>
      </c>
      <c r="B377" s="16" t="s">
        <v>3028</v>
      </c>
      <c r="C377" s="1" t="s">
        <v>3310</v>
      </c>
      <c r="D377" s="1">
        <v>1.0</v>
      </c>
      <c r="E377" s="14" t="s">
        <v>1853</v>
      </c>
    </row>
    <row r="378">
      <c r="A378" s="16" t="s">
        <v>2663</v>
      </c>
      <c r="B378" s="16" t="s">
        <v>3033</v>
      </c>
      <c r="C378" s="1" t="s">
        <v>3310</v>
      </c>
      <c r="D378" s="1">
        <v>1.0</v>
      </c>
      <c r="E378" s="14" t="s">
        <v>1862</v>
      </c>
    </row>
    <row r="379">
      <c r="A379" s="16" t="s">
        <v>2486</v>
      </c>
      <c r="B379" s="16" t="s">
        <v>3028</v>
      </c>
      <c r="C379" s="1" t="s">
        <v>3310</v>
      </c>
      <c r="D379" s="1">
        <v>1.0</v>
      </c>
      <c r="E379" s="14" t="s">
        <v>1846</v>
      </c>
    </row>
    <row r="380">
      <c r="A380" s="16" t="s">
        <v>2486</v>
      </c>
      <c r="B380" s="16" t="s">
        <v>3045</v>
      </c>
      <c r="C380" s="1" t="s">
        <v>3310</v>
      </c>
      <c r="D380" s="1">
        <v>1.0</v>
      </c>
      <c r="E380" s="14" t="s">
        <v>1846</v>
      </c>
    </row>
    <row r="381">
      <c r="A381" s="16" t="s">
        <v>2799</v>
      </c>
      <c r="B381" s="16" t="s">
        <v>3234</v>
      </c>
      <c r="C381" s="1" t="s">
        <v>3310</v>
      </c>
      <c r="D381" s="1">
        <v>1.0</v>
      </c>
      <c r="E381" s="14" t="s">
        <v>1853</v>
      </c>
    </row>
    <row r="382">
      <c r="A382" s="16" t="s">
        <v>2928</v>
      </c>
      <c r="B382" s="16" t="s">
        <v>3296</v>
      </c>
      <c r="C382" s="1" t="s">
        <v>3310</v>
      </c>
      <c r="D382" s="1">
        <v>1.0</v>
      </c>
      <c r="E382" s="14" t="s">
        <v>1846</v>
      </c>
    </row>
    <row r="383">
      <c r="A383" s="16" t="s">
        <v>2987</v>
      </c>
      <c r="B383" s="16" t="s">
        <v>3028</v>
      </c>
      <c r="C383" s="1" t="s">
        <v>3310</v>
      </c>
      <c r="D383" s="1">
        <v>1.0</v>
      </c>
      <c r="E383" s="14" t="s">
        <v>1853</v>
      </c>
    </row>
    <row r="384">
      <c r="A384" s="16" t="s">
        <v>2821</v>
      </c>
      <c r="B384" s="16" t="s">
        <v>3028</v>
      </c>
      <c r="C384" s="1" t="s">
        <v>3310</v>
      </c>
      <c r="D384" s="1">
        <v>1.0</v>
      </c>
      <c r="E384" s="14" t="s">
        <v>1846</v>
      </c>
    </row>
    <row r="385">
      <c r="A385" s="16" t="s">
        <v>2821</v>
      </c>
      <c r="B385" s="16" t="s">
        <v>3040</v>
      </c>
      <c r="C385" s="1" t="s">
        <v>3310</v>
      </c>
      <c r="D385" s="1">
        <v>1.0</v>
      </c>
      <c r="E385" s="14" t="s">
        <v>1853</v>
      </c>
    </row>
    <row r="386">
      <c r="A386" s="16" t="s">
        <v>2821</v>
      </c>
      <c r="B386" s="16" t="s">
        <v>3045</v>
      </c>
      <c r="C386" s="1" t="s">
        <v>3310</v>
      </c>
      <c r="D386" s="1">
        <v>1.0</v>
      </c>
      <c r="E386" s="14" t="s">
        <v>1846</v>
      </c>
    </row>
    <row r="387">
      <c r="A387" s="16" t="s">
        <v>2554</v>
      </c>
      <c r="B387" s="16" t="s">
        <v>3177</v>
      </c>
      <c r="C387" s="1" t="s">
        <v>3310</v>
      </c>
      <c r="D387" s="1">
        <v>1.0</v>
      </c>
      <c r="E387" s="14" t="s">
        <v>1853</v>
      </c>
    </row>
    <row r="388">
      <c r="A388" s="16" t="s">
        <v>2642</v>
      </c>
      <c r="B388" s="16" t="s">
        <v>3093</v>
      </c>
      <c r="C388" s="1" t="s">
        <v>3310</v>
      </c>
      <c r="D388" s="1">
        <v>1.0</v>
      </c>
      <c r="E388" s="14" t="s">
        <v>1862</v>
      </c>
    </row>
    <row r="389">
      <c r="A389" s="16" t="s">
        <v>2642</v>
      </c>
      <c r="B389" s="16" t="s">
        <v>3096</v>
      </c>
      <c r="C389" s="1" t="s">
        <v>3310</v>
      </c>
      <c r="D389" s="1">
        <v>1.0</v>
      </c>
      <c r="E389" s="14" t="s">
        <v>1862</v>
      </c>
    </row>
    <row r="390">
      <c r="A390" s="16" t="s">
        <v>2871</v>
      </c>
      <c r="B390" s="16" t="s">
        <v>3036</v>
      </c>
      <c r="C390" s="1" t="s">
        <v>3310</v>
      </c>
      <c r="D390" s="1">
        <v>1.0</v>
      </c>
      <c r="E390" s="14" t="s">
        <v>1853</v>
      </c>
    </row>
    <row r="391">
      <c r="A391" s="16" t="s">
        <v>2555</v>
      </c>
      <c r="B391" s="16" t="s">
        <v>3054</v>
      </c>
      <c r="C391" s="1" t="s">
        <v>3310</v>
      </c>
      <c r="D391" s="1">
        <v>1.0</v>
      </c>
      <c r="E391" s="14" t="s">
        <v>1846</v>
      </c>
    </row>
    <row r="392">
      <c r="A392" s="16" t="s">
        <v>2555</v>
      </c>
      <c r="B392" s="16" t="s">
        <v>3024</v>
      </c>
      <c r="C392" s="1" t="s">
        <v>3310</v>
      </c>
      <c r="D392" s="1">
        <v>1.0</v>
      </c>
      <c r="E392" s="14" t="s">
        <v>1846</v>
      </c>
    </row>
    <row r="393">
      <c r="A393" s="16" t="s">
        <v>2555</v>
      </c>
      <c r="B393" s="16" t="s">
        <v>3028</v>
      </c>
      <c r="C393" s="1" t="s">
        <v>3310</v>
      </c>
      <c r="D393" s="1">
        <v>1.0</v>
      </c>
      <c r="E393" s="14" t="s">
        <v>1846</v>
      </c>
    </row>
    <row r="394">
      <c r="A394" s="16" t="s">
        <v>2555</v>
      </c>
      <c r="B394" s="16" t="s">
        <v>3082</v>
      </c>
      <c r="C394" s="1" t="s">
        <v>3310</v>
      </c>
      <c r="D394" s="1">
        <v>1.0</v>
      </c>
      <c r="E394" s="14" t="s">
        <v>1846</v>
      </c>
    </row>
    <row r="395">
      <c r="A395" s="16" t="s">
        <v>2442</v>
      </c>
      <c r="B395" s="16" t="s">
        <v>3029</v>
      </c>
      <c r="C395" s="1" t="s">
        <v>3310</v>
      </c>
      <c r="D395" s="1">
        <v>1.0</v>
      </c>
      <c r="E395" s="14" t="s">
        <v>1853</v>
      </c>
    </row>
    <row r="396">
      <c r="A396" s="16" t="s">
        <v>2442</v>
      </c>
      <c r="B396" s="16" t="s">
        <v>3100</v>
      </c>
      <c r="C396" s="1" t="s">
        <v>3310</v>
      </c>
      <c r="D396" s="1">
        <v>1.0</v>
      </c>
      <c r="E396" s="14" t="s">
        <v>1862</v>
      </c>
    </row>
    <row r="397">
      <c r="A397" s="16" t="s">
        <v>2442</v>
      </c>
      <c r="B397" s="16" t="s">
        <v>3024</v>
      </c>
      <c r="C397" s="1" t="s">
        <v>3310</v>
      </c>
      <c r="D397" s="1">
        <v>1.0</v>
      </c>
      <c r="E397" s="14" t="s">
        <v>1853</v>
      </c>
    </row>
    <row r="398">
      <c r="A398" s="16" t="s">
        <v>2902</v>
      </c>
      <c r="B398" s="16" t="s">
        <v>3029</v>
      </c>
      <c r="C398" s="1" t="s">
        <v>3310</v>
      </c>
      <c r="D398" s="1">
        <v>1.0</v>
      </c>
      <c r="E398" s="14" t="s">
        <v>1853</v>
      </c>
    </row>
    <row r="399">
      <c r="A399" s="16" t="s">
        <v>2902</v>
      </c>
      <c r="B399" s="16" t="s">
        <v>3028</v>
      </c>
      <c r="C399" s="1" t="s">
        <v>3310</v>
      </c>
      <c r="D399" s="1">
        <v>1.0</v>
      </c>
      <c r="E399" s="14" t="s">
        <v>1853</v>
      </c>
    </row>
    <row r="400">
      <c r="A400" s="16" t="s">
        <v>2902</v>
      </c>
      <c r="B400" s="16" t="s">
        <v>3045</v>
      </c>
      <c r="C400" s="1" t="s">
        <v>3310</v>
      </c>
      <c r="D400" s="1">
        <v>1.0</v>
      </c>
      <c r="E400" s="14" t="s">
        <v>1853</v>
      </c>
    </row>
    <row r="401">
      <c r="A401" s="16" t="s">
        <v>2668</v>
      </c>
      <c r="B401" s="16" t="s">
        <v>3039</v>
      </c>
      <c r="C401" s="1" t="s">
        <v>3310</v>
      </c>
      <c r="D401" s="1">
        <v>1.0</v>
      </c>
      <c r="E401" s="14" t="s">
        <v>1853</v>
      </c>
    </row>
    <row r="402">
      <c r="A402" s="16" t="s">
        <v>2668</v>
      </c>
      <c r="B402" s="16" t="s">
        <v>3028</v>
      </c>
      <c r="C402" s="1" t="s">
        <v>3310</v>
      </c>
      <c r="D402" s="1">
        <v>1.0</v>
      </c>
      <c r="E402" s="14" t="s">
        <v>1853</v>
      </c>
    </row>
    <row r="403">
      <c r="A403" s="16" t="s">
        <v>2668</v>
      </c>
      <c r="B403" s="16" t="s">
        <v>3033</v>
      </c>
      <c r="C403" s="1" t="s">
        <v>3310</v>
      </c>
      <c r="D403" s="1">
        <v>1.0</v>
      </c>
      <c r="E403" s="14" t="s">
        <v>1862</v>
      </c>
    </row>
    <row r="404">
      <c r="A404" s="16" t="s">
        <v>2581</v>
      </c>
      <c r="B404" s="16" t="s">
        <v>3100</v>
      </c>
      <c r="C404" s="1" t="s">
        <v>3310</v>
      </c>
      <c r="D404" s="1">
        <v>1.0</v>
      </c>
      <c r="E404" s="14" t="s">
        <v>1862</v>
      </c>
    </row>
    <row r="405">
      <c r="A405" s="16" t="s">
        <v>2581</v>
      </c>
      <c r="B405" s="16" t="s">
        <v>3053</v>
      </c>
      <c r="C405" s="1" t="s">
        <v>3310</v>
      </c>
      <c r="D405" s="1">
        <v>1.0</v>
      </c>
      <c r="E405" s="14" t="s">
        <v>1862</v>
      </c>
    </row>
    <row r="406">
      <c r="A406" s="16" t="s">
        <v>2581</v>
      </c>
      <c r="B406" s="16" t="s">
        <v>3041</v>
      </c>
      <c r="C406" s="1" t="s">
        <v>3310</v>
      </c>
      <c r="D406" s="1">
        <v>1.0</v>
      </c>
      <c r="E406" s="14" t="s">
        <v>1862</v>
      </c>
    </row>
    <row r="407">
      <c r="A407" s="16" t="s">
        <v>2641</v>
      </c>
      <c r="B407" s="16" t="s">
        <v>3024</v>
      </c>
      <c r="C407" s="1" t="s">
        <v>3310</v>
      </c>
      <c r="D407" s="1">
        <v>1.0</v>
      </c>
      <c r="E407" s="14" t="s">
        <v>1846</v>
      </c>
    </row>
    <row r="408">
      <c r="A408" s="16" t="s">
        <v>2503</v>
      </c>
      <c r="B408" s="16" t="s">
        <v>3053</v>
      </c>
      <c r="C408" s="1" t="s">
        <v>3310</v>
      </c>
      <c r="D408" s="1">
        <v>1.0</v>
      </c>
      <c r="E408" s="14" t="s">
        <v>1862</v>
      </c>
    </row>
    <row r="409">
      <c r="A409" s="16" t="s">
        <v>2769</v>
      </c>
      <c r="B409" s="16" t="s">
        <v>3096</v>
      </c>
      <c r="C409" s="1" t="s">
        <v>3310</v>
      </c>
      <c r="D409" s="1">
        <v>1.0</v>
      </c>
      <c r="E409" s="14" t="s">
        <v>1862</v>
      </c>
    </row>
    <row r="410">
      <c r="A410" s="16" t="s">
        <v>2592</v>
      </c>
      <c r="B410" s="16" t="s">
        <v>3041</v>
      </c>
      <c r="C410" s="1" t="s">
        <v>3310</v>
      </c>
      <c r="D410" s="1">
        <v>1.0</v>
      </c>
      <c r="E410" s="14" t="s">
        <v>1862</v>
      </c>
    </row>
    <row r="411">
      <c r="A411" s="16" t="s">
        <v>2866</v>
      </c>
      <c r="B411" s="16" t="s">
        <v>3041</v>
      </c>
      <c r="C411" s="1" t="s">
        <v>3310</v>
      </c>
      <c r="D411" s="1">
        <v>1.0</v>
      </c>
      <c r="E411" s="14" t="s">
        <v>1862</v>
      </c>
    </row>
    <row r="412">
      <c r="A412" s="16" t="s">
        <v>2625</v>
      </c>
      <c r="B412" s="16" t="s">
        <v>3028</v>
      </c>
      <c r="C412" s="1" t="s">
        <v>3310</v>
      </c>
      <c r="D412" s="1">
        <v>1.0</v>
      </c>
      <c r="E412" s="14" t="s">
        <v>1853</v>
      </c>
    </row>
    <row r="413">
      <c r="A413" s="16" t="s">
        <v>2625</v>
      </c>
      <c r="B413" s="16" t="s">
        <v>3040</v>
      </c>
      <c r="C413" s="1" t="s">
        <v>3310</v>
      </c>
      <c r="D413" s="1">
        <v>1.0</v>
      </c>
      <c r="E413" s="14" t="s">
        <v>1853</v>
      </c>
    </row>
    <row r="414">
      <c r="A414" s="16" t="s">
        <v>2826</v>
      </c>
      <c r="B414" s="16" t="s">
        <v>3190</v>
      </c>
      <c r="C414" s="1" t="s">
        <v>3310</v>
      </c>
      <c r="D414" s="1">
        <v>1.0</v>
      </c>
      <c r="E414" s="14" t="s">
        <v>1846</v>
      </c>
    </row>
    <row r="415">
      <c r="A415" s="16" t="s">
        <v>2709</v>
      </c>
      <c r="B415" s="16" t="s">
        <v>3130</v>
      </c>
      <c r="C415" s="1" t="s">
        <v>3310</v>
      </c>
      <c r="D415" s="1">
        <v>1.0</v>
      </c>
      <c r="E415" s="14" t="s">
        <v>1853</v>
      </c>
    </row>
    <row r="416">
      <c r="A416" s="16" t="s">
        <v>2709</v>
      </c>
      <c r="B416" s="16" t="s">
        <v>3130</v>
      </c>
      <c r="C416" s="1" t="s">
        <v>3310</v>
      </c>
      <c r="D416" s="1">
        <v>1.0</v>
      </c>
      <c r="E416" s="14" t="s">
        <v>1846</v>
      </c>
    </row>
    <row r="417">
      <c r="A417" s="16" t="s">
        <v>2709</v>
      </c>
      <c r="B417" s="16" t="s">
        <v>3277</v>
      </c>
      <c r="C417" s="1" t="s">
        <v>3310</v>
      </c>
      <c r="D417" s="1">
        <v>1.0</v>
      </c>
      <c r="E417" s="14" t="s">
        <v>1846</v>
      </c>
    </row>
    <row r="418">
      <c r="A418" s="16" t="s">
        <v>2709</v>
      </c>
      <c r="B418" s="16" t="s">
        <v>3278</v>
      </c>
      <c r="C418" s="1" t="s">
        <v>3310</v>
      </c>
      <c r="D418" s="1">
        <v>1.0</v>
      </c>
      <c r="E418" s="14" t="s">
        <v>1846</v>
      </c>
    </row>
    <row r="419">
      <c r="A419" s="16" t="s">
        <v>2721</v>
      </c>
      <c r="B419" s="16" t="s">
        <v>3290</v>
      </c>
      <c r="C419" s="1" t="s">
        <v>3310</v>
      </c>
      <c r="D419" s="1">
        <v>1.0</v>
      </c>
      <c r="E419" s="14" t="s">
        <v>1862</v>
      </c>
    </row>
    <row r="420">
      <c r="A420" s="16" t="s">
        <v>2734</v>
      </c>
      <c r="B420" s="16" t="s">
        <v>3253</v>
      </c>
      <c r="C420" s="1" t="s">
        <v>3310</v>
      </c>
      <c r="D420" s="1">
        <v>1.0</v>
      </c>
      <c r="E420" s="14" t="s">
        <v>1846</v>
      </c>
    </row>
    <row r="421">
      <c r="A421" s="16" t="s">
        <v>2661</v>
      </c>
      <c r="B421" s="16" t="s">
        <v>3206</v>
      </c>
      <c r="C421" s="1" t="s">
        <v>3310</v>
      </c>
      <c r="D421" s="1">
        <v>1.0</v>
      </c>
      <c r="E421" s="14" t="s">
        <v>1853</v>
      </c>
    </row>
    <row r="422">
      <c r="A422" s="16" t="s">
        <v>2671</v>
      </c>
      <c r="B422" s="16" t="s">
        <v>3122</v>
      </c>
      <c r="C422" s="1" t="s">
        <v>3310</v>
      </c>
      <c r="D422" s="1">
        <v>1.0</v>
      </c>
      <c r="E422" s="14" t="s">
        <v>1853</v>
      </c>
    </row>
    <row r="423">
      <c r="A423" s="16" t="s">
        <v>2610</v>
      </c>
      <c r="B423" s="16" t="s">
        <v>3303</v>
      </c>
      <c r="C423" s="1" t="s">
        <v>3310</v>
      </c>
      <c r="D423" s="1">
        <v>1.0</v>
      </c>
      <c r="E423" s="14" t="s">
        <v>1853</v>
      </c>
    </row>
    <row r="424">
      <c r="A424" s="16" t="s">
        <v>2610</v>
      </c>
      <c r="B424" s="16" t="s">
        <v>3043</v>
      </c>
      <c r="C424" s="1" t="s">
        <v>3310</v>
      </c>
      <c r="D424" s="1">
        <v>1.0</v>
      </c>
      <c r="E424" s="14" t="s">
        <v>1853</v>
      </c>
    </row>
    <row r="425">
      <c r="A425" s="16" t="s">
        <v>2710</v>
      </c>
      <c r="B425" s="16" t="s">
        <v>3040</v>
      </c>
      <c r="C425" s="1" t="s">
        <v>3310</v>
      </c>
      <c r="D425" s="1">
        <v>1.0</v>
      </c>
      <c r="E425" s="14" t="s">
        <v>1853</v>
      </c>
    </row>
    <row r="426">
      <c r="A426" s="16" t="s">
        <v>2511</v>
      </c>
      <c r="B426" s="16" t="s">
        <v>3257</v>
      </c>
      <c r="C426" s="1" t="s">
        <v>3310</v>
      </c>
      <c r="D426" s="1">
        <v>1.0</v>
      </c>
      <c r="E426" s="14" t="s">
        <v>1853</v>
      </c>
    </row>
    <row r="427">
      <c r="A427" s="16" t="s">
        <v>2511</v>
      </c>
      <c r="B427" s="16" t="s">
        <v>3040</v>
      </c>
      <c r="C427" s="1" t="s">
        <v>3310</v>
      </c>
      <c r="D427" s="1">
        <v>1.0</v>
      </c>
      <c r="E427" s="14" t="s">
        <v>1853</v>
      </c>
    </row>
    <row r="428">
      <c r="A428" s="16" t="s">
        <v>2511</v>
      </c>
      <c r="B428" s="16" t="s">
        <v>3282</v>
      </c>
      <c r="C428" s="1" t="s">
        <v>3310</v>
      </c>
      <c r="D428" s="1">
        <v>1.0</v>
      </c>
      <c r="E428" s="14" t="s">
        <v>1846</v>
      </c>
    </row>
    <row r="429">
      <c r="A429" s="16" t="s">
        <v>2511</v>
      </c>
      <c r="B429" s="16" t="s">
        <v>3285</v>
      </c>
      <c r="C429" s="1" t="s">
        <v>3310</v>
      </c>
      <c r="D429" s="1">
        <v>1.0</v>
      </c>
      <c r="E429" s="14" t="s">
        <v>1846</v>
      </c>
    </row>
    <row r="430">
      <c r="A430" s="16" t="s">
        <v>2451</v>
      </c>
      <c r="B430" s="16" t="s">
        <v>3201</v>
      </c>
      <c r="C430" s="1" t="s">
        <v>3310</v>
      </c>
      <c r="D430" s="1">
        <v>1.0</v>
      </c>
      <c r="E430" s="14" t="s">
        <v>1853</v>
      </c>
    </row>
    <row r="431">
      <c r="A431" s="16" t="s">
        <v>2451</v>
      </c>
      <c r="B431" s="16" t="s">
        <v>3204</v>
      </c>
      <c r="C431" s="1" t="s">
        <v>3310</v>
      </c>
      <c r="D431" s="1">
        <v>1.0</v>
      </c>
      <c r="E431" s="14" t="s">
        <v>1846</v>
      </c>
    </row>
    <row r="432">
      <c r="A432" s="16" t="s">
        <v>2451</v>
      </c>
      <c r="B432" s="16" t="s">
        <v>3190</v>
      </c>
      <c r="C432" s="1" t="s">
        <v>3310</v>
      </c>
      <c r="D432" s="1">
        <v>1.0</v>
      </c>
      <c r="E432" s="14" t="s">
        <v>1853</v>
      </c>
    </row>
    <row r="433">
      <c r="A433" s="16" t="s">
        <v>2645</v>
      </c>
      <c r="B433" s="16" t="s">
        <v>3095</v>
      </c>
      <c r="C433" s="1" t="s">
        <v>3310</v>
      </c>
      <c r="D433" s="1">
        <v>1.0</v>
      </c>
      <c r="E433" s="14" t="s">
        <v>1846</v>
      </c>
    </row>
    <row r="434">
      <c r="A434" s="16" t="s">
        <v>2524</v>
      </c>
      <c r="B434" s="16" t="s">
        <v>3028</v>
      </c>
      <c r="C434" s="1" t="s">
        <v>3310</v>
      </c>
      <c r="D434" s="1">
        <v>1.0</v>
      </c>
      <c r="E434" s="14" t="s">
        <v>1853</v>
      </c>
    </row>
    <row r="435">
      <c r="A435" s="16" t="s">
        <v>2524</v>
      </c>
      <c r="B435" s="16" t="s">
        <v>3040</v>
      </c>
      <c r="C435" s="1" t="s">
        <v>3310</v>
      </c>
      <c r="D435" s="1">
        <v>1.0</v>
      </c>
      <c r="E435" s="14" t="s">
        <v>1853</v>
      </c>
    </row>
    <row r="436">
      <c r="A436" s="16" t="s">
        <v>2473</v>
      </c>
      <c r="B436" s="16" t="s">
        <v>3247</v>
      </c>
      <c r="C436" s="1" t="s">
        <v>3310</v>
      </c>
      <c r="D436" s="1">
        <v>1.0</v>
      </c>
      <c r="E436" s="14" t="s">
        <v>1846</v>
      </c>
    </row>
    <row r="437">
      <c r="A437" s="16" t="s">
        <v>2770</v>
      </c>
      <c r="B437" s="16" t="s">
        <v>3120</v>
      </c>
      <c r="C437" s="1" t="s">
        <v>3310</v>
      </c>
      <c r="D437" s="1">
        <v>1.0</v>
      </c>
      <c r="E437" s="14" t="s">
        <v>1846</v>
      </c>
    </row>
    <row r="438">
      <c r="A438" s="16" t="s">
        <v>2770</v>
      </c>
      <c r="B438" s="16" t="s">
        <v>3275</v>
      </c>
      <c r="C438" s="1" t="s">
        <v>3310</v>
      </c>
      <c r="D438" s="1">
        <v>1.0</v>
      </c>
      <c r="E438" s="14" t="s">
        <v>1846</v>
      </c>
    </row>
    <row r="439">
      <c r="A439" s="16" t="s">
        <v>2770</v>
      </c>
      <c r="B439" s="16" t="s">
        <v>3086</v>
      </c>
      <c r="C439" s="1" t="s">
        <v>3310</v>
      </c>
      <c r="D439" s="1">
        <v>1.0</v>
      </c>
      <c r="E439" s="14" t="s">
        <v>1846</v>
      </c>
    </row>
    <row r="440">
      <c r="A440" s="16" t="s">
        <v>2680</v>
      </c>
      <c r="B440" s="16" t="s">
        <v>3038</v>
      </c>
      <c r="C440" s="1" t="s">
        <v>3310</v>
      </c>
      <c r="D440" s="1">
        <v>1.0</v>
      </c>
      <c r="E440" s="14" t="s">
        <v>1846</v>
      </c>
    </row>
    <row r="441">
      <c r="A441" s="16" t="s">
        <v>2605</v>
      </c>
      <c r="B441" s="16" t="s">
        <v>3028</v>
      </c>
      <c r="C441" s="1" t="s">
        <v>3310</v>
      </c>
      <c r="D441" s="1">
        <v>1.0</v>
      </c>
      <c r="E441" s="14" t="s">
        <v>1853</v>
      </c>
    </row>
    <row r="442">
      <c r="A442" s="16" t="s">
        <v>2605</v>
      </c>
      <c r="B442" s="16" t="s">
        <v>3206</v>
      </c>
      <c r="C442" s="1" t="s">
        <v>3310</v>
      </c>
      <c r="D442" s="1">
        <v>1.0</v>
      </c>
      <c r="E442" s="14" t="s">
        <v>1853</v>
      </c>
    </row>
    <row r="443">
      <c r="A443" s="16" t="s">
        <v>2818</v>
      </c>
      <c r="B443" s="16" t="s">
        <v>3261</v>
      </c>
      <c r="C443" s="1" t="s">
        <v>3310</v>
      </c>
      <c r="D443" s="1">
        <v>1.0</v>
      </c>
      <c r="E443" s="14" t="s">
        <v>1846</v>
      </c>
    </row>
    <row r="444">
      <c r="A444" s="16" t="s">
        <v>2818</v>
      </c>
      <c r="B444" s="16" t="s">
        <v>3050</v>
      </c>
      <c r="C444" s="1" t="s">
        <v>3310</v>
      </c>
      <c r="D444" s="1">
        <v>1.0</v>
      </c>
      <c r="E444" s="14" t="s">
        <v>1846</v>
      </c>
    </row>
    <row r="445">
      <c r="A445" s="16" t="s">
        <v>2447</v>
      </c>
      <c r="B445" s="16" t="s">
        <v>3029</v>
      </c>
      <c r="C445" s="1" t="s">
        <v>3310</v>
      </c>
      <c r="D445" s="1">
        <v>1.0</v>
      </c>
      <c r="E445" s="14" t="s">
        <v>1853</v>
      </c>
    </row>
    <row r="446">
      <c r="A446" s="16" t="s">
        <v>2446</v>
      </c>
      <c r="B446" s="16" t="s">
        <v>3029</v>
      </c>
      <c r="C446" s="1" t="s">
        <v>3310</v>
      </c>
      <c r="D446" s="1">
        <v>1.0</v>
      </c>
      <c r="E446" s="14" t="s">
        <v>1853</v>
      </c>
    </row>
    <row r="447">
      <c r="A447" s="16" t="s">
        <v>2446</v>
      </c>
      <c r="B447" s="16" t="s">
        <v>3068</v>
      </c>
      <c r="C447" s="1" t="s">
        <v>3310</v>
      </c>
      <c r="D447" s="1">
        <v>1.0</v>
      </c>
      <c r="E447" s="14" t="s">
        <v>1853</v>
      </c>
    </row>
    <row r="448">
      <c r="A448" s="16" t="s">
        <v>2696</v>
      </c>
      <c r="B448" s="16" t="s">
        <v>3119</v>
      </c>
      <c r="C448" s="1" t="s">
        <v>3310</v>
      </c>
      <c r="D448" s="1">
        <v>1.0</v>
      </c>
      <c r="E448" s="14" t="s">
        <v>1853</v>
      </c>
    </row>
    <row r="449">
      <c r="A449" s="16" t="s">
        <v>2619</v>
      </c>
      <c r="B449" s="16" t="s">
        <v>3028</v>
      </c>
      <c r="C449" s="1" t="s">
        <v>3310</v>
      </c>
      <c r="D449" s="1">
        <v>1.0</v>
      </c>
      <c r="E449" s="14" t="s">
        <v>1853</v>
      </c>
    </row>
    <row r="450">
      <c r="A450" s="16" t="s">
        <v>2621</v>
      </c>
      <c r="B450" s="16" t="s">
        <v>3033</v>
      </c>
      <c r="C450" s="1" t="s">
        <v>3310</v>
      </c>
      <c r="D450" s="1">
        <v>1.0</v>
      </c>
      <c r="E450" s="14" t="s">
        <v>1862</v>
      </c>
    </row>
    <row r="451">
      <c r="A451" s="16" t="s">
        <v>2735</v>
      </c>
      <c r="B451" s="16" t="s">
        <v>3076</v>
      </c>
      <c r="C451" s="1" t="s">
        <v>3310</v>
      </c>
      <c r="D451" s="1">
        <v>1.0</v>
      </c>
      <c r="E451" s="14" t="s">
        <v>1853</v>
      </c>
    </row>
    <row r="452">
      <c r="A452" s="16" t="s">
        <v>2435</v>
      </c>
      <c r="B452" s="16" t="s">
        <v>3271</v>
      </c>
      <c r="C452" s="1" t="s">
        <v>3310</v>
      </c>
      <c r="D452" s="1">
        <v>1.0</v>
      </c>
      <c r="E452" s="14" t="s">
        <v>1853</v>
      </c>
    </row>
    <row r="453">
      <c r="A453" s="16" t="s">
        <v>2435</v>
      </c>
      <c r="B453" s="16" t="s">
        <v>3273</v>
      </c>
      <c r="C453" s="1" t="s">
        <v>3310</v>
      </c>
      <c r="D453" s="1">
        <v>1.0</v>
      </c>
      <c r="E453" s="14" t="s">
        <v>1853</v>
      </c>
    </row>
    <row r="454">
      <c r="A454" s="16" t="s">
        <v>2435</v>
      </c>
      <c r="B454" s="16" t="s">
        <v>3028</v>
      </c>
      <c r="C454" s="1" t="s">
        <v>3310</v>
      </c>
      <c r="D454" s="1">
        <v>1.0</v>
      </c>
      <c r="E454" s="14" t="s">
        <v>1853</v>
      </c>
    </row>
    <row r="455">
      <c r="A455" s="16" t="s">
        <v>2525</v>
      </c>
      <c r="B455" s="16" t="s">
        <v>3287</v>
      </c>
      <c r="C455" s="1" t="s">
        <v>3310</v>
      </c>
      <c r="D455" s="1">
        <v>1.0</v>
      </c>
      <c r="E455" s="14" t="s">
        <v>1846</v>
      </c>
    </row>
    <row r="456">
      <c r="A456" s="16" t="s">
        <v>2445</v>
      </c>
      <c r="B456" s="16" t="s">
        <v>3028</v>
      </c>
      <c r="C456" s="1" t="s">
        <v>3310</v>
      </c>
      <c r="D456" s="1">
        <v>1.0</v>
      </c>
      <c r="E456" s="14" t="s">
        <v>1853</v>
      </c>
    </row>
    <row r="457">
      <c r="A457" s="16" t="s">
        <v>2445</v>
      </c>
      <c r="B457" s="16" t="s">
        <v>3033</v>
      </c>
      <c r="C457" s="1" t="s">
        <v>3310</v>
      </c>
      <c r="D457" s="1">
        <v>1.0</v>
      </c>
      <c r="E457" s="14" t="s">
        <v>1862</v>
      </c>
    </row>
    <row r="458">
      <c r="A458" s="16" t="s">
        <v>2968</v>
      </c>
      <c r="B458" s="16" t="s">
        <v>3028</v>
      </c>
      <c r="C458" s="1" t="s">
        <v>3310</v>
      </c>
      <c r="D458" s="1">
        <v>1.0</v>
      </c>
      <c r="E458" s="14" t="s">
        <v>1853</v>
      </c>
    </row>
    <row r="459">
      <c r="A459" s="16" t="s">
        <v>2838</v>
      </c>
      <c r="B459" s="16" t="s">
        <v>3029</v>
      </c>
      <c r="C459" s="1" t="s">
        <v>3310</v>
      </c>
      <c r="D459" s="1">
        <v>1.0</v>
      </c>
      <c r="E459" s="14" t="s">
        <v>1853</v>
      </c>
    </row>
    <row r="460">
      <c r="A460" s="16" t="s">
        <v>2586</v>
      </c>
      <c r="B460" s="16" t="s">
        <v>3183</v>
      </c>
      <c r="C460" s="1" t="s">
        <v>3310</v>
      </c>
      <c r="D460" s="1">
        <v>1.0</v>
      </c>
      <c r="E460" s="14" t="s">
        <v>1853</v>
      </c>
    </row>
    <row r="461">
      <c r="A461" s="16" t="s">
        <v>2586</v>
      </c>
      <c r="B461" s="16" t="s">
        <v>3184</v>
      </c>
      <c r="C461" s="1" t="s">
        <v>3310</v>
      </c>
      <c r="D461" s="1">
        <v>1.0</v>
      </c>
      <c r="E461" s="14" t="s">
        <v>1853</v>
      </c>
    </row>
    <row r="462">
      <c r="A462" s="16" t="s">
        <v>2586</v>
      </c>
      <c r="B462" s="16" t="s">
        <v>3149</v>
      </c>
      <c r="C462" s="1" t="s">
        <v>3310</v>
      </c>
      <c r="D462" s="1">
        <v>1.0</v>
      </c>
      <c r="E462" s="14" t="s">
        <v>1853</v>
      </c>
    </row>
    <row r="463">
      <c r="A463" s="16" t="s">
        <v>2678</v>
      </c>
      <c r="B463" s="16" t="s">
        <v>3181</v>
      </c>
      <c r="C463" s="1" t="s">
        <v>3310</v>
      </c>
      <c r="D463" s="1">
        <v>1.0</v>
      </c>
      <c r="E463" s="14" t="s">
        <v>1846</v>
      </c>
    </row>
    <row r="464">
      <c r="A464" s="16" t="s">
        <v>2905</v>
      </c>
      <c r="B464" s="16" t="s">
        <v>3059</v>
      </c>
      <c r="C464" s="1" t="s">
        <v>3310</v>
      </c>
      <c r="D464" s="1">
        <v>1.0</v>
      </c>
      <c r="E464" s="14" t="s">
        <v>1862</v>
      </c>
    </row>
    <row r="465">
      <c r="A465" s="16" t="s">
        <v>2905</v>
      </c>
      <c r="B465" s="16" t="s">
        <v>3075</v>
      </c>
      <c r="C465" s="1" t="s">
        <v>3310</v>
      </c>
      <c r="D465" s="1">
        <v>1.0</v>
      </c>
      <c r="E465" s="14" t="s">
        <v>1862</v>
      </c>
    </row>
    <row r="466">
      <c r="A466" s="16" t="s">
        <v>2905</v>
      </c>
      <c r="B466" s="16" t="s">
        <v>3101</v>
      </c>
      <c r="C466" s="1" t="s">
        <v>3310</v>
      </c>
      <c r="D466" s="1">
        <v>1.0</v>
      </c>
      <c r="E466" s="14" t="s">
        <v>1862</v>
      </c>
    </row>
    <row r="467">
      <c r="A467" s="16" t="s">
        <v>2905</v>
      </c>
      <c r="B467" s="16" t="s">
        <v>3103</v>
      </c>
      <c r="C467" s="1" t="s">
        <v>3310</v>
      </c>
      <c r="D467" s="1">
        <v>1.0</v>
      </c>
      <c r="E467" s="14" t="s">
        <v>1862</v>
      </c>
    </row>
    <row r="468">
      <c r="A468" s="16" t="s">
        <v>2839</v>
      </c>
      <c r="B468" s="16" t="s">
        <v>3055</v>
      </c>
      <c r="C468" s="1" t="s">
        <v>3310</v>
      </c>
      <c r="D468" s="1">
        <v>1.0</v>
      </c>
      <c r="E468" s="14" t="s">
        <v>1862</v>
      </c>
    </row>
    <row r="469">
      <c r="A469" s="16" t="s">
        <v>2839</v>
      </c>
      <c r="B469" s="16" t="s">
        <v>3135</v>
      </c>
      <c r="C469" s="1" t="s">
        <v>3310</v>
      </c>
      <c r="D469" s="1">
        <v>1.0</v>
      </c>
      <c r="E469" s="14" t="s">
        <v>1862</v>
      </c>
    </row>
    <row r="470">
      <c r="A470" s="16" t="s">
        <v>2839</v>
      </c>
      <c r="B470" s="16" t="s">
        <v>3203</v>
      </c>
      <c r="C470" s="1" t="s">
        <v>3310</v>
      </c>
      <c r="D470" s="1">
        <v>1.0</v>
      </c>
      <c r="E470" s="14" t="s">
        <v>1862</v>
      </c>
    </row>
    <row r="471">
      <c r="A471" s="16" t="s">
        <v>2757</v>
      </c>
      <c r="B471" s="16" t="s">
        <v>3028</v>
      </c>
      <c r="C471" s="1" t="s">
        <v>3310</v>
      </c>
      <c r="D471" s="1">
        <v>1.0</v>
      </c>
      <c r="E471" s="14" t="s">
        <v>1853</v>
      </c>
    </row>
    <row r="472">
      <c r="A472" s="16" t="s">
        <v>2757</v>
      </c>
      <c r="B472" s="16" t="s">
        <v>3040</v>
      </c>
      <c r="C472" s="1" t="s">
        <v>3310</v>
      </c>
      <c r="D472" s="1">
        <v>1.0</v>
      </c>
      <c r="E472" s="14" t="s">
        <v>1846</v>
      </c>
    </row>
    <row r="473">
      <c r="A473" s="16" t="s">
        <v>2461</v>
      </c>
      <c r="B473" s="16" t="s">
        <v>3029</v>
      </c>
      <c r="C473" s="1" t="s">
        <v>3310</v>
      </c>
      <c r="D473" s="1">
        <v>1.0</v>
      </c>
      <c r="E473" s="14" t="s">
        <v>1846</v>
      </c>
    </row>
    <row r="474">
      <c r="A474" s="16" t="s">
        <v>2461</v>
      </c>
      <c r="B474" s="16" t="s">
        <v>3108</v>
      </c>
      <c r="C474" s="1" t="s">
        <v>3310</v>
      </c>
      <c r="D474" s="1">
        <v>1.0</v>
      </c>
      <c r="E474" s="14" t="s">
        <v>1846</v>
      </c>
    </row>
    <row r="475">
      <c r="A475" s="16" t="s">
        <v>2461</v>
      </c>
      <c r="B475" s="16" t="s">
        <v>3059</v>
      </c>
      <c r="C475" s="1" t="s">
        <v>3310</v>
      </c>
      <c r="D475" s="1">
        <v>1.0</v>
      </c>
      <c r="E475" s="14" t="s">
        <v>1862</v>
      </c>
    </row>
    <row r="476">
      <c r="A476" s="16" t="s">
        <v>2558</v>
      </c>
      <c r="B476" s="16" t="s">
        <v>3121</v>
      </c>
      <c r="C476" s="1" t="s">
        <v>3310</v>
      </c>
      <c r="D476" s="1">
        <v>1.0</v>
      </c>
      <c r="E476" s="14" t="s">
        <v>1862</v>
      </c>
    </row>
    <row r="477">
      <c r="A477" s="16" t="s">
        <v>2558</v>
      </c>
      <c r="B477" s="16" t="s">
        <v>3138</v>
      </c>
      <c r="C477" s="1" t="s">
        <v>3310</v>
      </c>
      <c r="D477" s="1">
        <v>1.0</v>
      </c>
      <c r="E477" s="14" t="s">
        <v>1846</v>
      </c>
    </row>
    <row r="478">
      <c r="A478" s="16" t="s">
        <v>2558</v>
      </c>
      <c r="B478" s="16" t="s">
        <v>3028</v>
      </c>
      <c r="C478" s="1" t="s">
        <v>3310</v>
      </c>
      <c r="D478" s="1">
        <v>1.0</v>
      </c>
      <c r="E478" s="14" t="s">
        <v>1853</v>
      </c>
    </row>
    <row r="479">
      <c r="A479" s="16" t="s">
        <v>2558</v>
      </c>
      <c r="B479" s="16" t="s">
        <v>3028</v>
      </c>
      <c r="C479" s="1" t="s">
        <v>3310</v>
      </c>
      <c r="D479" s="1">
        <v>1.0</v>
      </c>
      <c r="E479" s="14" t="s">
        <v>1846</v>
      </c>
    </row>
    <row r="480">
      <c r="A480" s="16" t="s">
        <v>2513</v>
      </c>
      <c r="B480" s="16" t="s">
        <v>3146</v>
      </c>
      <c r="C480" s="1" t="s">
        <v>3310</v>
      </c>
      <c r="D480" s="1">
        <v>1.0</v>
      </c>
      <c r="E480" s="14" t="s">
        <v>1853</v>
      </c>
    </row>
    <row r="481">
      <c r="A481" s="16" t="s">
        <v>2513</v>
      </c>
      <c r="B481" s="16" t="s">
        <v>3109</v>
      </c>
      <c r="C481" s="1" t="s">
        <v>3310</v>
      </c>
      <c r="D481" s="1">
        <v>1.0</v>
      </c>
      <c r="E481" s="14" t="s">
        <v>1846</v>
      </c>
    </row>
    <row r="482">
      <c r="A482" s="16" t="s">
        <v>2413</v>
      </c>
      <c r="B482" s="16" t="s">
        <v>3059</v>
      </c>
      <c r="C482" s="1" t="s">
        <v>3310</v>
      </c>
      <c r="D482" s="1">
        <v>1.0</v>
      </c>
      <c r="E482" s="14" t="s">
        <v>1862</v>
      </c>
    </row>
    <row r="483">
      <c r="A483" s="16" t="s">
        <v>2413</v>
      </c>
      <c r="B483" s="16" t="s">
        <v>3029</v>
      </c>
      <c r="C483" s="1" t="s">
        <v>3310</v>
      </c>
      <c r="D483" s="1">
        <v>1.0</v>
      </c>
      <c r="E483" s="14" t="s">
        <v>1846</v>
      </c>
    </row>
    <row r="484">
      <c r="A484" s="16" t="s">
        <v>2413</v>
      </c>
      <c r="B484" s="16" t="s">
        <v>3046</v>
      </c>
      <c r="C484" s="1" t="s">
        <v>3310</v>
      </c>
      <c r="D484" s="1">
        <v>1.0</v>
      </c>
      <c r="E484" s="14" t="s">
        <v>1853</v>
      </c>
    </row>
    <row r="485">
      <c r="A485" s="16" t="s">
        <v>2413</v>
      </c>
      <c r="B485" s="16" t="s">
        <v>3225</v>
      </c>
      <c r="C485" s="1" t="s">
        <v>3310</v>
      </c>
      <c r="D485" s="1">
        <v>1.0</v>
      </c>
      <c r="E485" s="14" t="s">
        <v>1846</v>
      </c>
    </row>
    <row r="486">
      <c r="A486" s="16" t="s">
        <v>2413</v>
      </c>
      <c r="B486" s="16" t="s">
        <v>3071</v>
      </c>
      <c r="C486" s="1" t="s">
        <v>3310</v>
      </c>
      <c r="D486" s="1">
        <v>1.0</v>
      </c>
      <c r="E486" s="14" t="s">
        <v>1853</v>
      </c>
    </row>
    <row r="487">
      <c r="A487" s="16" t="s">
        <v>2413</v>
      </c>
      <c r="B487" s="16" t="s">
        <v>3140</v>
      </c>
      <c r="C487" s="1" t="s">
        <v>3310</v>
      </c>
      <c r="D487" s="1">
        <v>1.0</v>
      </c>
      <c r="E487" s="14" t="s">
        <v>1853</v>
      </c>
    </row>
    <row r="488">
      <c r="A488" s="16" t="s">
        <v>2413</v>
      </c>
      <c r="B488" s="16" t="s">
        <v>3235</v>
      </c>
      <c r="C488" s="1" t="s">
        <v>3310</v>
      </c>
      <c r="D488" s="1">
        <v>1.0</v>
      </c>
      <c r="E488" s="14" t="s">
        <v>1853</v>
      </c>
    </row>
    <row r="489">
      <c r="A489" s="16" t="s">
        <v>2413</v>
      </c>
      <c r="B489" s="16" t="s">
        <v>3067</v>
      </c>
      <c r="C489" s="1" t="s">
        <v>3310</v>
      </c>
      <c r="D489" s="1">
        <v>1.0</v>
      </c>
      <c r="E489" s="14" t="s">
        <v>1853</v>
      </c>
    </row>
    <row r="490">
      <c r="A490" s="16" t="s">
        <v>2465</v>
      </c>
      <c r="B490" s="16" t="s">
        <v>3059</v>
      </c>
      <c r="C490" s="1" t="s">
        <v>3310</v>
      </c>
      <c r="D490" s="1">
        <v>1.0</v>
      </c>
      <c r="E490" s="14" t="s">
        <v>1862</v>
      </c>
    </row>
    <row r="491">
      <c r="A491" s="16" t="s">
        <v>2465</v>
      </c>
      <c r="B491" s="16" t="s">
        <v>3215</v>
      </c>
      <c r="C491" s="1" t="s">
        <v>3310</v>
      </c>
      <c r="D491" s="1">
        <v>1.0</v>
      </c>
      <c r="E491" s="14" t="s">
        <v>1862</v>
      </c>
    </row>
    <row r="492">
      <c r="A492" s="16" t="s">
        <v>2465</v>
      </c>
      <c r="B492" s="16" t="s">
        <v>3223</v>
      </c>
      <c r="C492" s="1" t="s">
        <v>3310</v>
      </c>
      <c r="D492" s="1">
        <v>1.0</v>
      </c>
      <c r="E492" s="14" t="s">
        <v>1846</v>
      </c>
    </row>
    <row r="493">
      <c r="A493" s="16" t="s">
        <v>2810</v>
      </c>
      <c r="B493" s="16" t="s">
        <v>3053</v>
      </c>
      <c r="C493" s="1" t="s">
        <v>3310</v>
      </c>
      <c r="D493" s="1">
        <v>1.0</v>
      </c>
      <c r="E493" s="14" t="s">
        <v>1862</v>
      </c>
    </row>
    <row r="494">
      <c r="A494" s="16" t="s">
        <v>2590</v>
      </c>
      <c r="B494" s="16" t="s">
        <v>3083</v>
      </c>
      <c r="C494" s="1" t="s">
        <v>3310</v>
      </c>
      <c r="D494" s="1">
        <v>1.0</v>
      </c>
      <c r="E494" s="14" t="s">
        <v>1846</v>
      </c>
    </row>
    <row r="495">
      <c r="A495" s="16" t="s">
        <v>2590</v>
      </c>
      <c r="B495" s="16" t="s">
        <v>3084</v>
      </c>
      <c r="C495" s="1" t="s">
        <v>3310</v>
      </c>
      <c r="D495" s="1">
        <v>1.0</v>
      </c>
      <c r="E495" s="14" t="s">
        <v>1862</v>
      </c>
    </row>
    <row r="496">
      <c r="A496" s="16" t="s">
        <v>2590</v>
      </c>
      <c r="B496" s="16" t="s">
        <v>3059</v>
      </c>
      <c r="C496" s="1" t="s">
        <v>3310</v>
      </c>
      <c r="D496" s="1">
        <v>1.0</v>
      </c>
      <c r="E496" s="14" t="s">
        <v>1862</v>
      </c>
    </row>
    <row r="497">
      <c r="A497" s="16" t="s">
        <v>2590</v>
      </c>
      <c r="B497" s="16" t="s">
        <v>3053</v>
      </c>
      <c r="C497" s="1" t="s">
        <v>3310</v>
      </c>
      <c r="D497" s="1">
        <v>1.0</v>
      </c>
      <c r="E497" s="14" t="s">
        <v>1862</v>
      </c>
    </row>
    <row r="498">
      <c r="A498" s="16" t="s">
        <v>2899</v>
      </c>
      <c r="B498" s="16" t="s">
        <v>3088</v>
      </c>
      <c r="C498" s="1" t="s">
        <v>3310</v>
      </c>
      <c r="D498" s="1">
        <v>1.0</v>
      </c>
      <c r="E498" s="14" t="s">
        <v>1853</v>
      </c>
    </row>
    <row r="499">
      <c r="A499" s="16" t="s">
        <v>2899</v>
      </c>
      <c r="B499" s="16" t="s">
        <v>3091</v>
      </c>
      <c r="C499" s="1" t="s">
        <v>3310</v>
      </c>
      <c r="D499" s="1">
        <v>1.0</v>
      </c>
      <c r="E499" s="14" t="s">
        <v>1853</v>
      </c>
    </row>
    <row r="500">
      <c r="A500" s="16" t="s">
        <v>2899</v>
      </c>
      <c r="B500" s="16" t="s">
        <v>3094</v>
      </c>
      <c r="C500" s="1" t="s">
        <v>3310</v>
      </c>
      <c r="D500" s="1">
        <v>1.0</v>
      </c>
      <c r="E500" s="14" t="s">
        <v>1853</v>
      </c>
    </row>
    <row r="501">
      <c r="A501" s="16" t="s">
        <v>2582</v>
      </c>
      <c r="B501" s="16" t="s">
        <v>3172</v>
      </c>
      <c r="C501" s="1" t="s">
        <v>3310</v>
      </c>
      <c r="D501" s="1">
        <v>1.0</v>
      </c>
      <c r="E501" s="14" t="s">
        <v>1846</v>
      </c>
    </row>
    <row r="502">
      <c r="A502" s="16" t="s">
        <v>2582</v>
      </c>
      <c r="B502" s="16" t="s">
        <v>3028</v>
      </c>
      <c r="C502" s="1" t="s">
        <v>3310</v>
      </c>
      <c r="D502" s="1">
        <v>1.0</v>
      </c>
      <c r="E502" s="14" t="s">
        <v>1846</v>
      </c>
    </row>
    <row r="503">
      <c r="A503" s="16" t="s">
        <v>2582</v>
      </c>
      <c r="B503" s="16" t="s">
        <v>3045</v>
      </c>
      <c r="C503" s="1" t="s">
        <v>3310</v>
      </c>
      <c r="D503" s="1">
        <v>1.0</v>
      </c>
      <c r="E503" s="14" t="s">
        <v>1846</v>
      </c>
    </row>
    <row r="504">
      <c r="A504" s="16" t="s">
        <v>2884</v>
      </c>
      <c r="B504" s="16" t="s">
        <v>3129</v>
      </c>
      <c r="C504" s="1" t="s">
        <v>3310</v>
      </c>
      <c r="D504" s="1">
        <v>1.0</v>
      </c>
      <c r="E504" s="14" t="s">
        <v>1846</v>
      </c>
    </row>
    <row r="505">
      <c r="A505" s="16" t="s">
        <v>2863</v>
      </c>
      <c r="B505" s="16" t="s">
        <v>3072</v>
      </c>
      <c r="C505" s="1" t="s">
        <v>3310</v>
      </c>
      <c r="D505" s="1">
        <v>1.0</v>
      </c>
      <c r="E505" s="14" t="s">
        <v>1853</v>
      </c>
    </row>
    <row r="506">
      <c r="A506" s="16" t="s">
        <v>2863</v>
      </c>
      <c r="B506" s="16" t="s">
        <v>3055</v>
      </c>
      <c r="C506" s="1" t="s">
        <v>3310</v>
      </c>
      <c r="D506" s="1">
        <v>1.0</v>
      </c>
      <c r="E506" s="14" t="s">
        <v>1862</v>
      </c>
    </row>
    <row r="507">
      <c r="A507" s="16" t="s">
        <v>2863</v>
      </c>
      <c r="B507" s="16" t="s">
        <v>3067</v>
      </c>
      <c r="C507" s="1" t="s">
        <v>3310</v>
      </c>
      <c r="D507" s="1">
        <v>1.0</v>
      </c>
      <c r="E507" s="14" t="s">
        <v>1853</v>
      </c>
    </row>
    <row r="508">
      <c r="A508" s="16" t="s">
        <v>2898</v>
      </c>
      <c r="B508" s="16" t="s">
        <v>3059</v>
      </c>
      <c r="C508" s="1" t="s">
        <v>3310</v>
      </c>
      <c r="D508" s="1">
        <v>1.0</v>
      </c>
      <c r="E508" s="14" t="s">
        <v>1862</v>
      </c>
    </row>
    <row r="509">
      <c r="A509" s="16" t="s">
        <v>2552</v>
      </c>
      <c r="B509" s="16" t="s">
        <v>3058</v>
      </c>
      <c r="C509" s="1" t="s">
        <v>3310</v>
      </c>
      <c r="D509" s="1">
        <v>1.0</v>
      </c>
      <c r="E509" s="14" t="s">
        <v>1862</v>
      </c>
    </row>
    <row r="510">
      <c r="A510" s="16" t="s">
        <v>2552</v>
      </c>
      <c r="B510" s="16" t="s">
        <v>3150</v>
      </c>
      <c r="C510" s="1" t="s">
        <v>3310</v>
      </c>
      <c r="D510" s="1">
        <v>1.0</v>
      </c>
      <c r="E510" s="14" t="s">
        <v>1846</v>
      </c>
    </row>
    <row r="511">
      <c r="A511" s="16" t="s">
        <v>2552</v>
      </c>
      <c r="B511" s="16" t="s">
        <v>3071</v>
      </c>
      <c r="C511" s="1" t="s">
        <v>3310</v>
      </c>
      <c r="D511" s="1">
        <v>1.0</v>
      </c>
      <c r="E511" s="14" t="s">
        <v>1853</v>
      </c>
    </row>
    <row r="512">
      <c r="A512" s="16" t="s">
        <v>2552</v>
      </c>
      <c r="B512" s="16" t="s">
        <v>3160</v>
      </c>
      <c r="C512" s="1" t="s">
        <v>3310</v>
      </c>
      <c r="D512" s="1">
        <v>1.0</v>
      </c>
      <c r="E512" s="14" t="s">
        <v>1846</v>
      </c>
    </row>
    <row r="513">
      <c r="A513" s="16" t="s">
        <v>2548</v>
      </c>
      <c r="B513" s="16" t="s">
        <v>3061</v>
      </c>
      <c r="C513" s="1" t="s">
        <v>3310</v>
      </c>
      <c r="D513" s="1">
        <v>1.0</v>
      </c>
      <c r="E513" s="14" t="s">
        <v>1862</v>
      </c>
    </row>
    <row r="514">
      <c r="A514" s="16" t="s">
        <v>2548</v>
      </c>
      <c r="B514" s="16" t="s">
        <v>3062</v>
      </c>
      <c r="C514" s="1" t="s">
        <v>3310</v>
      </c>
      <c r="D514" s="1">
        <v>1.0</v>
      </c>
      <c r="E514" s="14" t="s">
        <v>1862</v>
      </c>
    </row>
    <row r="515">
      <c r="A515" s="16" t="s">
        <v>2865</v>
      </c>
      <c r="B515" s="16" t="s">
        <v>3067</v>
      </c>
      <c r="C515" s="1" t="s">
        <v>3310</v>
      </c>
      <c r="D515" s="1">
        <v>1.0</v>
      </c>
      <c r="E515" s="14" t="s">
        <v>1853</v>
      </c>
    </row>
    <row r="516">
      <c r="A516" s="16" t="s">
        <v>2593</v>
      </c>
      <c r="B516" s="16" t="s">
        <v>3122</v>
      </c>
      <c r="C516" s="1" t="s">
        <v>3310</v>
      </c>
      <c r="D516" s="1">
        <v>1.0</v>
      </c>
      <c r="E516" s="14" t="s">
        <v>1853</v>
      </c>
    </row>
    <row r="517">
      <c r="A517" s="16" t="s">
        <v>2593</v>
      </c>
      <c r="B517" s="16" t="s">
        <v>3067</v>
      </c>
      <c r="C517" s="1" t="s">
        <v>3310</v>
      </c>
      <c r="D517" s="1">
        <v>1.0</v>
      </c>
      <c r="E517" s="14" t="s">
        <v>1853</v>
      </c>
    </row>
    <row r="518">
      <c r="A518" s="16" t="s">
        <v>2648</v>
      </c>
      <c r="B518" s="16" t="s">
        <v>3075</v>
      </c>
      <c r="C518" s="1" t="s">
        <v>3310</v>
      </c>
      <c r="D518" s="1">
        <v>1.0</v>
      </c>
      <c r="E518" s="14" t="s">
        <v>1862</v>
      </c>
    </row>
    <row r="519">
      <c r="A519" s="16" t="s">
        <v>2648</v>
      </c>
      <c r="B519" s="16" t="s">
        <v>3220</v>
      </c>
      <c r="C519" s="1" t="s">
        <v>3310</v>
      </c>
      <c r="D519" s="1">
        <v>1.0</v>
      </c>
      <c r="E519" s="14" t="s">
        <v>1862</v>
      </c>
    </row>
    <row r="520">
      <c r="A520" s="16" t="s">
        <v>2648</v>
      </c>
      <c r="B520" s="16" t="s">
        <v>3067</v>
      </c>
      <c r="C520" s="1" t="s">
        <v>3310</v>
      </c>
      <c r="D520" s="1">
        <v>1.0</v>
      </c>
      <c r="E520" s="14" t="s">
        <v>1853</v>
      </c>
    </row>
    <row r="521">
      <c r="A521" s="16" t="s">
        <v>2648</v>
      </c>
      <c r="B521" s="16" t="s">
        <v>3059</v>
      </c>
      <c r="C521" s="1" t="s">
        <v>3310</v>
      </c>
      <c r="D521" s="1">
        <v>1.0</v>
      </c>
      <c r="E521" s="14" t="s">
        <v>1862</v>
      </c>
    </row>
    <row r="522">
      <c r="A522" s="16" t="s">
        <v>2648</v>
      </c>
      <c r="B522" s="16" t="s">
        <v>3231</v>
      </c>
      <c r="C522" s="1" t="s">
        <v>3310</v>
      </c>
      <c r="D522" s="1">
        <v>1.0</v>
      </c>
      <c r="E522" s="14" t="s">
        <v>1862</v>
      </c>
    </row>
    <row r="523">
      <c r="A523" s="16" t="s">
        <v>2648</v>
      </c>
      <c r="B523" s="16" t="s">
        <v>3072</v>
      </c>
      <c r="C523" s="1" t="s">
        <v>3310</v>
      </c>
      <c r="D523" s="1">
        <v>1.0</v>
      </c>
      <c r="E523" s="14" t="s">
        <v>1853</v>
      </c>
    </row>
    <row r="524">
      <c r="A524" s="16" t="s">
        <v>2485</v>
      </c>
      <c r="B524" s="16" t="s">
        <v>3029</v>
      </c>
      <c r="C524" s="1" t="s">
        <v>3310</v>
      </c>
      <c r="D524" s="1">
        <v>1.0</v>
      </c>
      <c r="E524" s="14" t="s">
        <v>1853</v>
      </c>
    </row>
    <row r="525">
      <c r="A525" s="16" t="s">
        <v>2485</v>
      </c>
      <c r="B525" s="16" t="s">
        <v>3131</v>
      </c>
      <c r="C525" s="1" t="s">
        <v>3310</v>
      </c>
      <c r="D525" s="1">
        <v>1.0</v>
      </c>
      <c r="E525" s="14" t="s">
        <v>1846</v>
      </c>
    </row>
    <row r="526">
      <c r="A526" s="16" t="s">
        <v>2485</v>
      </c>
      <c r="B526" s="16" t="s">
        <v>3134</v>
      </c>
      <c r="C526" s="1" t="s">
        <v>3310</v>
      </c>
      <c r="D526" s="1">
        <v>1.0</v>
      </c>
      <c r="E526" s="14" t="s">
        <v>1846</v>
      </c>
    </row>
    <row r="527">
      <c r="A527" s="16" t="s">
        <v>2485</v>
      </c>
      <c r="B527" s="16" t="s">
        <v>3055</v>
      </c>
      <c r="C527" s="1" t="s">
        <v>3310</v>
      </c>
      <c r="D527" s="1">
        <v>1.0</v>
      </c>
      <c r="E527" s="14" t="s">
        <v>1862</v>
      </c>
    </row>
    <row r="528">
      <c r="A528" s="16" t="s">
        <v>2852</v>
      </c>
      <c r="B528" s="16" t="s">
        <v>3029</v>
      </c>
      <c r="C528" s="1" t="s">
        <v>3310</v>
      </c>
      <c r="D528" s="1">
        <v>1.0</v>
      </c>
      <c r="E528" s="14" t="s">
        <v>1853</v>
      </c>
    </row>
    <row r="529">
      <c r="A529" s="16" t="s">
        <v>2852</v>
      </c>
      <c r="B529" s="16" t="s">
        <v>3118</v>
      </c>
      <c r="C529" s="1" t="s">
        <v>3310</v>
      </c>
      <c r="D529" s="1">
        <v>1.0</v>
      </c>
      <c r="E529" s="14" t="s">
        <v>1862</v>
      </c>
    </row>
    <row r="530">
      <c r="A530" s="16" t="s">
        <v>2852</v>
      </c>
      <c r="B530" s="16" t="s">
        <v>3040</v>
      </c>
      <c r="C530" s="1" t="s">
        <v>3310</v>
      </c>
      <c r="D530" s="1">
        <v>1.0</v>
      </c>
      <c r="E530" s="14" t="s">
        <v>1853</v>
      </c>
    </row>
    <row r="531">
      <c r="A531" s="16" t="s">
        <v>2778</v>
      </c>
      <c r="B531" s="16" t="s">
        <v>3104</v>
      </c>
      <c r="C531" s="1" t="s">
        <v>3310</v>
      </c>
      <c r="D531" s="1">
        <v>1.0</v>
      </c>
      <c r="E531" s="14" t="s">
        <v>1846</v>
      </c>
    </row>
    <row r="532">
      <c r="A532" s="16" t="s">
        <v>2778</v>
      </c>
      <c r="B532" s="16" t="s">
        <v>3114</v>
      </c>
      <c r="C532" s="1" t="s">
        <v>3310</v>
      </c>
      <c r="D532" s="1">
        <v>1.0</v>
      </c>
      <c r="E532" s="14" t="s">
        <v>1846</v>
      </c>
    </row>
    <row r="533">
      <c r="A533" s="16" t="s">
        <v>2778</v>
      </c>
      <c r="B533" s="16" t="s">
        <v>3101</v>
      </c>
      <c r="C533" s="1" t="s">
        <v>3310</v>
      </c>
      <c r="D533" s="1">
        <v>1.0</v>
      </c>
      <c r="E533" s="14" t="s">
        <v>1862</v>
      </c>
    </row>
    <row r="534">
      <c r="A534" s="16" t="s">
        <v>2778</v>
      </c>
      <c r="B534" s="16" t="s">
        <v>3059</v>
      </c>
      <c r="C534" s="1" t="s">
        <v>3310</v>
      </c>
      <c r="D534" s="1">
        <v>1.0</v>
      </c>
      <c r="E534" s="14" t="s">
        <v>1862</v>
      </c>
    </row>
    <row r="535">
      <c r="A535" s="16" t="s">
        <v>2914</v>
      </c>
      <c r="B535" s="16" t="s">
        <v>3050</v>
      </c>
      <c r="C535" s="1" t="s">
        <v>3310</v>
      </c>
      <c r="D535" s="1">
        <v>1.0</v>
      </c>
      <c r="E535" s="14" t="s">
        <v>1846</v>
      </c>
    </row>
    <row r="536">
      <c r="A536" s="16" t="s">
        <v>2858</v>
      </c>
      <c r="B536" s="16" t="s">
        <v>3027</v>
      </c>
      <c r="C536" s="1" t="s">
        <v>3310</v>
      </c>
      <c r="D536" s="1">
        <v>1.0</v>
      </c>
      <c r="E536" s="14" t="s">
        <v>1853</v>
      </c>
    </row>
    <row r="537">
      <c r="A537" s="16" t="s">
        <v>2858</v>
      </c>
      <c r="B537" s="16" t="s">
        <v>3120</v>
      </c>
      <c r="C537" s="1" t="s">
        <v>3310</v>
      </c>
      <c r="D537" s="1">
        <v>1.0</v>
      </c>
      <c r="E537" s="14" t="s">
        <v>1853</v>
      </c>
    </row>
    <row r="538">
      <c r="A538" s="16" t="s">
        <v>2858</v>
      </c>
      <c r="B538" s="16" t="s">
        <v>3029</v>
      </c>
      <c r="C538" s="1" t="s">
        <v>3310</v>
      </c>
      <c r="D538" s="1">
        <v>1.0</v>
      </c>
      <c r="E538" s="14" t="s">
        <v>1853</v>
      </c>
    </row>
    <row r="539">
      <c r="A539" s="16" t="s">
        <v>2934</v>
      </c>
      <c r="B539" s="16" t="s">
        <v>3127</v>
      </c>
      <c r="C539" s="1" t="s">
        <v>3310</v>
      </c>
      <c r="D539" s="1">
        <v>1.0</v>
      </c>
      <c r="E539" s="14" t="s">
        <v>1862</v>
      </c>
    </row>
    <row r="540">
      <c r="A540" s="16" t="s">
        <v>2934</v>
      </c>
      <c r="B540" s="16" t="s">
        <v>3133</v>
      </c>
      <c r="C540" s="1" t="s">
        <v>3310</v>
      </c>
      <c r="D540" s="1">
        <v>1.0</v>
      </c>
      <c r="E540" s="14" t="s">
        <v>1846</v>
      </c>
    </row>
    <row r="541">
      <c r="A541" s="16" t="s">
        <v>2934</v>
      </c>
      <c r="B541" s="16" t="s">
        <v>3135</v>
      </c>
      <c r="C541" s="1" t="s">
        <v>3310</v>
      </c>
      <c r="D541" s="1">
        <v>1.0</v>
      </c>
      <c r="E541" s="14" t="s">
        <v>1862</v>
      </c>
    </row>
    <row r="542">
      <c r="A542" s="16" t="s">
        <v>2934</v>
      </c>
      <c r="B542" s="16" t="s">
        <v>3059</v>
      </c>
      <c r="C542" s="1" t="s">
        <v>3310</v>
      </c>
      <c r="D542" s="1">
        <v>1.0</v>
      </c>
      <c r="E542" s="14" t="s">
        <v>1862</v>
      </c>
    </row>
    <row r="543">
      <c r="A543" s="16" t="s">
        <v>2476</v>
      </c>
      <c r="B543" s="16" t="s">
        <v>3121</v>
      </c>
      <c r="C543" s="1" t="s">
        <v>3310</v>
      </c>
      <c r="D543" s="1">
        <v>1.0</v>
      </c>
      <c r="E543" s="14" t="s">
        <v>1862</v>
      </c>
    </row>
    <row r="544">
      <c r="A544" s="16" t="s">
        <v>2476</v>
      </c>
      <c r="B544" s="16" t="s">
        <v>3028</v>
      </c>
      <c r="C544" s="1" t="s">
        <v>3310</v>
      </c>
      <c r="D544" s="1">
        <v>1.0</v>
      </c>
      <c r="E544" s="14" t="s">
        <v>1853</v>
      </c>
    </row>
    <row r="545">
      <c r="A545" s="16" t="s">
        <v>2476</v>
      </c>
      <c r="B545" s="16" t="s">
        <v>3028</v>
      </c>
      <c r="C545" s="1" t="s">
        <v>3310</v>
      </c>
      <c r="D545" s="1">
        <v>1.0</v>
      </c>
      <c r="E545" s="14" t="s">
        <v>1846</v>
      </c>
    </row>
    <row r="546">
      <c r="A546" s="16" t="s">
        <v>2595</v>
      </c>
      <c r="B546" s="16" t="s">
        <v>3122</v>
      </c>
      <c r="C546" s="1" t="s">
        <v>3310</v>
      </c>
      <c r="D546" s="1">
        <v>1.0</v>
      </c>
      <c r="E546" s="14" t="s">
        <v>1853</v>
      </c>
    </row>
    <row r="547">
      <c r="A547" s="16" t="s">
        <v>2425</v>
      </c>
      <c r="B547" s="16" t="s">
        <v>3160</v>
      </c>
      <c r="C547" s="1" t="s">
        <v>3310</v>
      </c>
      <c r="D547" s="1">
        <v>1.0</v>
      </c>
      <c r="E547" s="14" t="s">
        <v>1853</v>
      </c>
    </row>
    <row r="548">
      <c r="A548" s="16" t="s">
        <v>2722</v>
      </c>
      <c r="B548" s="16" t="s">
        <v>3106</v>
      </c>
      <c r="C548" s="1" t="s">
        <v>3310</v>
      </c>
      <c r="D548" s="1">
        <v>1.0</v>
      </c>
      <c r="E548" s="14" t="s">
        <v>1862</v>
      </c>
    </row>
    <row r="549">
      <c r="A549" s="16" t="s">
        <v>2722</v>
      </c>
      <c r="B549" s="16" t="s">
        <v>3107</v>
      </c>
      <c r="C549" s="1" t="s">
        <v>3310</v>
      </c>
      <c r="D549" s="1">
        <v>1.0</v>
      </c>
      <c r="E549" s="14" t="s">
        <v>1846</v>
      </c>
    </row>
    <row r="550">
      <c r="A550" s="16" t="s">
        <v>2722</v>
      </c>
      <c r="B550" s="16" t="s">
        <v>3059</v>
      </c>
      <c r="C550" s="1" t="s">
        <v>3310</v>
      </c>
      <c r="D550" s="1">
        <v>1.0</v>
      </c>
      <c r="E550" s="14" t="s">
        <v>1862</v>
      </c>
    </row>
    <row r="551">
      <c r="A551" s="16" t="s">
        <v>2722</v>
      </c>
      <c r="B551" s="16" t="s">
        <v>3112</v>
      </c>
      <c r="C551" s="1" t="s">
        <v>3310</v>
      </c>
      <c r="D551" s="1">
        <v>1.0</v>
      </c>
      <c r="E551" s="14" t="s">
        <v>1846</v>
      </c>
    </row>
    <row r="552">
      <c r="A552" s="16" t="s">
        <v>2722</v>
      </c>
      <c r="B552" s="16" t="s">
        <v>3113</v>
      </c>
      <c r="C552" s="1" t="s">
        <v>3310</v>
      </c>
      <c r="D552" s="1">
        <v>1.0</v>
      </c>
      <c r="E552" s="14" t="s">
        <v>1846</v>
      </c>
    </row>
    <row r="553">
      <c r="A553" s="16" t="s">
        <v>2722</v>
      </c>
      <c r="B553" s="16" t="s">
        <v>3128</v>
      </c>
      <c r="C553" s="1" t="s">
        <v>3310</v>
      </c>
      <c r="D553" s="1">
        <v>1.0</v>
      </c>
      <c r="E553" s="14" t="s">
        <v>1853</v>
      </c>
    </row>
    <row r="554">
      <c r="A554" s="16" t="s">
        <v>2722</v>
      </c>
      <c r="B554" s="16" t="s">
        <v>3132</v>
      </c>
      <c r="C554" s="1" t="s">
        <v>3310</v>
      </c>
      <c r="D554" s="1">
        <v>1.0</v>
      </c>
      <c r="E554" s="14" t="s">
        <v>1846</v>
      </c>
    </row>
    <row r="555">
      <c r="A555" s="16" t="s">
        <v>2722</v>
      </c>
      <c r="B555" s="16" t="s">
        <v>3132</v>
      </c>
      <c r="C555" s="1" t="s">
        <v>3310</v>
      </c>
      <c r="D555" s="1">
        <v>1.0</v>
      </c>
      <c r="E555" s="14" t="s">
        <v>1862</v>
      </c>
    </row>
    <row r="556">
      <c r="A556" s="16" t="s">
        <v>2460</v>
      </c>
      <c r="B556" s="16" t="s">
        <v>3067</v>
      </c>
      <c r="C556" s="1" t="s">
        <v>3310</v>
      </c>
      <c r="D556" s="1">
        <v>1.0</v>
      </c>
      <c r="E556" s="14" t="s">
        <v>1846</v>
      </c>
    </row>
    <row r="557">
      <c r="A557" s="16" t="s">
        <v>2460</v>
      </c>
      <c r="B557" s="16" t="s">
        <v>3059</v>
      </c>
      <c r="C557" s="1" t="s">
        <v>3310</v>
      </c>
      <c r="D557" s="1">
        <v>1.0</v>
      </c>
      <c r="E557" s="14" t="s">
        <v>1862</v>
      </c>
    </row>
    <row r="558">
      <c r="A558" s="16" t="s">
        <v>2919</v>
      </c>
      <c r="B558" s="16" t="s">
        <v>3248</v>
      </c>
      <c r="C558" s="1" t="s">
        <v>3310</v>
      </c>
      <c r="D558" s="1">
        <v>1.0</v>
      </c>
      <c r="E558" s="14" t="s">
        <v>1853</v>
      </c>
    </row>
    <row r="559">
      <c r="A559" s="16" t="s">
        <v>2919</v>
      </c>
      <c r="B559" s="16" t="s">
        <v>3147</v>
      </c>
      <c r="C559" s="1" t="s">
        <v>3310</v>
      </c>
      <c r="D559" s="1">
        <v>1.0</v>
      </c>
      <c r="E559" s="14" t="s">
        <v>1853</v>
      </c>
    </row>
    <row r="560">
      <c r="A560" s="16" t="s">
        <v>2870</v>
      </c>
      <c r="B560" s="16" t="s">
        <v>3109</v>
      </c>
      <c r="C560" s="1" t="s">
        <v>3310</v>
      </c>
      <c r="D560" s="1">
        <v>1.0</v>
      </c>
      <c r="E560" s="14" t="s">
        <v>1846</v>
      </c>
    </row>
    <row r="561">
      <c r="A561" s="16" t="s">
        <v>2870</v>
      </c>
      <c r="B561" s="16" t="s">
        <v>3053</v>
      </c>
      <c r="C561" s="1" t="s">
        <v>3310</v>
      </c>
      <c r="D561" s="1">
        <v>1.0</v>
      </c>
      <c r="E561" s="14" t="s">
        <v>1862</v>
      </c>
    </row>
    <row r="562">
      <c r="A562" s="16" t="s">
        <v>2870</v>
      </c>
      <c r="B562" s="16" t="s">
        <v>3101</v>
      </c>
      <c r="C562" s="1" t="s">
        <v>3310</v>
      </c>
      <c r="D562" s="1">
        <v>1.0</v>
      </c>
      <c r="E562" s="14" t="s">
        <v>1862</v>
      </c>
    </row>
    <row r="563">
      <c r="A563" s="16" t="s">
        <v>2870</v>
      </c>
      <c r="B563" s="16" t="s">
        <v>3130</v>
      </c>
      <c r="C563" s="1" t="s">
        <v>3310</v>
      </c>
      <c r="D563" s="1">
        <v>1.0</v>
      </c>
      <c r="E563" s="14" t="s">
        <v>1846</v>
      </c>
    </row>
    <row r="564">
      <c r="A564" s="16" t="s">
        <v>2870</v>
      </c>
      <c r="B564" s="16" t="s">
        <v>3068</v>
      </c>
      <c r="C564" s="1" t="s">
        <v>3310</v>
      </c>
      <c r="D564" s="1">
        <v>1.0</v>
      </c>
      <c r="E564" s="14" t="s">
        <v>1853</v>
      </c>
    </row>
    <row r="565">
      <c r="A565" s="16" t="s">
        <v>2870</v>
      </c>
      <c r="B565" s="16" t="s">
        <v>3059</v>
      </c>
      <c r="C565" s="1" t="s">
        <v>3310</v>
      </c>
      <c r="D565" s="1">
        <v>1.0</v>
      </c>
      <c r="E565" s="14" t="s">
        <v>1862</v>
      </c>
    </row>
    <row r="566">
      <c r="A566" s="16" t="s">
        <v>2433</v>
      </c>
      <c r="B566" s="16" t="s">
        <v>3059</v>
      </c>
      <c r="C566" s="1" t="s">
        <v>3310</v>
      </c>
      <c r="D566" s="1">
        <v>1.0</v>
      </c>
      <c r="E566" s="14" t="s">
        <v>1862</v>
      </c>
    </row>
    <row r="567">
      <c r="A567" s="16" t="s">
        <v>2433</v>
      </c>
      <c r="B567" s="16" t="s">
        <v>3137</v>
      </c>
      <c r="C567" s="1" t="s">
        <v>3310</v>
      </c>
      <c r="D567" s="1">
        <v>1.0</v>
      </c>
      <c r="E567" s="14" t="s">
        <v>1853</v>
      </c>
    </row>
    <row r="568">
      <c r="A568" s="16" t="s">
        <v>2422</v>
      </c>
      <c r="B568" s="16" t="s">
        <v>3117</v>
      </c>
      <c r="C568" s="1" t="s">
        <v>3310</v>
      </c>
      <c r="D568" s="1">
        <v>1.0</v>
      </c>
      <c r="E568" s="14" t="s">
        <v>1853</v>
      </c>
    </row>
    <row r="569">
      <c r="A569" s="16" t="s">
        <v>2901</v>
      </c>
      <c r="B569" s="16" t="s">
        <v>3111</v>
      </c>
      <c r="C569" s="1" t="s">
        <v>3310</v>
      </c>
      <c r="D569" s="1">
        <v>1.0</v>
      </c>
      <c r="E569" s="14" t="s">
        <v>1846</v>
      </c>
    </row>
    <row r="570">
      <c r="A570" s="16" t="s">
        <v>2901</v>
      </c>
      <c r="B570" s="16" t="s">
        <v>3040</v>
      </c>
      <c r="C570" s="1" t="s">
        <v>3310</v>
      </c>
      <c r="D570" s="1">
        <v>1.0</v>
      </c>
      <c r="E570" s="14" t="s">
        <v>1853</v>
      </c>
    </row>
    <row r="571">
      <c r="A571" s="16" t="s">
        <v>2901</v>
      </c>
      <c r="B571" s="16" t="s">
        <v>3045</v>
      </c>
      <c r="C571" s="1" t="s">
        <v>3310</v>
      </c>
      <c r="D571" s="1">
        <v>1.0</v>
      </c>
      <c r="E571" s="14" t="s">
        <v>1853</v>
      </c>
    </row>
    <row r="572">
      <c r="A572" s="16" t="s">
        <v>2901</v>
      </c>
      <c r="B572" s="16" t="s">
        <v>3050</v>
      </c>
      <c r="C572" s="1" t="s">
        <v>3310</v>
      </c>
      <c r="D572" s="1">
        <v>1.0</v>
      </c>
      <c r="E572" s="14" t="s">
        <v>1846</v>
      </c>
    </row>
    <row r="573">
      <c r="A573" s="16" t="s">
        <v>2901</v>
      </c>
      <c r="B573" s="16" t="s">
        <v>3125</v>
      </c>
      <c r="C573" s="1" t="s">
        <v>3310</v>
      </c>
      <c r="D573" s="1">
        <v>1.0</v>
      </c>
      <c r="E573" s="14" t="s">
        <v>1846</v>
      </c>
    </row>
    <row r="574">
      <c r="A574" s="16" t="s">
        <v>2901</v>
      </c>
      <c r="B574" s="16" t="s">
        <v>3029</v>
      </c>
      <c r="C574" s="1" t="s">
        <v>3310</v>
      </c>
      <c r="D574" s="1">
        <v>1.0</v>
      </c>
      <c r="E574" s="14" t="s">
        <v>1853</v>
      </c>
    </row>
    <row r="575">
      <c r="A575" s="16" t="s">
        <v>2913</v>
      </c>
      <c r="B575" s="16" t="s">
        <v>3059</v>
      </c>
      <c r="C575" s="1" t="s">
        <v>3310</v>
      </c>
      <c r="D575" s="1">
        <v>1.0</v>
      </c>
      <c r="E575" s="14" t="s">
        <v>1862</v>
      </c>
    </row>
    <row r="576">
      <c r="A576" s="16" t="s">
        <v>2913</v>
      </c>
      <c r="B576" s="16" t="s">
        <v>3066</v>
      </c>
      <c r="C576" s="1" t="s">
        <v>3310</v>
      </c>
      <c r="D576" s="1">
        <v>1.0</v>
      </c>
      <c r="E576" s="14" t="s">
        <v>1853</v>
      </c>
    </row>
    <row r="577">
      <c r="A577" s="16" t="s">
        <v>2428</v>
      </c>
      <c r="B577" s="16" t="s">
        <v>3029</v>
      </c>
      <c r="C577" s="1" t="s">
        <v>3310</v>
      </c>
      <c r="D577" s="1">
        <v>1.0</v>
      </c>
      <c r="E577" s="14" t="s">
        <v>1853</v>
      </c>
    </row>
    <row r="578">
      <c r="A578" s="16" t="s">
        <v>2428</v>
      </c>
      <c r="B578" s="16" t="s">
        <v>3053</v>
      </c>
      <c r="C578" s="1" t="s">
        <v>3310</v>
      </c>
      <c r="D578" s="1">
        <v>1.0</v>
      </c>
      <c r="E578" s="14" t="s">
        <v>1862</v>
      </c>
    </row>
    <row r="579">
      <c r="A579" s="16" t="s">
        <v>2428</v>
      </c>
      <c r="B579" s="16" t="s">
        <v>3086</v>
      </c>
      <c r="C579" s="1" t="s">
        <v>3310</v>
      </c>
      <c r="D579" s="1">
        <v>1.0</v>
      </c>
      <c r="E579" s="14" t="s">
        <v>1853</v>
      </c>
    </row>
    <row r="580">
      <c r="A580" s="16" t="s">
        <v>2506</v>
      </c>
      <c r="B580" s="16" t="s">
        <v>3045</v>
      </c>
      <c r="C580" s="1" t="s">
        <v>3310</v>
      </c>
      <c r="D580" s="1">
        <v>1.0</v>
      </c>
      <c r="E580" s="14" t="s">
        <v>1853</v>
      </c>
    </row>
    <row r="581">
      <c r="A581" s="16" t="s">
        <v>2506</v>
      </c>
      <c r="B581" s="16" t="s">
        <v>3028</v>
      </c>
      <c r="C581" s="1" t="s">
        <v>3310</v>
      </c>
      <c r="D581" s="1">
        <v>1.0</v>
      </c>
      <c r="E581" s="14" t="s">
        <v>1853</v>
      </c>
    </row>
    <row r="582">
      <c r="A582" s="16" t="s">
        <v>2506</v>
      </c>
      <c r="B582" s="16" t="s">
        <v>3040</v>
      </c>
      <c r="C582" s="1" t="s">
        <v>3310</v>
      </c>
      <c r="D582" s="1">
        <v>1.0</v>
      </c>
      <c r="E582" s="14" t="s">
        <v>1853</v>
      </c>
    </row>
    <row r="583">
      <c r="A583" s="16" t="s">
        <v>2506</v>
      </c>
      <c r="B583" s="16" t="s">
        <v>3040</v>
      </c>
      <c r="C583" s="1" t="s">
        <v>3310</v>
      </c>
      <c r="D583" s="1">
        <v>1.0</v>
      </c>
      <c r="E583" s="14" t="s">
        <v>1846</v>
      </c>
    </row>
    <row r="584">
      <c r="A584" s="16" t="s">
        <v>2849</v>
      </c>
      <c r="B584" s="16" t="s">
        <v>3121</v>
      </c>
      <c r="C584" s="1" t="s">
        <v>3310</v>
      </c>
      <c r="D584" s="1">
        <v>1.0</v>
      </c>
      <c r="E584" s="14" t="s">
        <v>1862</v>
      </c>
    </row>
    <row r="585">
      <c r="A585" s="16" t="s">
        <v>2849</v>
      </c>
      <c r="B585" s="16" t="s">
        <v>3028</v>
      </c>
      <c r="C585" s="1" t="s">
        <v>3310</v>
      </c>
      <c r="D585" s="1">
        <v>1.0</v>
      </c>
      <c r="E585" s="14" t="s">
        <v>1853</v>
      </c>
    </row>
    <row r="586">
      <c r="A586" s="16" t="s">
        <v>2441</v>
      </c>
      <c r="B586" s="16" t="s">
        <v>3028</v>
      </c>
      <c r="C586" s="1" t="s">
        <v>3310</v>
      </c>
      <c r="D586" s="1">
        <v>1.0</v>
      </c>
      <c r="E586" s="14" t="s">
        <v>1853</v>
      </c>
    </row>
    <row r="587">
      <c r="A587" s="16" t="s">
        <v>2441</v>
      </c>
      <c r="B587" s="16" t="s">
        <v>3029</v>
      </c>
      <c r="C587" s="1" t="s">
        <v>3310</v>
      </c>
      <c r="D587" s="1">
        <v>1.0</v>
      </c>
      <c r="E587" s="14" t="s">
        <v>1853</v>
      </c>
    </row>
    <row r="588">
      <c r="A588" s="16" t="s">
        <v>2441</v>
      </c>
      <c r="B588" s="16" t="s">
        <v>3029</v>
      </c>
      <c r="C588" s="1" t="s">
        <v>3310</v>
      </c>
      <c r="D588" s="1">
        <v>1.0</v>
      </c>
      <c r="E588" s="14" t="s">
        <v>1846</v>
      </c>
    </row>
    <row r="589">
      <c r="A589" s="16" t="s">
        <v>2491</v>
      </c>
      <c r="B589" s="16" t="s">
        <v>3036</v>
      </c>
      <c r="C589" s="1" t="s">
        <v>3310</v>
      </c>
      <c r="D589" s="1">
        <v>1.0</v>
      </c>
      <c r="E589" s="14" t="s">
        <v>1853</v>
      </c>
    </row>
    <row r="590">
      <c r="A590" s="16" t="s">
        <v>2491</v>
      </c>
      <c r="B590" s="16" t="s">
        <v>3028</v>
      </c>
      <c r="C590" s="1" t="s">
        <v>3310</v>
      </c>
      <c r="D590" s="1">
        <v>1.0</v>
      </c>
      <c r="E590" s="14" t="s">
        <v>1853</v>
      </c>
    </row>
    <row r="591">
      <c r="A591" s="16" t="s">
        <v>2491</v>
      </c>
      <c r="B591" s="16" t="s">
        <v>3270</v>
      </c>
      <c r="C591" s="1" t="s">
        <v>3310</v>
      </c>
      <c r="D591" s="1">
        <v>1.0</v>
      </c>
      <c r="E591" s="14" t="s">
        <v>1846</v>
      </c>
    </row>
    <row r="592">
      <c r="A592" s="16" t="s">
        <v>2491</v>
      </c>
      <c r="B592" s="16" t="s">
        <v>3045</v>
      </c>
      <c r="C592" s="1" t="s">
        <v>3310</v>
      </c>
      <c r="D592" s="1">
        <v>1.0</v>
      </c>
      <c r="E592" s="14" t="s">
        <v>1853</v>
      </c>
    </row>
    <row r="593">
      <c r="A593" s="16" t="s">
        <v>2491</v>
      </c>
      <c r="B593" s="16" t="s">
        <v>3045</v>
      </c>
      <c r="C593" s="1" t="s">
        <v>3310</v>
      </c>
      <c r="D593" s="1">
        <v>1.0</v>
      </c>
      <c r="E593" s="14" t="s">
        <v>1846</v>
      </c>
    </row>
    <row r="594">
      <c r="A594" s="16" t="s">
        <v>2491</v>
      </c>
      <c r="B594" s="16" t="s">
        <v>3029</v>
      </c>
      <c r="C594" s="1" t="s">
        <v>3310</v>
      </c>
      <c r="D594" s="1">
        <v>1.0</v>
      </c>
      <c r="E594" s="14" t="s">
        <v>1853</v>
      </c>
    </row>
    <row r="595">
      <c r="A595" s="16" t="s">
        <v>2475</v>
      </c>
      <c r="B595" s="16" t="s">
        <v>3087</v>
      </c>
      <c r="C595" s="1" t="s">
        <v>3310</v>
      </c>
      <c r="D595" s="1">
        <v>1.0</v>
      </c>
      <c r="E595" s="14" t="s">
        <v>1853</v>
      </c>
    </row>
    <row r="596">
      <c r="A596" s="16" t="s">
        <v>2475</v>
      </c>
      <c r="B596" s="16" t="s">
        <v>3087</v>
      </c>
      <c r="C596" s="1" t="s">
        <v>3310</v>
      </c>
      <c r="D596" s="1">
        <v>1.0</v>
      </c>
      <c r="E596" s="14" t="s">
        <v>1846</v>
      </c>
    </row>
    <row r="597">
      <c r="A597" s="16" t="s">
        <v>2475</v>
      </c>
      <c r="B597" s="16" t="s">
        <v>3089</v>
      </c>
      <c r="C597" s="1" t="s">
        <v>3310</v>
      </c>
      <c r="D597" s="1">
        <v>1.0</v>
      </c>
      <c r="E597" s="14" t="s">
        <v>1846</v>
      </c>
    </row>
    <row r="598">
      <c r="A598" s="16" t="s">
        <v>2475</v>
      </c>
      <c r="B598" s="16" t="s">
        <v>3095</v>
      </c>
      <c r="C598" s="1" t="s">
        <v>3310</v>
      </c>
      <c r="D598" s="1">
        <v>1.0</v>
      </c>
      <c r="E598" s="14" t="s">
        <v>1846</v>
      </c>
    </row>
    <row r="599">
      <c r="A599" s="16" t="s">
        <v>2631</v>
      </c>
      <c r="B599" s="16" t="s">
        <v>3059</v>
      </c>
      <c r="C599" s="1" t="s">
        <v>3310</v>
      </c>
      <c r="D599" s="1">
        <v>1.0</v>
      </c>
      <c r="E599" s="14" t="s">
        <v>1862</v>
      </c>
    </row>
    <row r="600">
      <c r="A600" s="16" t="s">
        <v>2631</v>
      </c>
      <c r="B600" s="16" t="s">
        <v>3115</v>
      </c>
      <c r="C600" s="1" t="s">
        <v>3310</v>
      </c>
      <c r="D600" s="1">
        <v>1.0</v>
      </c>
      <c r="E600" s="14" t="s">
        <v>1853</v>
      </c>
    </row>
    <row r="601">
      <c r="A601" s="16" t="s">
        <v>2631</v>
      </c>
      <c r="B601" s="16" t="s">
        <v>3116</v>
      </c>
      <c r="C601" s="1" t="s">
        <v>3310</v>
      </c>
      <c r="D601" s="1">
        <v>1.0</v>
      </c>
      <c r="E601" s="14" t="s">
        <v>1853</v>
      </c>
    </row>
    <row r="602">
      <c r="A602" s="16" t="s">
        <v>2631</v>
      </c>
      <c r="B602" s="16" t="s">
        <v>3139</v>
      </c>
      <c r="C602" s="1" t="s">
        <v>3310</v>
      </c>
      <c r="D602" s="1">
        <v>1.0</v>
      </c>
      <c r="E602" s="14" t="s">
        <v>1853</v>
      </c>
    </row>
    <row r="603">
      <c r="A603" s="16" t="s">
        <v>2631</v>
      </c>
      <c r="B603" s="16" t="s">
        <v>3140</v>
      </c>
      <c r="C603" s="1" t="s">
        <v>3310</v>
      </c>
      <c r="D603" s="1">
        <v>1.0</v>
      </c>
      <c r="E603" s="14" t="s">
        <v>1853</v>
      </c>
    </row>
    <row r="604">
      <c r="A604" s="16" t="s">
        <v>2631</v>
      </c>
      <c r="B604" s="16" t="s">
        <v>3096</v>
      </c>
      <c r="C604" s="1" t="s">
        <v>3310</v>
      </c>
      <c r="D604" s="1">
        <v>1.0</v>
      </c>
      <c r="E604" s="14" t="s">
        <v>1862</v>
      </c>
    </row>
    <row r="605">
      <c r="A605" s="16" t="s">
        <v>2427</v>
      </c>
      <c r="B605" s="16" t="s">
        <v>3059</v>
      </c>
      <c r="C605" s="1" t="s">
        <v>3310</v>
      </c>
      <c r="D605" s="1">
        <v>1.0</v>
      </c>
      <c r="E605" s="14" t="s">
        <v>1862</v>
      </c>
    </row>
    <row r="606">
      <c r="A606" s="16" t="s">
        <v>2427</v>
      </c>
      <c r="B606" s="16" t="s">
        <v>3250</v>
      </c>
      <c r="C606" s="1" t="s">
        <v>3310</v>
      </c>
      <c r="D606" s="1">
        <v>1.0</v>
      </c>
      <c r="E606" s="14" t="s">
        <v>1862</v>
      </c>
    </row>
    <row r="607">
      <c r="A607" s="16" t="s">
        <v>2741</v>
      </c>
      <c r="B607" s="16" t="s">
        <v>3092</v>
      </c>
      <c r="C607" s="1" t="s">
        <v>3310</v>
      </c>
      <c r="D607" s="1">
        <v>1.0</v>
      </c>
      <c r="E607" s="14" t="s">
        <v>1853</v>
      </c>
    </row>
    <row r="608">
      <c r="A608" s="16" t="s">
        <v>2741</v>
      </c>
      <c r="B608" s="16" t="s">
        <v>3059</v>
      </c>
      <c r="C608" s="1" t="s">
        <v>3310</v>
      </c>
      <c r="D608" s="1">
        <v>1.0</v>
      </c>
      <c r="E608" s="14" t="s">
        <v>1862</v>
      </c>
    </row>
    <row r="609">
      <c r="A609" s="16" t="s">
        <v>2741</v>
      </c>
      <c r="B609" s="16" t="s">
        <v>3029</v>
      </c>
      <c r="C609" s="1" t="s">
        <v>3310</v>
      </c>
      <c r="D609" s="1">
        <v>1.0</v>
      </c>
      <c r="E609" s="14" t="s">
        <v>1853</v>
      </c>
    </row>
    <row r="610">
      <c r="A610" s="16" t="s">
        <v>2741</v>
      </c>
      <c r="B610" s="16" t="s">
        <v>3102</v>
      </c>
      <c r="C610" s="1" t="s">
        <v>3310</v>
      </c>
      <c r="D610" s="1">
        <v>1.0</v>
      </c>
      <c r="E610" s="14" t="s">
        <v>1846</v>
      </c>
    </row>
    <row r="611">
      <c r="A611" s="16" t="s">
        <v>2741</v>
      </c>
      <c r="B611" s="16" t="s">
        <v>3031</v>
      </c>
      <c r="C611" s="1" t="s">
        <v>3310</v>
      </c>
      <c r="D611" s="1">
        <v>1.0</v>
      </c>
      <c r="E611" s="14" t="s">
        <v>1846</v>
      </c>
    </row>
    <row r="612">
      <c r="A612" s="16" t="s">
        <v>2741</v>
      </c>
      <c r="B612" s="16" t="s">
        <v>3104</v>
      </c>
      <c r="C612" s="1" t="s">
        <v>3310</v>
      </c>
      <c r="D612" s="1">
        <v>1.0</v>
      </c>
      <c r="E612" s="14" t="s">
        <v>1846</v>
      </c>
    </row>
    <row r="613">
      <c r="A613" s="16" t="s">
        <v>2788</v>
      </c>
      <c r="B613" s="16" t="s">
        <v>3055</v>
      </c>
      <c r="C613" s="1" t="s">
        <v>3310</v>
      </c>
      <c r="D613" s="1">
        <v>1.0</v>
      </c>
      <c r="E613" s="14" t="s">
        <v>1862</v>
      </c>
    </row>
    <row r="614">
      <c r="A614" s="16" t="s">
        <v>2788</v>
      </c>
      <c r="B614" s="16" t="s">
        <v>3028</v>
      </c>
      <c r="C614" s="1" t="s">
        <v>3310</v>
      </c>
      <c r="D614" s="1">
        <v>1.0</v>
      </c>
      <c r="E614" s="14" t="s">
        <v>1853</v>
      </c>
    </row>
    <row r="615">
      <c r="A615" s="16" t="s">
        <v>2788</v>
      </c>
      <c r="B615" s="16" t="s">
        <v>3146</v>
      </c>
      <c r="C615" s="1" t="s">
        <v>3310</v>
      </c>
      <c r="D615" s="1">
        <v>1.0</v>
      </c>
      <c r="E615" s="14" t="s">
        <v>1853</v>
      </c>
    </row>
    <row r="616">
      <c r="A616" s="16" t="s">
        <v>2788</v>
      </c>
      <c r="B616" s="16" t="s">
        <v>3161</v>
      </c>
      <c r="C616" s="1" t="s">
        <v>3310</v>
      </c>
      <c r="D616" s="1">
        <v>1.0</v>
      </c>
      <c r="E616" s="14" t="s">
        <v>1846</v>
      </c>
    </row>
    <row r="617">
      <c r="A617" s="16" t="s">
        <v>2889</v>
      </c>
      <c r="B617" s="16" t="s">
        <v>3071</v>
      </c>
      <c r="C617" s="1" t="s">
        <v>3310</v>
      </c>
      <c r="D617" s="1">
        <v>1.0</v>
      </c>
      <c r="E617" s="14" t="s">
        <v>1853</v>
      </c>
    </row>
    <row r="618">
      <c r="A618" s="16" t="s">
        <v>2889</v>
      </c>
      <c r="B618" s="16" t="s">
        <v>3236</v>
      </c>
      <c r="C618" s="1" t="s">
        <v>3310</v>
      </c>
      <c r="D618" s="1">
        <v>1.0</v>
      </c>
      <c r="E618" s="14" t="s">
        <v>1853</v>
      </c>
    </row>
    <row r="619">
      <c r="A619" s="16" t="s">
        <v>2889</v>
      </c>
      <c r="B619" s="16" t="s">
        <v>3059</v>
      </c>
      <c r="C619" s="1" t="s">
        <v>3310</v>
      </c>
      <c r="D619" s="1">
        <v>1.0</v>
      </c>
      <c r="E619" s="14" t="s">
        <v>1862</v>
      </c>
    </row>
    <row r="620">
      <c r="A620" s="16" t="s">
        <v>2833</v>
      </c>
      <c r="B620" s="16" t="s">
        <v>3028</v>
      </c>
      <c r="C620" s="1" t="s">
        <v>3310</v>
      </c>
      <c r="D620" s="1">
        <v>1.0</v>
      </c>
      <c r="E620" s="14" t="s">
        <v>1853</v>
      </c>
    </row>
    <row r="621">
      <c r="A621" s="16" t="s">
        <v>2833</v>
      </c>
      <c r="B621" s="16" t="s">
        <v>3028</v>
      </c>
      <c r="C621" s="1" t="s">
        <v>3310</v>
      </c>
      <c r="D621" s="1">
        <v>1.0</v>
      </c>
      <c r="E621" s="14" t="s">
        <v>1846</v>
      </c>
    </row>
    <row r="622">
      <c r="A622" s="16" t="s">
        <v>2833</v>
      </c>
      <c r="B622" s="16" t="s">
        <v>3045</v>
      </c>
      <c r="C622" s="1" t="s">
        <v>3310</v>
      </c>
      <c r="D622" s="1">
        <v>1.0</v>
      </c>
      <c r="E622" s="14" t="s">
        <v>1853</v>
      </c>
    </row>
    <row r="623">
      <c r="A623" s="16" t="s">
        <v>2833</v>
      </c>
      <c r="B623" s="16" t="s">
        <v>3086</v>
      </c>
      <c r="C623" s="1" t="s">
        <v>3310</v>
      </c>
      <c r="D623" s="1">
        <v>1.0</v>
      </c>
      <c r="E623" s="14" t="s">
        <v>1853</v>
      </c>
    </row>
    <row r="624">
      <c r="A624" s="16" t="s">
        <v>2507</v>
      </c>
      <c r="B624" s="16" t="s">
        <v>3043</v>
      </c>
      <c r="C624" s="1" t="s">
        <v>3310</v>
      </c>
      <c r="D624" s="1">
        <v>1.0</v>
      </c>
      <c r="E624" s="14" t="s">
        <v>1853</v>
      </c>
    </row>
    <row r="625">
      <c r="A625" s="16" t="s">
        <v>2507</v>
      </c>
      <c r="B625" s="16" t="s">
        <v>3226</v>
      </c>
      <c r="C625" s="1" t="s">
        <v>3310</v>
      </c>
      <c r="D625" s="1">
        <v>1.0</v>
      </c>
      <c r="E625" s="14" t="s">
        <v>1862</v>
      </c>
    </row>
    <row r="626">
      <c r="A626" s="16" t="s">
        <v>2507</v>
      </c>
      <c r="B626" s="16" t="s">
        <v>3028</v>
      </c>
      <c r="C626" s="1" t="s">
        <v>3310</v>
      </c>
      <c r="D626" s="1">
        <v>1.0</v>
      </c>
      <c r="E626" s="14" t="s">
        <v>1853</v>
      </c>
    </row>
    <row r="627">
      <c r="A627" s="16" t="s">
        <v>2507</v>
      </c>
      <c r="B627" s="16" t="s">
        <v>3045</v>
      </c>
      <c r="C627" s="1" t="s">
        <v>3310</v>
      </c>
      <c r="D627" s="1">
        <v>1.0</v>
      </c>
      <c r="E627" s="14" t="s">
        <v>1853</v>
      </c>
    </row>
    <row r="628">
      <c r="A628" s="16" t="s">
        <v>2570</v>
      </c>
      <c r="B628" s="16" t="s">
        <v>3028</v>
      </c>
      <c r="C628" s="1" t="s">
        <v>3310</v>
      </c>
      <c r="D628" s="1">
        <v>1.0</v>
      </c>
      <c r="E628" s="14" t="s">
        <v>1853</v>
      </c>
    </row>
    <row r="629">
      <c r="A629" s="16" t="s">
        <v>2570</v>
      </c>
      <c r="B629" s="16" t="s">
        <v>3040</v>
      </c>
      <c r="C629" s="1" t="s">
        <v>3310</v>
      </c>
      <c r="D629" s="1">
        <v>1.0</v>
      </c>
      <c r="E629" s="14" t="s">
        <v>1853</v>
      </c>
    </row>
    <row r="630">
      <c r="A630" s="16" t="s">
        <v>2570</v>
      </c>
      <c r="B630" s="16" t="s">
        <v>3059</v>
      </c>
      <c r="C630" s="1" t="s">
        <v>3310</v>
      </c>
      <c r="D630" s="1">
        <v>1.0</v>
      </c>
      <c r="E630" s="14" t="s">
        <v>1862</v>
      </c>
    </row>
    <row r="631">
      <c r="A631" s="16" t="s">
        <v>2570</v>
      </c>
      <c r="B631" s="16" t="s">
        <v>3258</v>
      </c>
      <c r="C631" s="1" t="s">
        <v>3310</v>
      </c>
      <c r="D631" s="1">
        <v>1.0</v>
      </c>
      <c r="E631" s="14" t="s">
        <v>1846</v>
      </c>
    </row>
    <row r="632">
      <c r="A632" s="16" t="s">
        <v>2853</v>
      </c>
      <c r="B632" s="16" t="s">
        <v>3262</v>
      </c>
      <c r="C632" s="1" t="s">
        <v>3310</v>
      </c>
      <c r="D632" s="1">
        <v>1.0</v>
      </c>
      <c r="E632" s="14" t="s">
        <v>1846</v>
      </c>
    </row>
    <row r="633">
      <c r="A633" s="16" t="s">
        <v>2853</v>
      </c>
      <c r="B633" s="16" t="s">
        <v>3264</v>
      </c>
      <c r="C633" s="1" t="s">
        <v>3310</v>
      </c>
      <c r="D633" s="1">
        <v>1.0</v>
      </c>
      <c r="E633" s="14" t="s">
        <v>1846</v>
      </c>
    </row>
    <row r="634">
      <c r="A634" s="16" t="s">
        <v>2853</v>
      </c>
      <c r="B634" s="16" t="s">
        <v>3266</v>
      </c>
      <c r="C634" s="1" t="s">
        <v>3310</v>
      </c>
      <c r="D634" s="1">
        <v>1.0</v>
      </c>
      <c r="E634" s="14" t="s">
        <v>1846</v>
      </c>
    </row>
    <row r="635">
      <c r="A635" s="16" t="s">
        <v>2853</v>
      </c>
      <c r="B635" s="16" t="s">
        <v>3136</v>
      </c>
      <c r="C635" s="1" t="s">
        <v>3310</v>
      </c>
      <c r="D635" s="1">
        <v>1.0</v>
      </c>
      <c r="E635" s="14" t="s">
        <v>1853</v>
      </c>
    </row>
    <row r="636">
      <c r="A636" s="16" t="s">
        <v>2853</v>
      </c>
      <c r="B636" s="16" t="s">
        <v>3173</v>
      </c>
      <c r="C636" s="1" t="s">
        <v>3310</v>
      </c>
      <c r="D636" s="1">
        <v>1.0</v>
      </c>
      <c r="E636" s="14" t="s">
        <v>1846</v>
      </c>
    </row>
    <row r="637">
      <c r="A637" s="16" t="s">
        <v>2636</v>
      </c>
      <c r="B637" s="16" t="s">
        <v>3059</v>
      </c>
      <c r="C637" s="1" t="s">
        <v>3310</v>
      </c>
      <c r="D637" s="1">
        <v>1.0</v>
      </c>
      <c r="E637" s="14" t="s">
        <v>1862</v>
      </c>
    </row>
    <row r="638">
      <c r="A638" s="16" t="s">
        <v>2636</v>
      </c>
      <c r="B638" s="16" t="s">
        <v>3276</v>
      </c>
      <c r="C638" s="1" t="s">
        <v>3310</v>
      </c>
      <c r="D638" s="1">
        <v>1.0</v>
      </c>
      <c r="E638" s="14" t="s">
        <v>1846</v>
      </c>
    </row>
    <row r="639">
      <c r="A639" s="16" t="s">
        <v>2626</v>
      </c>
      <c r="B639" s="16" t="s">
        <v>3127</v>
      </c>
      <c r="C639" s="1" t="s">
        <v>3310</v>
      </c>
      <c r="D639" s="1">
        <v>1.0</v>
      </c>
      <c r="E639" s="14" t="s">
        <v>1862</v>
      </c>
    </row>
    <row r="640">
      <c r="A640" s="16" t="s">
        <v>2626</v>
      </c>
      <c r="B640" s="16" t="s">
        <v>3267</v>
      </c>
      <c r="C640" s="1" t="s">
        <v>3310</v>
      </c>
      <c r="D640" s="1">
        <v>1.0</v>
      </c>
      <c r="E640" s="14" t="s">
        <v>1846</v>
      </c>
    </row>
    <row r="641">
      <c r="A641" s="16" t="s">
        <v>2626</v>
      </c>
      <c r="B641" s="16" t="s">
        <v>3136</v>
      </c>
      <c r="C641" s="1" t="s">
        <v>3310</v>
      </c>
      <c r="D641" s="1">
        <v>1.0</v>
      </c>
      <c r="E641" s="14" t="s">
        <v>1853</v>
      </c>
    </row>
    <row r="642">
      <c r="A642" s="16" t="s">
        <v>2626</v>
      </c>
      <c r="B642" s="16" t="s">
        <v>3136</v>
      </c>
      <c r="C642" s="1" t="s">
        <v>3310</v>
      </c>
      <c r="D642" s="1">
        <v>1.0</v>
      </c>
      <c r="E642" s="14" t="s">
        <v>1846</v>
      </c>
    </row>
    <row r="643">
      <c r="A643" s="16" t="s">
        <v>2626</v>
      </c>
      <c r="B643" s="16" t="s">
        <v>3269</v>
      </c>
      <c r="C643" s="1" t="s">
        <v>3310</v>
      </c>
      <c r="D643" s="1">
        <v>1.0</v>
      </c>
      <c r="E643" s="14" t="s">
        <v>1862</v>
      </c>
    </row>
    <row r="644">
      <c r="A644" s="16" t="s">
        <v>2626</v>
      </c>
      <c r="B644" s="16" t="s">
        <v>3059</v>
      </c>
      <c r="C644" s="1" t="s">
        <v>3310</v>
      </c>
      <c r="D644" s="1">
        <v>1.0</v>
      </c>
      <c r="E644" s="14" t="s">
        <v>1862</v>
      </c>
    </row>
    <row r="645">
      <c r="A645" s="16" t="s">
        <v>2626</v>
      </c>
      <c r="B645" s="16" t="s">
        <v>3072</v>
      </c>
      <c r="C645" s="1" t="s">
        <v>3310</v>
      </c>
      <c r="D645" s="1">
        <v>1.0</v>
      </c>
      <c r="E645" s="14" t="s">
        <v>1846</v>
      </c>
    </row>
    <row r="646">
      <c r="A646" s="16" t="s">
        <v>2626</v>
      </c>
      <c r="B646" s="16" t="s">
        <v>3075</v>
      </c>
      <c r="C646" s="1" t="s">
        <v>3310</v>
      </c>
      <c r="D646" s="1">
        <v>1.0</v>
      </c>
      <c r="E646" s="14" t="s">
        <v>1862</v>
      </c>
    </row>
    <row r="647">
      <c r="A647" s="16" t="s">
        <v>2626</v>
      </c>
      <c r="B647" s="16" t="s">
        <v>3117</v>
      </c>
      <c r="C647" s="1" t="s">
        <v>3310</v>
      </c>
      <c r="D647" s="1">
        <v>1.0</v>
      </c>
      <c r="E647" s="14" t="s">
        <v>1853</v>
      </c>
    </row>
    <row r="648">
      <c r="A648" s="16" t="s">
        <v>2408</v>
      </c>
      <c r="B648" s="16" t="s">
        <v>3092</v>
      </c>
      <c r="C648" s="1" t="s">
        <v>3310</v>
      </c>
      <c r="D648" s="1">
        <v>1.0</v>
      </c>
      <c r="E648" s="14" t="s">
        <v>1853</v>
      </c>
    </row>
    <row r="649">
      <c r="A649" s="16" t="s">
        <v>2408</v>
      </c>
      <c r="B649" s="16" t="s">
        <v>3029</v>
      </c>
      <c r="C649" s="1" t="s">
        <v>3310</v>
      </c>
      <c r="D649" s="1">
        <v>1.0</v>
      </c>
      <c r="E649" s="14" t="s">
        <v>1853</v>
      </c>
    </row>
    <row r="650">
      <c r="A650" s="16" t="s">
        <v>2408</v>
      </c>
      <c r="B650" s="16" t="s">
        <v>3029</v>
      </c>
      <c r="C650" s="1" t="s">
        <v>3310</v>
      </c>
      <c r="D650" s="1">
        <v>1.0</v>
      </c>
      <c r="E650" s="14" t="s">
        <v>1846</v>
      </c>
    </row>
    <row r="651">
      <c r="A651" s="16" t="s">
        <v>2408</v>
      </c>
      <c r="B651" s="16" t="s">
        <v>3124</v>
      </c>
      <c r="C651" s="1" t="s">
        <v>3310</v>
      </c>
      <c r="D651" s="1">
        <v>1.0</v>
      </c>
      <c r="E651" s="14" t="s">
        <v>1846</v>
      </c>
    </row>
    <row r="652">
      <c r="A652" s="16" t="s">
        <v>2408</v>
      </c>
      <c r="B652" s="16" t="s">
        <v>3136</v>
      </c>
      <c r="C652" s="1" t="s">
        <v>3310</v>
      </c>
      <c r="D652" s="1">
        <v>1.0</v>
      </c>
      <c r="E652" s="14" t="s">
        <v>1846</v>
      </c>
    </row>
    <row r="653">
      <c r="A653" s="16" t="s">
        <v>2408</v>
      </c>
      <c r="B653" s="16" t="s">
        <v>3272</v>
      </c>
      <c r="C653" s="1" t="s">
        <v>3310</v>
      </c>
      <c r="D653" s="1">
        <v>1.0</v>
      </c>
      <c r="E653" s="14" t="s">
        <v>1846</v>
      </c>
    </row>
    <row r="654">
      <c r="A654" s="16" t="s">
        <v>2408</v>
      </c>
      <c r="B654" s="16" t="s">
        <v>3279</v>
      </c>
      <c r="C654" s="1" t="s">
        <v>3310</v>
      </c>
      <c r="D654" s="1">
        <v>1.0</v>
      </c>
      <c r="E654" s="14" t="s">
        <v>1846</v>
      </c>
    </row>
    <row r="655">
      <c r="A655" s="16" t="s">
        <v>2639</v>
      </c>
      <c r="B655" s="16" t="s">
        <v>3120</v>
      </c>
      <c r="C655" s="1" t="s">
        <v>3310</v>
      </c>
      <c r="D655" s="1">
        <v>1.0</v>
      </c>
      <c r="E655" s="14" t="s">
        <v>1846</v>
      </c>
    </row>
    <row r="656">
      <c r="A656" s="16" t="s">
        <v>2639</v>
      </c>
      <c r="B656" s="16" t="s">
        <v>3037</v>
      </c>
      <c r="C656" s="1" t="s">
        <v>3310</v>
      </c>
      <c r="D656" s="1">
        <v>1.0</v>
      </c>
      <c r="E656" s="14" t="s">
        <v>1846</v>
      </c>
    </row>
    <row r="657">
      <c r="A657" s="16" t="s">
        <v>2639</v>
      </c>
      <c r="B657" s="16" t="s">
        <v>3040</v>
      </c>
      <c r="C657" s="1" t="s">
        <v>3310</v>
      </c>
      <c r="D657" s="1">
        <v>1.0</v>
      </c>
      <c r="E657" s="14" t="s">
        <v>1853</v>
      </c>
    </row>
    <row r="658">
      <c r="A658" s="16" t="s">
        <v>2639</v>
      </c>
      <c r="B658" s="16" t="s">
        <v>3040</v>
      </c>
      <c r="C658" s="1" t="s">
        <v>3310</v>
      </c>
      <c r="D658" s="1">
        <v>1.0</v>
      </c>
      <c r="E658" s="14" t="s">
        <v>1846</v>
      </c>
    </row>
    <row r="659">
      <c r="A659" s="16" t="s">
        <v>2639</v>
      </c>
      <c r="B659" s="16" t="s">
        <v>3045</v>
      </c>
      <c r="C659" s="1" t="s">
        <v>3310</v>
      </c>
      <c r="D659" s="1">
        <v>1.0</v>
      </c>
      <c r="E659" s="14" t="s">
        <v>1853</v>
      </c>
    </row>
    <row r="660">
      <c r="A660" s="16" t="s">
        <v>2521</v>
      </c>
      <c r="B660" s="16" t="s">
        <v>3055</v>
      </c>
      <c r="C660" s="1" t="s">
        <v>3310</v>
      </c>
      <c r="D660" s="1">
        <v>1.0</v>
      </c>
      <c r="E660" s="14" t="s">
        <v>1862</v>
      </c>
    </row>
    <row r="661">
      <c r="A661" s="16" t="s">
        <v>2521</v>
      </c>
      <c r="B661" s="16" t="s">
        <v>3028</v>
      </c>
      <c r="C661" s="1" t="s">
        <v>3310</v>
      </c>
      <c r="D661" s="1">
        <v>1.0</v>
      </c>
      <c r="E661" s="14" t="s">
        <v>1846</v>
      </c>
    </row>
    <row r="662">
      <c r="A662" s="16" t="s">
        <v>2521</v>
      </c>
      <c r="B662" s="16" t="s">
        <v>3040</v>
      </c>
      <c r="C662" s="1" t="s">
        <v>3310</v>
      </c>
      <c r="D662" s="1">
        <v>1.0</v>
      </c>
      <c r="E662" s="14" t="s">
        <v>1846</v>
      </c>
    </row>
    <row r="663">
      <c r="A663" s="16" t="s">
        <v>2521</v>
      </c>
      <c r="B663" s="16" t="s">
        <v>3029</v>
      </c>
      <c r="C663" s="1" t="s">
        <v>3310</v>
      </c>
      <c r="D663" s="1">
        <v>1.0</v>
      </c>
      <c r="E663" s="14" t="s">
        <v>1853</v>
      </c>
    </row>
    <row r="664">
      <c r="A664" s="16" t="s">
        <v>2521</v>
      </c>
      <c r="B664" s="16" t="s">
        <v>3041</v>
      </c>
      <c r="C664" s="1" t="s">
        <v>3310</v>
      </c>
      <c r="D664" s="1">
        <v>1.0</v>
      </c>
      <c r="E664" s="14" t="s">
        <v>1862</v>
      </c>
    </row>
    <row r="665">
      <c r="A665" s="16" t="s">
        <v>2847</v>
      </c>
      <c r="B665" s="16" t="s">
        <v>3214</v>
      </c>
      <c r="C665" s="1" t="s">
        <v>3310</v>
      </c>
      <c r="D665" s="1">
        <v>1.0</v>
      </c>
      <c r="E665" s="14" t="s">
        <v>1846</v>
      </c>
    </row>
    <row r="666">
      <c r="A666" s="16" t="s">
        <v>2847</v>
      </c>
      <c r="B666" s="16" t="s">
        <v>3223</v>
      </c>
      <c r="C666" s="1" t="s">
        <v>3310</v>
      </c>
      <c r="D666" s="1">
        <v>1.0</v>
      </c>
      <c r="E666" s="14" t="s">
        <v>1846</v>
      </c>
    </row>
    <row r="667">
      <c r="A667" s="16" t="s">
        <v>2847</v>
      </c>
      <c r="B667" s="16" t="s">
        <v>3136</v>
      </c>
      <c r="C667" s="1" t="s">
        <v>3310</v>
      </c>
      <c r="D667" s="1">
        <v>1.0</v>
      </c>
      <c r="E667" s="14" t="s">
        <v>1853</v>
      </c>
    </row>
    <row r="668">
      <c r="A668" s="16" t="s">
        <v>2847</v>
      </c>
      <c r="B668" s="16" t="s">
        <v>3059</v>
      </c>
      <c r="C668" s="1" t="s">
        <v>3310</v>
      </c>
      <c r="D668" s="1">
        <v>1.0</v>
      </c>
      <c r="E668" s="14" t="s">
        <v>1862</v>
      </c>
    </row>
    <row r="669">
      <c r="A669" s="16" t="s">
        <v>2438</v>
      </c>
      <c r="B669" s="16" t="s">
        <v>3059</v>
      </c>
      <c r="C669" s="1" t="s">
        <v>3310</v>
      </c>
      <c r="D669" s="1">
        <v>1.0</v>
      </c>
      <c r="E669" s="14" t="s">
        <v>1862</v>
      </c>
    </row>
    <row r="670">
      <c r="A670" s="16" t="s">
        <v>2438</v>
      </c>
      <c r="B670" s="16" t="s">
        <v>3152</v>
      </c>
      <c r="C670" s="1" t="s">
        <v>3310</v>
      </c>
      <c r="D670" s="1">
        <v>1.0</v>
      </c>
      <c r="E670" s="14" t="s">
        <v>1846</v>
      </c>
    </row>
    <row r="671">
      <c r="A671" s="16" t="s">
        <v>2842</v>
      </c>
      <c r="B671" s="16" t="s">
        <v>3029</v>
      </c>
      <c r="C671" s="1" t="s">
        <v>3310</v>
      </c>
      <c r="D671" s="1">
        <v>1.0</v>
      </c>
      <c r="E671" s="14" t="s">
        <v>1853</v>
      </c>
    </row>
    <row r="672">
      <c r="A672" s="16" t="s">
        <v>2591</v>
      </c>
      <c r="B672" s="16" t="s">
        <v>3059</v>
      </c>
      <c r="C672" s="1" t="s">
        <v>3310</v>
      </c>
      <c r="D672" s="1">
        <v>1.0</v>
      </c>
      <c r="E672" s="14" t="s">
        <v>1862</v>
      </c>
    </row>
    <row r="673">
      <c r="A673" s="16" t="s">
        <v>2908</v>
      </c>
      <c r="B673" s="16" t="s">
        <v>3241</v>
      </c>
      <c r="C673" s="1" t="s">
        <v>3310</v>
      </c>
      <c r="D673" s="1">
        <v>1.0</v>
      </c>
      <c r="E673" s="14" t="s">
        <v>1846</v>
      </c>
    </row>
    <row r="674">
      <c r="A674" s="16" t="s">
        <v>2908</v>
      </c>
      <c r="B674" s="16" t="s">
        <v>3028</v>
      </c>
      <c r="C674" s="1" t="s">
        <v>3310</v>
      </c>
      <c r="D674" s="1">
        <v>1.0</v>
      </c>
      <c r="E674" s="14" t="s">
        <v>1853</v>
      </c>
    </row>
    <row r="675">
      <c r="A675" s="16" t="s">
        <v>2908</v>
      </c>
      <c r="B675" s="16" t="s">
        <v>3028</v>
      </c>
      <c r="C675" s="1" t="s">
        <v>3310</v>
      </c>
      <c r="D675" s="1">
        <v>1.0</v>
      </c>
      <c r="E675" s="14" t="s">
        <v>1846</v>
      </c>
    </row>
    <row r="676">
      <c r="A676" s="16" t="s">
        <v>2908</v>
      </c>
      <c r="B676" s="16" t="s">
        <v>3040</v>
      </c>
      <c r="C676" s="1" t="s">
        <v>3310</v>
      </c>
      <c r="D676" s="1">
        <v>1.0</v>
      </c>
      <c r="E676" s="14" t="s">
        <v>1853</v>
      </c>
    </row>
    <row r="677">
      <c r="A677" s="16" t="s">
        <v>2908</v>
      </c>
      <c r="B677" s="16" t="s">
        <v>3045</v>
      </c>
      <c r="C677" s="1" t="s">
        <v>3310</v>
      </c>
      <c r="D677" s="1">
        <v>1.0</v>
      </c>
      <c r="E677" s="14" t="s">
        <v>1853</v>
      </c>
    </row>
    <row r="678">
      <c r="A678" s="16" t="s">
        <v>2908</v>
      </c>
      <c r="B678" s="16" t="s">
        <v>3050</v>
      </c>
      <c r="C678" s="1" t="s">
        <v>3310</v>
      </c>
      <c r="D678" s="1">
        <v>1.0</v>
      </c>
      <c r="E678" s="14" t="s">
        <v>1846</v>
      </c>
    </row>
    <row r="679">
      <c r="A679" s="16" t="s">
        <v>2437</v>
      </c>
      <c r="B679" s="16" t="s">
        <v>3036</v>
      </c>
      <c r="C679" s="1" t="s">
        <v>3310</v>
      </c>
      <c r="D679" s="1">
        <v>1.0</v>
      </c>
      <c r="E679" s="14" t="s">
        <v>1853</v>
      </c>
    </row>
    <row r="680">
      <c r="A680" s="16" t="s">
        <v>2437</v>
      </c>
      <c r="B680" s="16" t="s">
        <v>3041</v>
      </c>
      <c r="C680" s="1" t="s">
        <v>3310</v>
      </c>
      <c r="D680" s="1">
        <v>1.0</v>
      </c>
      <c r="E680" s="14" t="s">
        <v>1862</v>
      </c>
    </row>
    <row r="681">
      <c r="A681" s="16" t="s">
        <v>2437</v>
      </c>
      <c r="B681" s="16" t="s">
        <v>3046</v>
      </c>
      <c r="C681" s="1" t="s">
        <v>3310</v>
      </c>
      <c r="D681" s="1">
        <v>1.0</v>
      </c>
      <c r="E681" s="14" t="s">
        <v>1853</v>
      </c>
    </row>
    <row r="682">
      <c r="A682" s="16" t="s">
        <v>2437</v>
      </c>
      <c r="B682" s="16" t="s">
        <v>3028</v>
      </c>
      <c r="C682" s="1" t="s">
        <v>3310</v>
      </c>
      <c r="D682" s="1">
        <v>1.0</v>
      </c>
      <c r="E682" s="14" t="s">
        <v>1853</v>
      </c>
    </row>
    <row r="683">
      <c r="A683" s="16" t="s">
        <v>2437</v>
      </c>
      <c r="B683" s="16" t="s">
        <v>3040</v>
      </c>
      <c r="C683" s="1" t="s">
        <v>3310</v>
      </c>
      <c r="D683" s="1">
        <v>1.0</v>
      </c>
      <c r="E683" s="14" t="s">
        <v>1853</v>
      </c>
    </row>
    <row r="684">
      <c r="A684" s="16" t="s">
        <v>2437</v>
      </c>
      <c r="B684" s="16" t="s">
        <v>3148</v>
      </c>
      <c r="C684" s="1" t="s">
        <v>3310</v>
      </c>
      <c r="D684" s="1">
        <v>1.0</v>
      </c>
      <c r="E684" s="14" t="s">
        <v>1846</v>
      </c>
    </row>
    <row r="685">
      <c r="A685" s="16" t="s">
        <v>2437</v>
      </c>
      <c r="B685" s="16" t="s">
        <v>3045</v>
      </c>
      <c r="C685" s="1" t="s">
        <v>3310</v>
      </c>
      <c r="D685" s="1">
        <v>1.0</v>
      </c>
      <c r="E685" s="14" t="s">
        <v>1853</v>
      </c>
    </row>
    <row r="686">
      <c r="A686" s="16" t="s">
        <v>2835</v>
      </c>
      <c r="B686" s="16" t="s">
        <v>3068</v>
      </c>
      <c r="C686" s="1" t="s">
        <v>3310</v>
      </c>
      <c r="D686" s="1">
        <v>1.0</v>
      </c>
      <c r="E686" s="14" t="s">
        <v>1853</v>
      </c>
    </row>
    <row r="687">
      <c r="A687" s="16" t="s">
        <v>2835</v>
      </c>
      <c r="B687" s="16" t="s">
        <v>3067</v>
      </c>
      <c r="C687" s="1" t="s">
        <v>3310</v>
      </c>
      <c r="D687" s="1">
        <v>1.0</v>
      </c>
      <c r="E687" s="14" t="s">
        <v>1853</v>
      </c>
    </row>
    <row r="688">
      <c r="A688" s="16" t="s">
        <v>2835</v>
      </c>
      <c r="B688" s="16" t="s">
        <v>3029</v>
      </c>
      <c r="C688" s="1" t="s">
        <v>3310</v>
      </c>
      <c r="D688" s="1">
        <v>1.0</v>
      </c>
      <c r="E688" s="14" t="s">
        <v>1853</v>
      </c>
    </row>
    <row r="689">
      <c r="A689" s="16" t="s">
        <v>2835</v>
      </c>
      <c r="B689" s="16" t="s">
        <v>3053</v>
      </c>
      <c r="C689" s="1" t="s">
        <v>3310</v>
      </c>
      <c r="D689" s="1">
        <v>1.0</v>
      </c>
      <c r="E689" s="14" t="s">
        <v>1862</v>
      </c>
    </row>
    <row r="690">
      <c r="A690" s="16" t="s">
        <v>2835</v>
      </c>
      <c r="B690" s="16" t="s">
        <v>3252</v>
      </c>
      <c r="C690" s="1" t="s">
        <v>3310</v>
      </c>
      <c r="D690" s="1">
        <v>1.0</v>
      </c>
      <c r="E690" s="14" t="s">
        <v>1862</v>
      </c>
    </row>
    <row r="691">
      <c r="A691" s="16" t="s">
        <v>2444</v>
      </c>
      <c r="B691" s="16" t="s">
        <v>3028</v>
      </c>
      <c r="C691" s="1" t="s">
        <v>3310</v>
      </c>
      <c r="D691" s="1">
        <v>1.0</v>
      </c>
      <c r="E691" s="14" t="s">
        <v>1853</v>
      </c>
    </row>
    <row r="692">
      <c r="A692" s="16" t="s">
        <v>2444</v>
      </c>
      <c r="B692" s="16" t="s">
        <v>3059</v>
      </c>
      <c r="C692" s="1" t="s">
        <v>3310</v>
      </c>
      <c r="D692" s="1">
        <v>1.0</v>
      </c>
      <c r="E692" s="14" t="s">
        <v>1862</v>
      </c>
    </row>
    <row r="693">
      <c r="A693" s="16" t="s">
        <v>2444</v>
      </c>
      <c r="B693" s="16" t="s">
        <v>3029</v>
      </c>
      <c r="C693" s="1" t="s">
        <v>3310</v>
      </c>
      <c r="D693" s="1">
        <v>1.0</v>
      </c>
      <c r="E693" s="14" t="s">
        <v>1853</v>
      </c>
    </row>
    <row r="694">
      <c r="A694" s="16" t="s">
        <v>2440</v>
      </c>
      <c r="B694" s="16" t="s">
        <v>3135</v>
      </c>
      <c r="C694" s="1" t="s">
        <v>3310</v>
      </c>
      <c r="D694" s="1">
        <v>1.0</v>
      </c>
      <c r="E694" s="14" t="s">
        <v>1862</v>
      </c>
    </row>
    <row r="695">
      <c r="A695" s="16" t="s">
        <v>2440</v>
      </c>
      <c r="B695" s="16" t="s">
        <v>3028</v>
      </c>
      <c r="C695" s="1" t="s">
        <v>3310</v>
      </c>
      <c r="D695" s="1">
        <v>1.0</v>
      </c>
      <c r="E695" s="14" t="s">
        <v>1853</v>
      </c>
    </row>
    <row r="696">
      <c r="A696" s="16" t="s">
        <v>2440</v>
      </c>
      <c r="B696" s="16" t="s">
        <v>3067</v>
      </c>
      <c r="C696" s="1" t="s">
        <v>3310</v>
      </c>
      <c r="D696" s="1">
        <v>1.0</v>
      </c>
      <c r="E696" s="14" t="s">
        <v>1853</v>
      </c>
    </row>
    <row r="697">
      <c r="A697" s="16" t="s">
        <v>2440</v>
      </c>
      <c r="B697" s="16" t="s">
        <v>3059</v>
      </c>
      <c r="C697" s="1" t="s">
        <v>3310</v>
      </c>
      <c r="D697" s="1">
        <v>1.0</v>
      </c>
      <c r="E697" s="14" t="s">
        <v>1862</v>
      </c>
    </row>
    <row r="698">
      <c r="A698" s="16" t="s">
        <v>2440</v>
      </c>
      <c r="B698" s="16" t="s">
        <v>3029</v>
      </c>
      <c r="C698" s="1" t="s">
        <v>3310</v>
      </c>
      <c r="D698" s="1">
        <v>1.0</v>
      </c>
      <c r="E698" s="14" t="s">
        <v>1853</v>
      </c>
    </row>
    <row r="699">
      <c r="A699" s="16" t="s">
        <v>2900</v>
      </c>
      <c r="B699" s="16" t="s">
        <v>3165</v>
      </c>
      <c r="C699" s="1" t="s">
        <v>3310</v>
      </c>
      <c r="D699" s="1">
        <v>1.0</v>
      </c>
      <c r="E699" s="14" t="s">
        <v>1846</v>
      </c>
    </row>
    <row r="700">
      <c r="A700" s="16" t="s">
        <v>2900</v>
      </c>
      <c r="B700" s="16" t="s">
        <v>3046</v>
      </c>
      <c r="C700" s="1" t="s">
        <v>3310</v>
      </c>
      <c r="D700" s="1">
        <v>1.0</v>
      </c>
      <c r="E700" s="14" t="s">
        <v>1846</v>
      </c>
    </row>
    <row r="701">
      <c r="A701" s="16" t="s">
        <v>2900</v>
      </c>
      <c r="B701" s="16" t="s">
        <v>3055</v>
      </c>
      <c r="C701" s="1" t="s">
        <v>3310</v>
      </c>
      <c r="D701" s="1">
        <v>1.0</v>
      </c>
      <c r="E701" s="14" t="s">
        <v>1862</v>
      </c>
    </row>
    <row r="702">
      <c r="A702" s="16" t="s">
        <v>2900</v>
      </c>
      <c r="B702" s="16" t="s">
        <v>3136</v>
      </c>
      <c r="C702" s="1" t="s">
        <v>3310</v>
      </c>
      <c r="D702" s="1">
        <v>1.0</v>
      </c>
      <c r="E702" s="14" t="s">
        <v>1846</v>
      </c>
    </row>
    <row r="703">
      <c r="A703" s="16" t="s">
        <v>2646</v>
      </c>
      <c r="B703" s="16" t="s">
        <v>3132</v>
      </c>
      <c r="C703" s="1" t="s">
        <v>3310</v>
      </c>
      <c r="D703" s="1">
        <v>1.0</v>
      </c>
      <c r="E703" s="14" t="s">
        <v>1862</v>
      </c>
    </row>
    <row r="704">
      <c r="A704" s="16" t="s">
        <v>2646</v>
      </c>
      <c r="B704" s="16" t="s">
        <v>3055</v>
      </c>
      <c r="C704" s="1" t="s">
        <v>3310</v>
      </c>
      <c r="D704" s="1">
        <v>1.0</v>
      </c>
      <c r="E704" s="14" t="s">
        <v>1862</v>
      </c>
    </row>
    <row r="705">
      <c r="A705" s="16" t="s">
        <v>2575</v>
      </c>
      <c r="B705" s="16" t="s">
        <v>3059</v>
      </c>
      <c r="C705" s="1" t="s">
        <v>3310</v>
      </c>
      <c r="D705" s="1">
        <v>1.0</v>
      </c>
      <c r="E705" s="14" t="s">
        <v>1862</v>
      </c>
    </row>
    <row r="706">
      <c r="A706" s="16" t="s">
        <v>2575</v>
      </c>
      <c r="B706" s="16" t="s">
        <v>3055</v>
      </c>
      <c r="C706" s="1" t="s">
        <v>3310</v>
      </c>
      <c r="D706" s="1">
        <v>1.0</v>
      </c>
      <c r="E706" s="14" t="s">
        <v>1862</v>
      </c>
    </row>
    <row r="707">
      <c r="A707" s="16" t="s">
        <v>2575</v>
      </c>
      <c r="B707" s="16" t="s">
        <v>3159</v>
      </c>
      <c r="C707" s="1" t="s">
        <v>3310</v>
      </c>
      <c r="D707" s="1">
        <v>1.0</v>
      </c>
      <c r="E707" s="14" t="s">
        <v>1862</v>
      </c>
    </row>
    <row r="708">
      <c r="A708" s="16" t="s">
        <v>2803</v>
      </c>
      <c r="B708" s="16" t="s">
        <v>3052</v>
      </c>
      <c r="C708" s="1" t="s">
        <v>3310</v>
      </c>
      <c r="D708" s="1">
        <v>1.0</v>
      </c>
      <c r="E708" s="14" t="s">
        <v>1846</v>
      </c>
    </row>
    <row r="709">
      <c r="A709" s="16" t="s">
        <v>2803</v>
      </c>
      <c r="B709" s="16" t="s">
        <v>3218</v>
      </c>
      <c r="C709" s="1" t="s">
        <v>3310</v>
      </c>
      <c r="D709" s="1">
        <v>1.0</v>
      </c>
      <c r="E709" s="14" t="s">
        <v>1846</v>
      </c>
    </row>
    <row r="710">
      <c r="A710" s="16" t="s">
        <v>2468</v>
      </c>
      <c r="B710" s="16" t="s">
        <v>3230</v>
      </c>
      <c r="C710" s="1" t="s">
        <v>3310</v>
      </c>
      <c r="D710" s="1">
        <v>1.0</v>
      </c>
      <c r="E710" s="14" t="s">
        <v>1853</v>
      </c>
    </row>
    <row r="711">
      <c r="A711" s="16" t="s">
        <v>2468</v>
      </c>
      <c r="B711" s="16" t="s">
        <v>3240</v>
      </c>
      <c r="C711" s="1" t="s">
        <v>3310</v>
      </c>
      <c r="D711" s="1">
        <v>1.0</v>
      </c>
      <c r="E711" s="14" t="s">
        <v>1846</v>
      </c>
    </row>
    <row r="712">
      <c r="A712" s="16" t="s">
        <v>2468</v>
      </c>
      <c r="B712" s="16" t="s">
        <v>3059</v>
      </c>
      <c r="C712" s="1" t="s">
        <v>3310</v>
      </c>
      <c r="D712" s="1">
        <v>1.0</v>
      </c>
      <c r="E712" s="14" t="s">
        <v>1862</v>
      </c>
    </row>
    <row r="713">
      <c r="A713" s="16" t="s">
        <v>2834</v>
      </c>
      <c r="B713" s="16" t="s">
        <v>3142</v>
      </c>
      <c r="C713" s="1" t="s">
        <v>3310</v>
      </c>
      <c r="D713" s="1">
        <v>1.0</v>
      </c>
      <c r="E713" s="14" t="s">
        <v>1853</v>
      </c>
    </row>
    <row r="714">
      <c r="A714" s="16" t="s">
        <v>2834</v>
      </c>
      <c r="B714" s="16" t="s">
        <v>3059</v>
      </c>
      <c r="C714" s="1" t="s">
        <v>3310</v>
      </c>
      <c r="D714" s="1">
        <v>1.0</v>
      </c>
      <c r="E714" s="14" t="s">
        <v>1862</v>
      </c>
    </row>
    <row r="715">
      <c r="A715" s="16" t="s">
        <v>2834</v>
      </c>
      <c r="B715" s="16" t="s">
        <v>3053</v>
      </c>
      <c r="C715" s="1" t="s">
        <v>3310</v>
      </c>
      <c r="D715" s="1">
        <v>1.0</v>
      </c>
      <c r="E715" s="14" t="s">
        <v>1862</v>
      </c>
    </row>
    <row r="716">
      <c r="A716" s="16" t="s">
        <v>2481</v>
      </c>
      <c r="B716" s="16" t="s">
        <v>3152</v>
      </c>
      <c r="C716" s="1" t="s">
        <v>3310</v>
      </c>
      <c r="D716" s="1">
        <v>1.0</v>
      </c>
      <c r="E716" s="14" t="s">
        <v>1846</v>
      </c>
    </row>
    <row r="717">
      <c r="A717" s="16" t="s">
        <v>2481</v>
      </c>
      <c r="B717" s="16" t="s">
        <v>3055</v>
      </c>
      <c r="C717" s="1" t="s">
        <v>3310</v>
      </c>
      <c r="D717" s="1">
        <v>1.0</v>
      </c>
      <c r="E717" s="14" t="s">
        <v>1862</v>
      </c>
    </row>
    <row r="718">
      <c r="A718" s="16" t="s">
        <v>2862</v>
      </c>
      <c r="B718" s="16" t="s">
        <v>3106</v>
      </c>
      <c r="C718" s="1" t="s">
        <v>3310</v>
      </c>
      <c r="D718" s="1">
        <v>1.0</v>
      </c>
      <c r="E718" s="14" t="s">
        <v>1862</v>
      </c>
    </row>
    <row r="719">
      <c r="A719" s="16" t="s">
        <v>2862</v>
      </c>
      <c r="B719" s="16" t="s">
        <v>3059</v>
      </c>
      <c r="C719" s="1" t="s">
        <v>3310</v>
      </c>
      <c r="D719" s="1">
        <v>1.0</v>
      </c>
      <c r="E719" s="14" t="s">
        <v>1862</v>
      </c>
    </row>
    <row r="720">
      <c r="A720" s="16" t="s">
        <v>2862</v>
      </c>
      <c r="B720" s="16" t="s">
        <v>3029</v>
      </c>
      <c r="C720" s="1" t="s">
        <v>3310</v>
      </c>
      <c r="D720" s="1">
        <v>1.0</v>
      </c>
      <c r="E720" s="14" t="s">
        <v>1853</v>
      </c>
    </row>
    <row r="721">
      <c r="A721" s="16" t="s">
        <v>2862</v>
      </c>
      <c r="B721" s="16" t="s">
        <v>3274</v>
      </c>
      <c r="C721" s="1" t="s">
        <v>3310</v>
      </c>
      <c r="D721" s="1">
        <v>1.0</v>
      </c>
      <c r="E721" s="14" t="s">
        <v>1862</v>
      </c>
    </row>
    <row r="722">
      <c r="A722" s="16" t="s">
        <v>2862</v>
      </c>
      <c r="B722" s="16" t="s">
        <v>3055</v>
      </c>
      <c r="C722" s="1" t="s">
        <v>3310</v>
      </c>
      <c r="D722" s="1">
        <v>1.0</v>
      </c>
      <c r="E722" s="14" t="s">
        <v>1862</v>
      </c>
    </row>
    <row r="723">
      <c r="A723" s="16" t="s">
        <v>2740</v>
      </c>
      <c r="B723" s="16" t="s">
        <v>3028</v>
      </c>
      <c r="C723" s="1" t="s">
        <v>3310</v>
      </c>
      <c r="D723" s="1">
        <v>1.0</v>
      </c>
      <c r="E723" s="14" t="s">
        <v>1853</v>
      </c>
    </row>
    <row r="724">
      <c r="A724" s="16" t="s">
        <v>2740</v>
      </c>
      <c r="B724" s="16" t="s">
        <v>3148</v>
      </c>
      <c r="C724" s="1" t="s">
        <v>3310</v>
      </c>
      <c r="D724" s="1">
        <v>1.0</v>
      </c>
      <c r="E724" s="14" t="s">
        <v>1846</v>
      </c>
    </row>
    <row r="725">
      <c r="A725" s="16" t="s">
        <v>2651</v>
      </c>
      <c r="B725" s="16" t="s">
        <v>3105</v>
      </c>
      <c r="C725" s="1" t="s">
        <v>3310</v>
      </c>
      <c r="D725" s="1">
        <v>1.0</v>
      </c>
      <c r="E725" s="14" t="s">
        <v>1853</v>
      </c>
    </row>
    <row r="726">
      <c r="A726" s="16" t="s">
        <v>2651</v>
      </c>
      <c r="B726" s="16" t="s">
        <v>3110</v>
      </c>
      <c r="C726" s="1" t="s">
        <v>3310</v>
      </c>
      <c r="D726" s="1">
        <v>1.0</v>
      </c>
      <c r="E726" s="14" t="s">
        <v>1853</v>
      </c>
    </row>
    <row r="727">
      <c r="A727" s="16" t="s">
        <v>2766</v>
      </c>
      <c r="B727" s="16" t="s">
        <v>3055</v>
      </c>
      <c r="C727" s="1" t="s">
        <v>3310</v>
      </c>
      <c r="D727" s="1">
        <v>1.0</v>
      </c>
      <c r="E727" s="14" t="s">
        <v>1862</v>
      </c>
    </row>
    <row r="728">
      <c r="A728" s="16" t="s">
        <v>2766</v>
      </c>
      <c r="B728" s="16" t="s">
        <v>3040</v>
      </c>
      <c r="C728" s="1" t="s">
        <v>3310</v>
      </c>
      <c r="D728" s="1">
        <v>1.0</v>
      </c>
      <c r="E728" s="14" t="s">
        <v>1846</v>
      </c>
    </row>
    <row r="729">
      <c r="A729" s="16" t="s">
        <v>2514</v>
      </c>
      <c r="B729" s="16" t="s">
        <v>3029</v>
      </c>
      <c r="C729" s="1" t="s">
        <v>3310</v>
      </c>
      <c r="D729" s="1">
        <v>1.0</v>
      </c>
      <c r="E729" s="14" t="s">
        <v>1853</v>
      </c>
    </row>
    <row r="730">
      <c r="A730" s="16" t="s">
        <v>2553</v>
      </c>
      <c r="B730" s="16" t="s">
        <v>3028</v>
      </c>
      <c r="C730" s="1" t="s">
        <v>3310</v>
      </c>
      <c r="D730" s="1">
        <v>1.0</v>
      </c>
      <c r="E730" s="14" t="s">
        <v>1846</v>
      </c>
    </row>
    <row r="731">
      <c r="A731" s="16" t="s">
        <v>2553</v>
      </c>
      <c r="B731" s="16" t="s">
        <v>3045</v>
      </c>
      <c r="C731" s="1" t="s">
        <v>3310</v>
      </c>
      <c r="D731" s="1">
        <v>1.0</v>
      </c>
      <c r="E731" s="14" t="s">
        <v>1846</v>
      </c>
    </row>
    <row r="732">
      <c r="A732" s="16" t="s">
        <v>2638</v>
      </c>
      <c r="B732" s="16" t="s">
        <v>3045</v>
      </c>
      <c r="C732" s="1" t="s">
        <v>3310</v>
      </c>
      <c r="D732" s="1">
        <v>1.0</v>
      </c>
      <c r="E732" s="14" t="s">
        <v>1853</v>
      </c>
    </row>
    <row r="733">
      <c r="A733" s="16" t="s">
        <v>2638</v>
      </c>
      <c r="B733" s="16" t="s">
        <v>3024</v>
      </c>
      <c r="C733" s="1" t="s">
        <v>3310</v>
      </c>
      <c r="D733" s="1">
        <v>1.0</v>
      </c>
      <c r="E733" s="14" t="s">
        <v>1853</v>
      </c>
    </row>
    <row r="734">
      <c r="A734" s="16" t="s">
        <v>2832</v>
      </c>
      <c r="B734" s="16" t="s">
        <v>3029</v>
      </c>
      <c r="C734" s="1" t="s">
        <v>3310</v>
      </c>
      <c r="D734" s="1">
        <v>1.0</v>
      </c>
      <c r="E734" s="14" t="s">
        <v>1853</v>
      </c>
    </row>
    <row r="735">
      <c r="A735" s="16" t="s">
        <v>2640</v>
      </c>
      <c r="B735" s="16" t="s">
        <v>3199</v>
      </c>
      <c r="C735" s="1" t="s">
        <v>3310</v>
      </c>
      <c r="D735" s="1">
        <v>1.0</v>
      </c>
      <c r="E735" s="14" t="s">
        <v>1853</v>
      </c>
    </row>
    <row r="736">
      <c r="A736" s="16" t="s">
        <v>2640</v>
      </c>
      <c r="B736" s="16" t="s">
        <v>3263</v>
      </c>
      <c r="C736" s="1" t="s">
        <v>3310</v>
      </c>
      <c r="D736" s="1">
        <v>1.0</v>
      </c>
      <c r="E736" s="14" t="s">
        <v>1862</v>
      </c>
    </row>
    <row r="737">
      <c r="A737" s="16" t="s">
        <v>2640</v>
      </c>
      <c r="B737" s="16" t="s">
        <v>3265</v>
      </c>
      <c r="C737" s="1" t="s">
        <v>3310</v>
      </c>
      <c r="D737" s="1">
        <v>1.0</v>
      </c>
      <c r="E737" s="14" t="s">
        <v>1853</v>
      </c>
    </row>
    <row r="738">
      <c r="A738" s="16" t="s">
        <v>2412</v>
      </c>
      <c r="B738" s="16" t="s">
        <v>3029</v>
      </c>
      <c r="C738" s="1" t="s">
        <v>3310</v>
      </c>
      <c r="D738" s="1">
        <v>1.0</v>
      </c>
      <c r="E738" s="14" t="s">
        <v>1853</v>
      </c>
    </row>
    <row r="739">
      <c r="A739" s="16" t="s">
        <v>2412</v>
      </c>
      <c r="B739" s="16" t="s">
        <v>3250</v>
      </c>
      <c r="C739" s="1" t="s">
        <v>3310</v>
      </c>
      <c r="D739" s="1">
        <v>1.0</v>
      </c>
      <c r="E739" s="14" t="s">
        <v>1862</v>
      </c>
    </row>
    <row r="740">
      <c r="A740" s="16" t="s">
        <v>2412</v>
      </c>
      <c r="B740" s="16" t="s">
        <v>3059</v>
      </c>
      <c r="C740" s="1" t="s">
        <v>3310</v>
      </c>
      <c r="D740" s="1">
        <v>1.0</v>
      </c>
      <c r="E740" s="14" t="s">
        <v>1862</v>
      </c>
    </row>
    <row r="741">
      <c r="A741" s="16" t="s">
        <v>2635</v>
      </c>
      <c r="B741" s="16" t="s">
        <v>3268</v>
      </c>
      <c r="C741" s="1" t="s">
        <v>3310</v>
      </c>
      <c r="D741" s="1">
        <v>1.0</v>
      </c>
      <c r="E741" s="14" t="s">
        <v>1846</v>
      </c>
    </row>
    <row r="742">
      <c r="A742" s="16" t="s">
        <v>2635</v>
      </c>
      <c r="B742" s="16" t="s">
        <v>3080</v>
      </c>
      <c r="C742" s="1" t="s">
        <v>3310</v>
      </c>
      <c r="D742" s="1">
        <v>1.0</v>
      </c>
      <c r="E742" s="14" t="s">
        <v>1862</v>
      </c>
    </row>
    <row r="743">
      <c r="A743" s="16" t="s">
        <v>2635</v>
      </c>
      <c r="B743" s="16" t="s">
        <v>3059</v>
      </c>
      <c r="C743" s="1" t="s">
        <v>3310</v>
      </c>
      <c r="D743" s="1">
        <v>1.0</v>
      </c>
      <c r="E743" s="14" t="s">
        <v>1862</v>
      </c>
    </row>
    <row r="744">
      <c r="A744" s="16" t="s">
        <v>2551</v>
      </c>
      <c r="B744" s="16" t="s">
        <v>3067</v>
      </c>
      <c r="C744" s="1" t="s">
        <v>3310</v>
      </c>
      <c r="D744" s="1">
        <v>1.0</v>
      </c>
      <c r="E744" s="14" t="s">
        <v>1853</v>
      </c>
    </row>
    <row r="745">
      <c r="A745" s="16" t="s">
        <v>2551</v>
      </c>
      <c r="B745" s="16" t="s">
        <v>3067</v>
      </c>
      <c r="C745" s="1" t="s">
        <v>3310</v>
      </c>
      <c r="D745" s="1">
        <v>1.0</v>
      </c>
      <c r="E745" s="14" t="s">
        <v>1846</v>
      </c>
    </row>
    <row r="746">
      <c r="A746" s="16" t="s">
        <v>2551</v>
      </c>
      <c r="B746" s="16" t="s">
        <v>3059</v>
      </c>
      <c r="C746" s="1" t="s">
        <v>3310</v>
      </c>
      <c r="D746" s="1">
        <v>1.0</v>
      </c>
      <c r="E746" s="14" t="s">
        <v>1862</v>
      </c>
    </row>
    <row r="747">
      <c r="A747" s="16" t="s">
        <v>2551</v>
      </c>
      <c r="B747" s="16" t="s">
        <v>3242</v>
      </c>
      <c r="C747" s="1" t="s">
        <v>3310</v>
      </c>
      <c r="D747" s="1">
        <v>1.0</v>
      </c>
      <c r="E747" s="14" t="s">
        <v>1846</v>
      </c>
    </row>
    <row r="748">
      <c r="A748" s="16" t="s">
        <v>2551</v>
      </c>
      <c r="B748" s="16" t="s">
        <v>3072</v>
      </c>
      <c r="C748" s="1" t="s">
        <v>3310</v>
      </c>
      <c r="D748" s="1">
        <v>1.0</v>
      </c>
      <c r="E748" s="14" t="s">
        <v>1853</v>
      </c>
    </row>
    <row r="749">
      <c r="A749" s="16" t="s">
        <v>2551</v>
      </c>
      <c r="B749" s="16" t="s">
        <v>3245</v>
      </c>
      <c r="C749" s="1" t="s">
        <v>3310</v>
      </c>
      <c r="D749" s="1">
        <v>1.0</v>
      </c>
      <c r="E749" s="14" t="s">
        <v>1862</v>
      </c>
    </row>
    <row r="750">
      <c r="A750" s="16" t="s">
        <v>2573</v>
      </c>
      <c r="B750" s="16" t="s">
        <v>3029</v>
      </c>
      <c r="C750" s="1" t="s">
        <v>3310</v>
      </c>
      <c r="D750" s="1">
        <v>1.0</v>
      </c>
      <c r="E750" s="14" t="s">
        <v>1853</v>
      </c>
    </row>
    <row r="751">
      <c r="A751" s="16" t="s">
        <v>2573</v>
      </c>
      <c r="B751" s="16" t="s">
        <v>3028</v>
      </c>
      <c r="C751" s="1" t="s">
        <v>3310</v>
      </c>
      <c r="D751" s="1">
        <v>1.0</v>
      </c>
      <c r="E751" s="14" t="s">
        <v>1853</v>
      </c>
    </row>
    <row r="752">
      <c r="A752" s="16" t="s">
        <v>2573</v>
      </c>
      <c r="B752" s="16" t="s">
        <v>3040</v>
      </c>
      <c r="C752" s="1" t="s">
        <v>3310</v>
      </c>
      <c r="D752" s="1">
        <v>1.0</v>
      </c>
      <c r="E752" s="14" t="s">
        <v>1846</v>
      </c>
    </row>
    <row r="753">
      <c r="A753" s="16" t="s">
        <v>2912</v>
      </c>
      <c r="B753" s="16" t="s">
        <v>3216</v>
      </c>
      <c r="C753" s="1" t="s">
        <v>3310</v>
      </c>
      <c r="D753" s="1">
        <v>1.0</v>
      </c>
      <c r="E753" s="14" t="s">
        <v>1853</v>
      </c>
    </row>
    <row r="754">
      <c r="A754" s="16" t="s">
        <v>2912</v>
      </c>
      <c r="B754" s="16" t="s">
        <v>3216</v>
      </c>
      <c r="C754" s="1" t="s">
        <v>3310</v>
      </c>
      <c r="D754" s="1">
        <v>1.0</v>
      </c>
      <c r="E754" s="14" t="s">
        <v>1846</v>
      </c>
    </row>
    <row r="755">
      <c r="A755" s="16" t="s">
        <v>2912</v>
      </c>
      <c r="B755" s="16" t="s">
        <v>3217</v>
      </c>
      <c r="C755" s="1" t="s">
        <v>3310</v>
      </c>
      <c r="D755" s="1">
        <v>1.0</v>
      </c>
      <c r="E755" s="14" t="s">
        <v>1846</v>
      </c>
    </row>
    <row r="756">
      <c r="A756" s="16" t="s">
        <v>2912</v>
      </c>
      <c r="B756" s="16" t="s">
        <v>3229</v>
      </c>
      <c r="C756" s="1" t="s">
        <v>3310</v>
      </c>
      <c r="D756" s="1">
        <v>1.0</v>
      </c>
      <c r="E756" s="14" t="s">
        <v>1862</v>
      </c>
    </row>
    <row r="757">
      <c r="A757" s="16" t="s">
        <v>2780</v>
      </c>
      <c r="B757" s="16" t="s">
        <v>3219</v>
      </c>
      <c r="C757" s="1" t="s">
        <v>3310</v>
      </c>
      <c r="D757" s="1">
        <v>1.0</v>
      </c>
      <c r="E757" s="14" t="s">
        <v>1846</v>
      </c>
    </row>
    <row r="758">
      <c r="A758" s="16" t="s">
        <v>2780</v>
      </c>
      <c r="B758" s="16" t="s">
        <v>3045</v>
      </c>
      <c r="C758" s="1" t="s">
        <v>3310</v>
      </c>
      <c r="D758" s="1">
        <v>1.0</v>
      </c>
      <c r="E758" s="14" t="s">
        <v>1846</v>
      </c>
    </row>
    <row r="759">
      <c r="A759" s="16" t="s">
        <v>2780</v>
      </c>
      <c r="B759" s="16" t="s">
        <v>3029</v>
      </c>
      <c r="C759" s="1" t="s">
        <v>3310</v>
      </c>
      <c r="D759" s="1">
        <v>1.0</v>
      </c>
      <c r="E759" s="14" t="s">
        <v>1853</v>
      </c>
    </row>
    <row r="760">
      <c r="A760" s="16" t="s">
        <v>2462</v>
      </c>
      <c r="B760" s="16" t="s">
        <v>3043</v>
      </c>
      <c r="C760" s="1" t="s">
        <v>3310</v>
      </c>
      <c r="D760" s="1">
        <v>1.0</v>
      </c>
      <c r="E760" s="14" t="s">
        <v>1853</v>
      </c>
    </row>
    <row r="761">
      <c r="A761" s="16" t="s">
        <v>2945</v>
      </c>
      <c r="B761" s="16" t="s">
        <v>3029</v>
      </c>
      <c r="C761" s="1" t="s">
        <v>3310</v>
      </c>
      <c r="D761" s="1">
        <v>1.0</v>
      </c>
      <c r="E761" s="14" t="s">
        <v>1853</v>
      </c>
    </row>
    <row r="762">
      <c r="A762" s="16" t="s">
        <v>2945</v>
      </c>
      <c r="B762" s="16" t="s">
        <v>3260</v>
      </c>
      <c r="C762" s="1" t="s">
        <v>3310</v>
      </c>
      <c r="D762" s="1">
        <v>1.0</v>
      </c>
      <c r="E762" s="14" t="s">
        <v>1846</v>
      </c>
    </row>
    <row r="763">
      <c r="A763" s="16" t="s">
        <v>2945</v>
      </c>
      <c r="B763" s="16" t="s">
        <v>3028</v>
      </c>
      <c r="C763" s="1" t="s">
        <v>3310</v>
      </c>
      <c r="D763" s="1">
        <v>1.0</v>
      </c>
      <c r="E763" s="14" t="s">
        <v>1846</v>
      </c>
    </row>
    <row r="764">
      <c r="A764" s="16" t="s">
        <v>2945</v>
      </c>
      <c r="B764" s="16" t="s">
        <v>3045</v>
      </c>
      <c r="C764" s="1" t="s">
        <v>3310</v>
      </c>
      <c r="D764" s="1">
        <v>1.0</v>
      </c>
      <c r="E764" s="14" t="s">
        <v>1846</v>
      </c>
    </row>
    <row r="765">
      <c r="A765" s="16" t="s">
        <v>2565</v>
      </c>
      <c r="B765" s="16" t="s">
        <v>3057</v>
      </c>
      <c r="C765" s="1" t="s">
        <v>3310</v>
      </c>
      <c r="D765" s="1">
        <v>1.0</v>
      </c>
      <c r="E765" s="14" t="s">
        <v>1862</v>
      </c>
    </row>
    <row r="766">
      <c r="A766" s="16" t="s">
        <v>2550</v>
      </c>
      <c r="B766" s="16" t="s">
        <v>3292</v>
      </c>
      <c r="C766" s="1" t="s">
        <v>3310</v>
      </c>
      <c r="D766" s="1">
        <v>1.0</v>
      </c>
      <c r="E766" s="14" t="s">
        <v>1853</v>
      </c>
    </row>
    <row r="767">
      <c r="A767" s="16" t="s">
        <v>2550</v>
      </c>
      <c r="B767" s="16" t="s">
        <v>3293</v>
      </c>
      <c r="C767" s="1" t="s">
        <v>3310</v>
      </c>
      <c r="D767" s="1">
        <v>1.0</v>
      </c>
      <c r="E767" s="14" t="s">
        <v>1862</v>
      </c>
    </row>
    <row r="768">
      <c r="A768" s="16" t="s">
        <v>2550</v>
      </c>
      <c r="B768" s="16" t="s">
        <v>3299</v>
      </c>
      <c r="C768" s="1" t="s">
        <v>3310</v>
      </c>
      <c r="D768" s="1">
        <v>1.0</v>
      </c>
      <c r="E768" s="14" t="s">
        <v>1853</v>
      </c>
    </row>
    <row r="769">
      <c r="A769" s="16" t="s">
        <v>2550</v>
      </c>
      <c r="B769" s="16" t="s">
        <v>3299</v>
      </c>
      <c r="C769" s="1" t="s">
        <v>3310</v>
      </c>
      <c r="D769" s="1">
        <v>1.0</v>
      </c>
      <c r="E769" s="14" t="s">
        <v>1846</v>
      </c>
    </row>
    <row r="770">
      <c r="A770" s="16" t="s">
        <v>2550</v>
      </c>
      <c r="B770" s="16" t="s">
        <v>3301</v>
      </c>
      <c r="C770" s="1" t="s">
        <v>3310</v>
      </c>
      <c r="D770" s="1">
        <v>1.0</v>
      </c>
      <c r="E770" s="14" t="s">
        <v>1853</v>
      </c>
    </row>
    <row r="771">
      <c r="A771" s="16" t="s">
        <v>2550</v>
      </c>
      <c r="B771" s="16" t="s">
        <v>3302</v>
      </c>
      <c r="C771" s="1" t="s">
        <v>3310</v>
      </c>
      <c r="D771" s="1">
        <v>1.0</v>
      </c>
      <c r="E771" s="14" t="s">
        <v>1853</v>
      </c>
    </row>
    <row r="772">
      <c r="A772" s="16" t="s">
        <v>2644</v>
      </c>
      <c r="B772" s="16" t="s">
        <v>3059</v>
      </c>
      <c r="C772" s="1" t="s">
        <v>3310</v>
      </c>
      <c r="D772" s="1">
        <v>1.0</v>
      </c>
      <c r="E772" s="14" t="s">
        <v>1862</v>
      </c>
    </row>
    <row r="773">
      <c r="A773" s="16" t="s">
        <v>2644</v>
      </c>
      <c r="B773" s="16" t="s">
        <v>3029</v>
      </c>
      <c r="C773" s="1" t="s">
        <v>3310</v>
      </c>
      <c r="D773" s="1">
        <v>1.0</v>
      </c>
      <c r="E773" s="14" t="s">
        <v>1853</v>
      </c>
    </row>
    <row r="774">
      <c r="A774" s="16" t="s">
        <v>2644</v>
      </c>
      <c r="B774" s="16" t="s">
        <v>3127</v>
      </c>
      <c r="C774" s="1" t="s">
        <v>3310</v>
      </c>
      <c r="D774" s="1">
        <v>1.0</v>
      </c>
      <c r="E774" s="14" t="s">
        <v>1862</v>
      </c>
    </row>
    <row r="775">
      <c r="A775" s="16" t="s">
        <v>2644</v>
      </c>
      <c r="B775" s="16" t="s">
        <v>3067</v>
      </c>
      <c r="C775" s="1" t="s">
        <v>3310</v>
      </c>
      <c r="D775" s="1">
        <v>1.0</v>
      </c>
      <c r="E775" s="14" t="s">
        <v>1853</v>
      </c>
    </row>
    <row r="776">
      <c r="A776" s="16" t="s">
        <v>2857</v>
      </c>
      <c r="B776" s="16" t="s">
        <v>3028</v>
      </c>
      <c r="C776" s="1" t="s">
        <v>3310</v>
      </c>
      <c r="D776" s="1">
        <v>1.0</v>
      </c>
      <c r="E776" s="14" t="s">
        <v>1853</v>
      </c>
    </row>
    <row r="777">
      <c r="A777" s="16" t="s">
        <v>2478</v>
      </c>
      <c r="B777" s="16" t="s">
        <v>3069</v>
      </c>
      <c r="C777" s="1" t="s">
        <v>3310</v>
      </c>
      <c r="D777" s="1">
        <v>1.0</v>
      </c>
      <c r="E777" s="14" t="s">
        <v>1853</v>
      </c>
    </row>
    <row r="778">
      <c r="A778" s="16" t="s">
        <v>2478</v>
      </c>
      <c r="B778" s="16" t="s">
        <v>3121</v>
      </c>
      <c r="C778" s="1" t="s">
        <v>3310</v>
      </c>
      <c r="D778" s="1">
        <v>1.0</v>
      </c>
      <c r="E778" s="14" t="s">
        <v>1862</v>
      </c>
    </row>
    <row r="779">
      <c r="A779" s="16" t="s">
        <v>2478</v>
      </c>
      <c r="B779" s="16" t="s">
        <v>3028</v>
      </c>
      <c r="C779" s="1" t="s">
        <v>3310</v>
      </c>
      <c r="D779" s="1">
        <v>1.0</v>
      </c>
      <c r="E779" s="14" t="s">
        <v>1853</v>
      </c>
    </row>
    <row r="780">
      <c r="A780" s="16" t="s">
        <v>2478</v>
      </c>
      <c r="B780" s="16" t="s">
        <v>3139</v>
      </c>
      <c r="C780" s="1" t="s">
        <v>3310</v>
      </c>
      <c r="D780" s="1">
        <v>1.0</v>
      </c>
      <c r="E780" s="14" t="s">
        <v>1853</v>
      </c>
    </row>
    <row r="781">
      <c r="A781" s="16" t="s">
        <v>2478</v>
      </c>
      <c r="B781" s="16" t="s">
        <v>3045</v>
      </c>
      <c r="C781" s="1" t="s">
        <v>3310</v>
      </c>
      <c r="D781" s="1">
        <v>1.0</v>
      </c>
      <c r="E781" s="14" t="s">
        <v>1853</v>
      </c>
    </row>
    <row r="782">
      <c r="A782" s="16" t="s">
        <v>2909</v>
      </c>
      <c r="B782" s="16" t="s">
        <v>3059</v>
      </c>
      <c r="C782" s="1" t="s">
        <v>3310</v>
      </c>
      <c r="D782" s="1">
        <v>1.0</v>
      </c>
      <c r="E782" s="14" t="s">
        <v>1862</v>
      </c>
    </row>
    <row r="783">
      <c r="A783" s="16" t="s">
        <v>2909</v>
      </c>
      <c r="B783" s="16" t="s">
        <v>3197</v>
      </c>
      <c r="C783" s="1" t="s">
        <v>3310</v>
      </c>
      <c r="D783" s="1">
        <v>1.0</v>
      </c>
      <c r="E783" s="14" t="s">
        <v>1846</v>
      </c>
    </row>
    <row r="784">
      <c r="A784" s="16" t="s">
        <v>2909</v>
      </c>
      <c r="B784" s="16" t="s">
        <v>3230</v>
      </c>
      <c r="C784" s="1" t="s">
        <v>3310</v>
      </c>
      <c r="D784" s="1">
        <v>1.0</v>
      </c>
      <c r="E784" s="14" t="s">
        <v>1853</v>
      </c>
    </row>
    <row r="785">
      <c r="A785" s="16" t="s">
        <v>2455</v>
      </c>
      <c r="B785" s="16" t="s">
        <v>3055</v>
      </c>
      <c r="C785" s="1" t="s">
        <v>3310</v>
      </c>
      <c r="D785" s="1">
        <v>1.0</v>
      </c>
      <c r="E785" s="14" t="s">
        <v>1862</v>
      </c>
    </row>
    <row r="786">
      <c r="A786" s="16" t="s">
        <v>2455</v>
      </c>
      <c r="B786" s="16" t="s">
        <v>3045</v>
      </c>
      <c r="C786" s="1" t="s">
        <v>3310</v>
      </c>
      <c r="D786" s="1">
        <v>1.0</v>
      </c>
      <c r="E786" s="14" t="s">
        <v>1846</v>
      </c>
    </row>
    <row r="787">
      <c r="A787" s="16" t="s">
        <v>2455</v>
      </c>
      <c r="B787" s="16" t="s">
        <v>3029</v>
      </c>
      <c r="C787" s="1" t="s">
        <v>3310</v>
      </c>
      <c r="D787" s="1">
        <v>1.0</v>
      </c>
      <c r="E787" s="14" t="s">
        <v>1853</v>
      </c>
    </row>
    <row r="788">
      <c r="A788" s="16" t="s">
        <v>2455</v>
      </c>
      <c r="B788" s="16" t="s">
        <v>3180</v>
      </c>
      <c r="C788" s="1" t="s">
        <v>3310</v>
      </c>
      <c r="D788" s="1">
        <v>1.0</v>
      </c>
      <c r="E788" s="14" t="s">
        <v>1846</v>
      </c>
    </row>
    <row r="789">
      <c r="A789" s="16" t="s">
        <v>2455</v>
      </c>
      <c r="B789" s="16" t="s">
        <v>3036</v>
      </c>
      <c r="C789" s="1" t="s">
        <v>3310</v>
      </c>
      <c r="D789" s="1">
        <v>1.0</v>
      </c>
      <c r="E789" s="14" t="s">
        <v>1853</v>
      </c>
    </row>
    <row r="790">
      <c r="A790" s="16" t="s">
        <v>2455</v>
      </c>
      <c r="B790" s="16" t="s">
        <v>2491</v>
      </c>
      <c r="C790" s="1" t="s">
        <v>3310</v>
      </c>
      <c r="D790" s="1">
        <v>1.0</v>
      </c>
      <c r="E790" s="14" t="s">
        <v>1846</v>
      </c>
    </row>
    <row r="791">
      <c r="A791" s="16" t="s">
        <v>2918</v>
      </c>
      <c r="B791" s="16" t="s">
        <v>3136</v>
      </c>
      <c r="C791" s="1" t="s">
        <v>3310</v>
      </c>
      <c r="D791" s="1">
        <v>1.0</v>
      </c>
      <c r="E791" s="14" t="s">
        <v>1846</v>
      </c>
    </row>
    <row r="792">
      <c r="A792" s="16" t="s">
        <v>2918</v>
      </c>
      <c r="B792" s="16" t="s">
        <v>3173</v>
      </c>
      <c r="C792" s="1" t="s">
        <v>3310</v>
      </c>
      <c r="D792" s="1">
        <v>1.0</v>
      </c>
      <c r="E792" s="14" t="s">
        <v>1846</v>
      </c>
    </row>
    <row r="793">
      <c r="A793" s="16" t="s">
        <v>2918</v>
      </c>
      <c r="B793" s="16" t="s">
        <v>3029</v>
      </c>
      <c r="C793" s="1" t="s">
        <v>3310</v>
      </c>
      <c r="D793" s="1">
        <v>1.0</v>
      </c>
      <c r="E793" s="14" t="s">
        <v>1853</v>
      </c>
    </row>
    <row r="794">
      <c r="A794" s="16" t="s">
        <v>2918</v>
      </c>
      <c r="B794" s="16" t="s">
        <v>3175</v>
      </c>
      <c r="C794" s="1" t="s">
        <v>3310</v>
      </c>
      <c r="D794" s="1">
        <v>1.0</v>
      </c>
      <c r="E794" s="14" t="s">
        <v>1846</v>
      </c>
    </row>
    <row r="795">
      <c r="A795" s="16" t="s">
        <v>2918</v>
      </c>
      <c r="B795" s="16" t="s">
        <v>3177</v>
      </c>
      <c r="C795" s="1" t="s">
        <v>3310</v>
      </c>
      <c r="D795" s="1">
        <v>1.0</v>
      </c>
      <c r="E795" s="14" t="s">
        <v>1846</v>
      </c>
    </row>
    <row r="796">
      <c r="A796" s="16" t="s">
        <v>2918</v>
      </c>
      <c r="B796" s="16" t="s">
        <v>3124</v>
      </c>
      <c r="C796" s="1" t="s">
        <v>3310</v>
      </c>
      <c r="D796" s="1">
        <v>1.0</v>
      </c>
      <c r="E796" s="14" t="s">
        <v>1853</v>
      </c>
    </row>
    <row r="797">
      <c r="A797" s="16" t="s">
        <v>2918</v>
      </c>
      <c r="B797" s="16" t="s">
        <v>3188</v>
      </c>
      <c r="C797" s="1" t="s">
        <v>3310</v>
      </c>
      <c r="D797" s="1">
        <v>1.0</v>
      </c>
      <c r="E797" s="14" t="s">
        <v>1862</v>
      </c>
    </row>
    <row r="798">
      <c r="A798" s="16" t="s">
        <v>2918</v>
      </c>
      <c r="B798" s="16" t="s">
        <v>3135</v>
      </c>
      <c r="C798" s="1" t="s">
        <v>3310</v>
      </c>
      <c r="D798" s="1">
        <v>1.0</v>
      </c>
      <c r="E798" s="14" t="s">
        <v>1862</v>
      </c>
    </row>
    <row r="799">
      <c r="A799" s="16" t="s">
        <v>2918</v>
      </c>
      <c r="B799" s="16" t="s">
        <v>3189</v>
      </c>
      <c r="C799" s="1" t="s">
        <v>3310</v>
      </c>
      <c r="D799" s="1">
        <v>1.0</v>
      </c>
      <c r="E799" s="14" t="s">
        <v>1846</v>
      </c>
    </row>
    <row r="800">
      <c r="A800" s="16" t="s">
        <v>2845</v>
      </c>
      <c r="B800" s="16" t="s">
        <v>3028</v>
      </c>
      <c r="C800" s="1" t="s">
        <v>3310</v>
      </c>
      <c r="D800" s="1">
        <v>1.0</v>
      </c>
      <c r="E800" s="14" t="s">
        <v>1853</v>
      </c>
    </row>
    <row r="801">
      <c r="A801" s="16" t="s">
        <v>2861</v>
      </c>
      <c r="B801" s="16" t="s">
        <v>3029</v>
      </c>
      <c r="C801" s="1" t="s">
        <v>3310</v>
      </c>
      <c r="D801" s="1">
        <v>1.0</v>
      </c>
      <c r="E801" s="14" t="s">
        <v>1853</v>
      </c>
    </row>
    <row r="802">
      <c r="A802" s="16" t="s">
        <v>2432</v>
      </c>
      <c r="B802" s="16" t="s">
        <v>3136</v>
      </c>
      <c r="C802" s="1" t="s">
        <v>3310</v>
      </c>
      <c r="D802" s="1">
        <v>1.0</v>
      </c>
      <c r="E802" s="14" t="s">
        <v>1853</v>
      </c>
    </row>
    <row r="803">
      <c r="A803" s="16" t="s">
        <v>2432</v>
      </c>
      <c r="B803" s="16" t="s">
        <v>3059</v>
      </c>
      <c r="C803" s="1" t="s">
        <v>3310</v>
      </c>
      <c r="D803" s="1">
        <v>1.0</v>
      </c>
      <c r="E803" s="14" t="s">
        <v>1862</v>
      </c>
    </row>
    <row r="804">
      <c r="A804" s="16" t="s">
        <v>2883</v>
      </c>
      <c r="B804" s="16" t="s">
        <v>3248</v>
      </c>
      <c r="C804" s="1" t="s">
        <v>3310</v>
      </c>
      <c r="D804" s="1">
        <v>1.0</v>
      </c>
      <c r="E804" s="14" t="s">
        <v>1846</v>
      </c>
    </row>
    <row r="805">
      <c r="A805" s="16" t="s">
        <v>2883</v>
      </c>
      <c r="B805" s="16" t="s">
        <v>3122</v>
      </c>
      <c r="C805" s="1" t="s">
        <v>3310</v>
      </c>
      <c r="D805" s="1">
        <v>1.0</v>
      </c>
      <c r="E805" s="14" t="s">
        <v>1853</v>
      </c>
    </row>
    <row r="806">
      <c r="A806" s="16" t="s">
        <v>2883</v>
      </c>
      <c r="B806" s="16" t="s">
        <v>3122</v>
      </c>
      <c r="C806" s="1" t="s">
        <v>3310</v>
      </c>
      <c r="D806" s="1">
        <v>1.0</v>
      </c>
      <c r="E806" s="14" t="s">
        <v>1846</v>
      </c>
    </row>
    <row r="807">
      <c r="A807" s="16" t="s">
        <v>2883</v>
      </c>
      <c r="B807" s="16" t="s">
        <v>3127</v>
      </c>
      <c r="C807" s="1" t="s">
        <v>3310</v>
      </c>
      <c r="D807" s="1">
        <v>1.0</v>
      </c>
      <c r="E807" s="14" t="s">
        <v>1862</v>
      </c>
    </row>
    <row r="808">
      <c r="A808" s="16" t="s">
        <v>2911</v>
      </c>
      <c r="B808" s="16" t="s">
        <v>3101</v>
      </c>
      <c r="C808" s="1" t="s">
        <v>3310</v>
      </c>
      <c r="D808" s="1">
        <v>1.0</v>
      </c>
      <c r="E808" s="14" t="s">
        <v>1862</v>
      </c>
    </row>
    <row r="809">
      <c r="A809" s="16" t="s">
        <v>2911</v>
      </c>
      <c r="B809" s="16" t="s">
        <v>3222</v>
      </c>
      <c r="C809" s="1" t="s">
        <v>3310</v>
      </c>
      <c r="D809" s="1">
        <v>1.0</v>
      </c>
      <c r="E809" s="14" t="s">
        <v>1846</v>
      </c>
    </row>
    <row r="810">
      <c r="A810" s="16" t="s">
        <v>2911</v>
      </c>
      <c r="B810" s="16" t="s">
        <v>3059</v>
      </c>
      <c r="C810" s="1" t="s">
        <v>3310</v>
      </c>
      <c r="D810" s="1">
        <v>1.0</v>
      </c>
      <c r="E810" s="14" t="s">
        <v>1862</v>
      </c>
    </row>
    <row r="811">
      <c r="A811" s="16" t="s">
        <v>2911</v>
      </c>
      <c r="B811" s="16" t="s">
        <v>3232</v>
      </c>
      <c r="C811" s="1" t="s">
        <v>3310</v>
      </c>
      <c r="D811" s="1">
        <v>1.0</v>
      </c>
      <c r="E811" s="14" t="s">
        <v>1846</v>
      </c>
    </row>
    <row r="812">
      <c r="A812" s="16" t="s">
        <v>2431</v>
      </c>
      <c r="B812" s="16" t="s">
        <v>3068</v>
      </c>
      <c r="C812" s="1" t="s">
        <v>3310</v>
      </c>
      <c r="D812" s="1">
        <v>1.0</v>
      </c>
      <c r="E812" s="14" t="s">
        <v>1853</v>
      </c>
    </row>
    <row r="813">
      <c r="A813" s="16" t="s">
        <v>2431</v>
      </c>
      <c r="B813" s="16" t="s">
        <v>3067</v>
      </c>
      <c r="C813" s="1" t="s">
        <v>3310</v>
      </c>
      <c r="D813" s="1">
        <v>1.0</v>
      </c>
      <c r="E813" s="14" t="s">
        <v>1846</v>
      </c>
    </row>
    <row r="814">
      <c r="A814" s="16" t="s">
        <v>2431</v>
      </c>
      <c r="B814" s="16" t="s">
        <v>3029</v>
      </c>
      <c r="C814" s="1" t="s">
        <v>3310</v>
      </c>
      <c r="D814" s="1">
        <v>1.0</v>
      </c>
      <c r="E814" s="14" t="s">
        <v>1853</v>
      </c>
    </row>
    <row r="815">
      <c r="A815" s="16" t="s">
        <v>2906</v>
      </c>
      <c r="B815" s="16" t="s">
        <v>3068</v>
      </c>
      <c r="C815" s="1" t="s">
        <v>3310</v>
      </c>
      <c r="D815" s="1">
        <v>1.0</v>
      </c>
      <c r="E815" s="14" t="s">
        <v>1846</v>
      </c>
    </row>
    <row r="816">
      <c r="A816" s="16" t="s">
        <v>2906</v>
      </c>
      <c r="B816" s="16" t="s">
        <v>3072</v>
      </c>
      <c r="C816" s="1" t="s">
        <v>3310</v>
      </c>
      <c r="D816" s="1">
        <v>1.0</v>
      </c>
      <c r="E816" s="14" t="s">
        <v>1846</v>
      </c>
    </row>
    <row r="817">
      <c r="A817" s="16" t="s">
        <v>2906</v>
      </c>
      <c r="B817" s="16" t="s">
        <v>3029</v>
      </c>
      <c r="C817" s="1" t="s">
        <v>3310</v>
      </c>
      <c r="D817" s="1">
        <v>1.0</v>
      </c>
      <c r="E817" s="14" t="s">
        <v>1853</v>
      </c>
    </row>
    <row r="818">
      <c r="A818" s="16" t="s">
        <v>2907</v>
      </c>
      <c r="B818" s="16" t="s">
        <v>3239</v>
      </c>
      <c r="C818" s="1" t="s">
        <v>3310</v>
      </c>
      <c r="D818" s="1">
        <v>1.0</v>
      </c>
      <c r="E818" s="14" t="s">
        <v>1853</v>
      </c>
    </row>
    <row r="819">
      <c r="A819" s="16" t="s">
        <v>2907</v>
      </c>
      <c r="B819" s="16" t="s">
        <v>3243</v>
      </c>
      <c r="C819" s="1" t="s">
        <v>3310</v>
      </c>
      <c r="D819" s="1">
        <v>1.0</v>
      </c>
      <c r="E819" s="14" t="s">
        <v>1862</v>
      </c>
    </row>
    <row r="820">
      <c r="A820" s="16" t="s">
        <v>2907</v>
      </c>
      <c r="B820" s="16" t="s">
        <v>3244</v>
      </c>
      <c r="C820" s="1" t="s">
        <v>3310</v>
      </c>
      <c r="D820" s="1">
        <v>1.0</v>
      </c>
      <c r="E820" s="14" t="s">
        <v>1862</v>
      </c>
    </row>
    <row r="821">
      <c r="A821" s="16" t="s">
        <v>2907</v>
      </c>
      <c r="B821" s="16" t="s">
        <v>3246</v>
      </c>
      <c r="C821" s="1" t="s">
        <v>3310</v>
      </c>
      <c r="D821" s="1">
        <v>1.0</v>
      </c>
      <c r="E821" s="14" t="s">
        <v>1862</v>
      </c>
    </row>
    <row r="822">
      <c r="A822" s="16" t="s">
        <v>2907</v>
      </c>
      <c r="B822" s="16" t="s">
        <v>3249</v>
      </c>
      <c r="C822" s="1" t="s">
        <v>3310</v>
      </c>
      <c r="D822" s="1">
        <v>1.0</v>
      </c>
      <c r="E822" s="14" t="s">
        <v>1862</v>
      </c>
    </row>
    <row r="823">
      <c r="A823" s="16" t="s">
        <v>2907</v>
      </c>
      <c r="B823" s="16" t="s">
        <v>3251</v>
      </c>
      <c r="C823" s="1" t="s">
        <v>3310</v>
      </c>
      <c r="D823" s="1">
        <v>1.0</v>
      </c>
      <c r="E823" s="14" t="s">
        <v>1862</v>
      </c>
    </row>
    <row r="824">
      <c r="A824" s="16" t="s">
        <v>2831</v>
      </c>
      <c r="B824" s="16" t="s">
        <v>3135</v>
      </c>
      <c r="C824" s="1" t="s">
        <v>3310</v>
      </c>
      <c r="D824" s="1">
        <v>1.0</v>
      </c>
      <c r="E824" s="14" t="s">
        <v>1862</v>
      </c>
    </row>
    <row r="825">
      <c r="A825" s="16" t="s">
        <v>2831</v>
      </c>
      <c r="B825" s="16" t="s">
        <v>3029</v>
      </c>
      <c r="C825" s="1" t="s">
        <v>3310</v>
      </c>
      <c r="D825" s="1">
        <v>1.0</v>
      </c>
      <c r="E825" s="14" t="s">
        <v>1853</v>
      </c>
    </row>
    <row r="826">
      <c r="A826" s="16" t="s">
        <v>2831</v>
      </c>
      <c r="B826" s="16" t="s">
        <v>3053</v>
      </c>
      <c r="C826" s="1" t="s">
        <v>3310</v>
      </c>
      <c r="D826" s="1">
        <v>1.0</v>
      </c>
      <c r="E826" s="14" t="s">
        <v>1862</v>
      </c>
    </row>
    <row r="827">
      <c r="A827" s="16" t="s">
        <v>2868</v>
      </c>
      <c r="B827" s="16" t="s">
        <v>3049</v>
      </c>
      <c r="C827" s="1" t="s">
        <v>3310</v>
      </c>
      <c r="D827" s="1">
        <v>1.0</v>
      </c>
      <c r="E827" s="14" t="s">
        <v>1853</v>
      </c>
    </row>
    <row r="828">
      <c r="A828" s="16" t="s">
        <v>2868</v>
      </c>
      <c r="B828" s="16" t="s">
        <v>3147</v>
      </c>
      <c r="C828" s="1" t="s">
        <v>3310</v>
      </c>
      <c r="D828" s="1">
        <v>1.0</v>
      </c>
      <c r="E828" s="14" t="s">
        <v>1853</v>
      </c>
    </row>
    <row r="829">
      <c r="A829" s="16" t="s">
        <v>2527</v>
      </c>
      <c r="B829" s="16" t="s">
        <v>3114</v>
      </c>
      <c r="C829" s="1" t="s">
        <v>3310</v>
      </c>
      <c r="D829" s="1">
        <v>1.0</v>
      </c>
      <c r="E829" s="14" t="s">
        <v>1846</v>
      </c>
    </row>
    <row r="830">
      <c r="A830" s="16" t="s">
        <v>2527</v>
      </c>
      <c r="B830" s="16" t="s">
        <v>3124</v>
      </c>
      <c r="C830" s="1" t="s">
        <v>3310</v>
      </c>
      <c r="D830" s="1">
        <v>1.0</v>
      </c>
      <c r="E830" s="14" t="s">
        <v>1853</v>
      </c>
    </row>
    <row r="831">
      <c r="A831" s="16" t="s">
        <v>2527</v>
      </c>
      <c r="B831" s="16" t="s">
        <v>3092</v>
      </c>
      <c r="C831" s="1" t="s">
        <v>3310</v>
      </c>
      <c r="D831" s="1">
        <v>1.0</v>
      </c>
      <c r="E831" s="14" t="s">
        <v>1853</v>
      </c>
    </row>
    <row r="832">
      <c r="A832" s="16" t="s">
        <v>2527</v>
      </c>
      <c r="B832" s="16" t="s">
        <v>3059</v>
      </c>
      <c r="C832" s="1" t="s">
        <v>3310</v>
      </c>
      <c r="D832" s="1">
        <v>1.0</v>
      </c>
      <c r="E832" s="14" t="s">
        <v>1862</v>
      </c>
    </row>
    <row r="833">
      <c r="A833" s="16" t="s">
        <v>2527</v>
      </c>
      <c r="B833" s="16" t="s">
        <v>3029</v>
      </c>
      <c r="C833" s="1" t="s">
        <v>3310</v>
      </c>
      <c r="D833" s="1">
        <v>1.0</v>
      </c>
      <c r="E833" s="14" t="s">
        <v>1853</v>
      </c>
    </row>
    <row r="834">
      <c r="A834" s="16" t="s">
        <v>2527</v>
      </c>
      <c r="B834" s="16" t="s">
        <v>3053</v>
      </c>
      <c r="C834" s="1" t="s">
        <v>3310</v>
      </c>
      <c r="D834" s="1">
        <v>1.0</v>
      </c>
      <c r="E834" s="14" t="s">
        <v>1862</v>
      </c>
    </row>
    <row r="835">
      <c r="A835" s="16" t="s">
        <v>2527</v>
      </c>
      <c r="B835" s="16" t="s">
        <v>3104</v>
      </c>
      <c r="C835" s="1" t="s">
        <v>3310</v>
      </c>
      <c r="D835" s="1">
        <v>1.0</v>
      </c>
      <c r="E835" s="14" t="s">
        <v>1853</v>
      </c>
    </row>
    <row r="836">
      <c r="A836" s="16" t="s">
        <v>2628</v>
      </c>
      <c r="B836" s="16" t="s">
        <v>3040</v>
      </c>
      <c r="C836" s="1" t="s">
        <v>3310</v>
      </c>
      <c r="D836" s="1">
        <v>1.0</v>
      </c>
      <c r="E836" s="14" t="s">
        <v>1853</v>
      </c>
    </row>
    <row r="837">
      <c r="A837" s="16" t="s">
        <v>2596</v>
      </c>
      <c r="B837" s="16" t="s">
        <v>3286</v>
      </c>
      <c r="C837" s="1" t="s">
        <v>3310</v>
      </c>
      <c r="D837" s="1">
        <v>1.0</v>
      </c>
      <c r="E837" s="14" t="s">
        <v>1846</v>
      </c>
    </row>
    <row r="838">
      <c r="A838" s="16" t="s">
        <v>2596</v>
      </c>
      <c r="B838" s="16" t="s">
        <v>3289</v>
      </c>
      <c r="C838" s="1" t="s">
        <v>3310</v>
      </c>
      <c r="D838" s="1">
        <v>1.0</v>
      </c>
      <c r="E838" s="14" t="s">
        <v>1853</v>
      </c>
    </row>
    <row r="839">
      <c r="A839" s="16" t="s">
        <v>2596</v>
      </c>
      <c r="B839" s="16" t="s">
        <v>3259</v>
      </c>
      <c r="C839" s="1" t="s">
        <v>3310</v>
      </c>
      <c r="D839" s="1">
        <v>1.0</v>
      </c>
      <c r="E839" s="14" t="s">
        <v>1846</v>
      </c>
    </row>
    <row r="840">
      <c r="A840" s="16" t="s">
        <v>2596</v>
      </c>
      <c r="B840" s="16" t="s">
        <v>3291</v>
      </c>
      <c r="C840" s="1" t="s">
        <v>3310</v>
      </c>
      <c r="D840" s="1">
        <v>1.0</v>
      </c>
      <c r="E840" s="14" t="s">
        <v>1853</v>
      </c>
    </row>
    <row r="841">
      <c r="A841" s="16" t="s">
        <v>2848</v>
      </c>
      <c r="B841" s="16" t="s">
        <v>3028</v>
      </c>
      <c r="C841" s="1" t="s">
        <v>3310</v>
      </c>
      <c r="D841" s="1">
        <v>1.0</v>
      </c>
      <c r="E841" s="14" t="s">
        <v>1853</v>
      </c>
    </row>
    <row r="842">
      <c r="A842" s="16" t="s">
        <v>2848</v>
      </c>
      <c r="B842" s="16" t="s">
        <v>3029</v>
      </c>
      <c r="C842" s="1" t="s">
        <v>3310</v>
      </c>
      <c r="D842" s="1">
        <v>1.0</v>
      </c>
      <c r="E842" s="14" t="s">
        <v>1853</v>
      </c>
    </row>
    <row r="843">
      <c r="A843" s="16" t="s">
        <v>2848</v>
      </c>
      <c r="B843" s="16" t="s">
        <v>3052</v>
      </c>
      <c r="C843" s="1" t="s">
        <v>3310</v>
      </c>
      <c r="D843" s="1">
        <v>1.0</v>
      </c>
      <c r="E843" s="14" t="s">
        <v>1853</v>
      </c>
    </row>
    <row r="844">
      <c r="A844" s="16" t="s">
        <v>2600</v>
      </c>
      <c r="B844" s="16" t="s">
        <v>3045</v>
      </c>
      <c r="C844" s="1" t="s">
        <v>3310</v>
      </c>
      <c r="D844" s="1">
        <v>1.0</v>
      </c>
      <c r="E844" s="14" t="s">
        <v>1853</v>
      </c>
    </row>
    <row r="845">
      <c r="A845" s="16" t="s">
        <v>2600</v>
      </c>
      <c r="B845" s="16" t="s">
        <v>3206</v>
      </c>
      <c r="C845" s="1" t="s">
        <v>3310</v>
      </c>
      <c r="D845" s="1">
        <v>1.0</v>
      </c>
      <c r="E845" s="14" t="s">
        <v>1853</v>
      </c>
    </row>
    <row r="846">
      <c r="A846" s="16" t="s">
        <v>2600</v>
      </c>
      <c r="B846" s="16" t="s">
        <v>3050</v>
      </c>
      <c r="C846" s="1" t="s">
        <v>3310</v>
      </c>
      <c r="D846" s="1">
        <v>1.0</v>
      </c>
      <c r="E846" s="14" t="s">
        <v>1853</v>
      </c>
    </row>
    <row r="847">
      <c r="A847" s="16" t="s">
        <v>2414</v>
      </c>
      <c r="B847" s="16" t="s">
        <v>3135</v>
      </c>
      <c r="C847" s="1" t="s">
        <v>3310</v>
      </c>
      <c r="D847" s="1">
        <v>1.0</v>
      </c>
      <c r="E847" s="14" t="s">
        <v>1862</v>
      </c>
    </row>
    <row r="848">
      <c r="A848" s="16" t="s">
        <v>2414</v>
      </c>
      <c r="B848" s="16" t="s">
        <v>3029</v>
      </c>
      <c r="C848" s="1" t="s">
        <v>3310</v>
      </c>
      <c r="D848" s="1">
        <v>1.0</v>
      </c>
      <c r="E848" s="14" t="s">
        <v>1853</v>
      </c>
    </row>
    <row r="849">
      <c r="A849" s="16" t="s">
        <v>2410</v>
      </c>
      <c r="B849" s="16" t="s">
        <v>3067</v>
      </c>
      <c r="C849" s="1" t="s">
        <v>3310</v>
      </c>
      <c r="D849" s="1">
        <v>1.0</v>
      </c>
      <c r="E849" s="14" t="s">
        <v>1853</v>
      </c>
    </row>
    <row r="850">
      <c r="A850" s="16" t="s">
        <v>2410</v>
      </c>
      <c r="B850" s="16" t="s">
        <v>3059</v>
      </c>
      <c r="C850" s="1" t="s">
        <v>3310</v>
      </c>
      <c r="D850" s="1">
        <v>1.0</v>
      </c>
      <c r="E850" s="14" t="s">
        <v>1862</v>
      </c>
    </row>
    <row r="851">
      <c r="A851" s="16" t="s">
        <v>2410</v>
      </c>
      <c r="B851" s="16" t="s">
        <v>3167</v>
      </c>
      <c r="C851" s="1" t="s">
        <v>3310</v>
      </c>
      <c r="D851" s="1">
        <v>1.0</v>
      </c>
      <c r="E851" s="14" t="s">
        <v>1853</v>
      </c>
    </row>
    <row r="852">
      <c r="A852" s="16" t="s">
        <v>2410</v>
      </c>
      <c r="B852" s="16" t="s">
        <v>3072</v>
      </c>
      <c r="C852" s="1" t="s">
        <v>3310</v>
      </c>
      <c r="D852" s="1">
        <v>1.0</v>
      </c>
      <c r="E852" s="14" t="s">
        <v>1853</v>
      </c>
    </row>
    <row r="853">
      <c r="A853" s="16" t="s">
        <v>2410</v>
      </c>
      <c r="B853" s="16" t="s">
        <v>3101</v>
      </c>
      <c r="C853" s="1" t="s">
        <v>3310</v>
      </c>
      <c r="D853" s="1">
        <v>1.0</v>
      </c>
      <c r="E853" s="14" t="s">
        <v>1862</v>
      </c>
    </row>
    <row r="854">
      <c r="A854" s="16" t="s">
        <v>2557</v>
      </c>
      <c r="B854" s="16" t="s">
        <v>3028</v>
      </c>
      <c r="C854" s="1" t="s">
        <v>3310</v>
      </c>
      <c r="D854" s="1">
        <v>1.0</v>
      </c>
      <c r="E854" s="14" t="s">
        <v>1853</v>
      </c>
    </row>
    <row r="855">
      <c r="A855" s="16" t="s">
        <v>2557</v>
      </c>
      <c r="B855" s="16" t="s">
        <v>3140</v>
      </c>
      <c r="C855" s="1" t="s">
        <v>3310</v>
      </c>
      <c r="D855" s="1">
        <v>1.0</v>
      </c>
      <c r="E855" s="14" t="s">
        <v>1853</v>
      </c>
    </row>
    <row r="856">
      <c r="A856" s="16" t="s">
        <v>2557</v>
      </c>
      <c r="B856" s="16" t="s">
        <v>3067</v>
      </c>
      <c r="C856" s="1" t="s">
        <v>3310</v>
      </c>
      <c r="D856" s="1">
        <v>1.0</v>
      </c>
      <c r="E856" s="14" t="s">
        <v>1853</v>
      </c>
    </row>
    <row r="857">
      <c r="A857" s="16" t="s">
        <v>2557</v>
      </c>
      <c r="B857" s="16" t="s">
        <v>3067</v>
      </c>
      <c r="C857" s="1" t="s">
        <v>3310</v>
      </c>
      <c r="D857" s="1">
        <v>1.0</v>
      </c>
      <c r="E857" s="14" t="s">
        <v>1846</v>
      </c>
    </row>
    <row r="858">
      <c r="A858" s="16" t="s">
        <v>2557</v>
      </c>
      <c r="B858" s="16" t="s">
        <v>3221</v>
      </c>
      <c r="C858" s="1" t="s">
        <v>3310</v>
      </c>
      <c r="D858" s="1">
        <v>1.0</v>
      </c>
      <c r="E858" s="14" t="s">
        <v>1853</v>
      </c>
    </row>
    <row r="859">
      <c r="A859" s="16" t="s">
        <v>2557</v>
      </c>
      <c r="B859" s="16" t="s">
        <v>3118</v>
      </c>
      <c r="C859" s="1" t="s">
        <v>3310</v>
      </c>
      <c r="D859" s="1">
        <v>1.0</v>
      </c>
      <c r="E859" s="14" t="s">
        <v>1862</v>
      </c>
    </row>
    <row r="860">
      <c r="A860" s="16" t="s">
        <v>2796</v>
      </c>
      <c r="B860" s="16" t="s">
        <v>3040</v>
      </c>
      <c r="C860" s="1" t="s">
        <v>3310</v>
      </c>
      <c r="D860" s="1">
        <v>1.0</v>
      </c>
      <c r="E860" s="14" t="s">
        <v>1846</v>
      </c>
    </row>
    <row r="861">
      <c r="A861" s="16" t="s">
        <v>2574</v>
      </c>
      <c r="B861" s="16" t="s">
        <v>3055</v>
      </c>
      <c r="C861" s="1" t="s">
        <v>3310</v>
      </c>
      <c r="D861" s="1">
        <v>1.0</v>
      </c>
      <c r="E861" s="14" t="s">
        <v>1862</v>
      </c>
    </row>
    <row r="862">
      <c r="A862" s="16" t="s">
        <v>2574</v>
      </c>
      <c r="B862" s="16" t="s">
        <v>3093</v>
      </c>
      <c r="C862" s="1" t="s">
        <v>3310</v>
      </c>
      <c r="D862" s="1">
        <v>1.0</v>
      </c>
      <c r="E862" s="14" t="s">
        <v>1862</v>
      </c>
    </row>
    <row r="863">
      <c r="A863" s="16" t="s">
        <v>2574</v>
      </c>
      <c r="B863" s="16" t="s">
        <v>3096</v>
      </c>
      <c r="C863" s="1" t="s">
        <v>3310</v>
      </c>
      <c r="D863" s="1">
        <v>1.0</v>
      </c>
      <c r="E863" s="14" t="s">
        <v>1862</v>
      </c>
    </row>
    <row r="864">
      <c r="A864" s="16" t="s">
        <v>2574</v>
      </c>
      <c r="B864" s="16" t="s">
        <v>3059</v>
      </c>
      <c r="C864" s="1" t="s">
        <v>3310</v>
      </c>
      <c r="D864" s="1">
        <v>1.0</v>
      </c>
      <c r="E864" s="14" t="s">
        <v>1862</v>
      </c>
    </row>
    <row r="865">
      <c r="A865" s="16" t="s">
        <v>2574</v>
      </c>
      <c r="B865" s="16" t="s">
        <v>3099</v>
      </c>
      <c r="C865" s="1" t="s">
        <v>3310</v>
      </c>
      <c r="D865" s="1">
        <v>1.0</v>
      </c>
      <c r="E865" s="14" t="s">
        <v>1862</v>
      </c>
    </row>
    <row r="866">
      <c r="A866" s="16" t="s">
        <v>2415</v>
      </c>
      <c r="B866" s="16" t="s">
        <v>3058</v>
      </c>
      <c r="C866" s="1" t="s">
        <v>3310</v>
      </c>
      <c r="D866" s="1">
        <v>1.0</v>
      </c>
      <c r="E866" s="14" t="s">
        <v>1862</v>
      </c>
    </row>
    <row r="867">
      <c r="A867" s="16" t="s">
        <v>2904</v>
      </c>
      <c r="B867" s="16" t="s">
        <v>3165</v>
      </c>
      <c r="C867" s="1" t="s">
        <v>3310</v>
      </c>
      <c r="D867" s="1">
        <v>1.0</v>
      </c>
      <c r="E867" s="14" t="s">
        <v>1846</v>
      </c>
    </row>
    <row r="868">
      <c r="A868" s="16" t="s">
        <v>2904</v>
      </c>
      <c r="B868" s="16" t="s">
        <v>3166</v>
      </c>
      <c r="C868" s="1" t="s">
        <v>3310</v>
      </c>
      <c r="D868" s="1">
        <v>1.0</v>
      </c>
      <c r="E868" s="14" t="s">
        <v>1846</v>
      </c>
    </row>
    <row r="869">
      <c r="A869" s="16" t="s">
        <v>2904</v>
      </c>
      <c r="B869" s="16" t="s">
        <v>3059</v>
      </c>
      <c r="C869" s="1" t="s">
        <v>3310</v>
      </c>
      <c r="D869" s="1">
        <v>1.0</v>
      </c>
      <c r="E869" s="14" t="s">
        <v>1862</v>
      </c>
    </row>
    <row r="870">
      <c r="A870" s="16" t="s">
        <v>2904</v>
      </c>
      <c r="B870" s="16" t="s">
        <v>3170</v>
      </c>
      <c r="C870" s="1" t="s">
        <v>3310</v>
      </c>
      <c r="D870" s="1">
        <v>1.0</v>
      </c>
      <c r="E870" s="14" t="s">
        <v>1853</v>
      </c>
    </row>
    <row r="871">
      <c r="A871" s="16" t="s">
        <v>2904</v>
      </c>
      <c r="B871" s="16" t="s">
        <v>3170</v>
      </c>
      <c r="C871" s="1" t="s">
        <v>3310</v>
      </c>
      <c r="D871" s="1">
        <v>1.0</v>
      </c>
      <c r="E871" s="14" t="s">
        <v>1846</v>
      </c>
    </row>
    <row r="872">
      <c r="A872" s="16" t="s">
        <v>2904</v>
      </c>
      <c r="B872" s="16" t="s">
        <v>3053</v>
      </c>
      <c r="C872" s="1" t="s">
        <v>3310</v>
      </c>
      <c r="D872" s="1">
        <v>1.0</v>
      </c>
      <c r="E872" s="14" t="s">
        <v>1862</v>
      </c>
    </row>
    <row r="873">
      <c r="A873" s="16" t="s">
        <v>2904</v>
      </c>
      <c r="B873" s="16" t="s">
        <v>3137</v>
      </c>
      <c r="C873" s="1" t="s">
        <v>3310</v>
      </c>
      <c r="D873" s="1">
        <v>1.0</v>
      </c>
      <c r="E873" s="14" t="s">
        <v>1853</v>
      </c>
    </row>
    <row r="874">
      <c r="A874" s="16" t="s">
        <v>2569</v>
      </c>
      <c r="B874" s="16" t="s">
        <v>3096</v>
      </c>
      <c r="C874" s="1" t="s">
        <v>3310</v>
      </c>
      <c r="D874" s="1">
        <v>1.0</v>
      </c>
      <c r="E874" s="14" t="s">
        <v>1862</v>
      </c>
    </row>
    <row r="875">
      <c r="A875" s="16" t="s">
        <v>2569</v>
      </c>
      <c r="B875" s="16" t="s">
        <v>3059</v>
      </c>
      <c r="C875" s="1" t="s">
        <v>3310</v>
      </c>
      <c r="D875" s="1">
        <v>1.0</v>
      </c>
      <c r="E875" s="14" t="s">
        <v>1862</v>
      </c>
    </row>
    <row r="876">
      <c r="A876" s="16" t="s">
        <v>2417</v>
      </c>
      <c r="B876" s="16" t="s">
        <v>3140</v>
      </c>
      <c r="C876" s="1" t="s">
        <v>3310</v>
      </c>
      <c r="D876" s="1">
        <v>1.0</v>
      </c>
      <c r="E876" s="14" t="s">
        <v>1853</v>
      </c>
    </row>
    <row r="877">
      <c r="A877" s="16" t="s">
        <v>2417</v>
      </c>
      <c r="B877" s="16" t="s">
        <v>3096</v>
      </c>
      <c r="C877" s="1" t="s">
        <v>3310</v>
      </c>
      <c r="D877" s="1">
        <v>1.0</v>
      </c>
      <c r="E877" s="14" t="s">
        <v>1862</v>
      </c>
    </row>
    <row r="878">
      <c r="A878" s="16" t="s">
        <v>2417</v>
      </c>
      <c r="B878" s="16" t="s">
        <v>3059</v>
      </c>
      <c r="C878" s="1" t="s">
        <v>3310</v>
      </c>
      <c r="D878" s="1">
        <v>1.0</v>
      </c>
      <c r="E878" s="14" t="s">
        <v>1862</v>
      </c>
    </row>
    <row r="879">
      <c r="A879" s="16" t="s">
        <v>2417</v>
      </c>
      <c r="B879" s="16" t="s">
        <v>3084</v>
      </c>
      <c r="C879" s="1" t="s">
        <v>3310</v>
      </c>
      <c r="D879" s="1">
        <v>1.0</v>
      </c>
      <c r="E879" s="14" t="s">
        <v>1862</v>
      </c>
    </row>
    <row r="880">
      <c r="A880" s="16" t="s">
        <v>2882</v>
      </c>
      <c r="B880" s="16" t="s">
        <v>3164</v>
      </c>
      <c r="C880" s="1" t="s">
        <v>3310</v>
      </c>
      <c r="D880" s="1">
        <v>1.0</v>
      </c>
      <c r="E880" s="14" t="s">
        <v>1853</v>
      </c>
    </row>
    <row r="881">
      <c r="A881" s="16" t="s">
        <v>2882</v>
      </c>
      <c r="B881" s="16" t="s">
        <v>3059</v>
      </c>
      <c r="C881" s="1" t="s">
        <v>3310</v>
      </c>
      <c r="D881" s="1">
        <v>1.0</v>
      </c>
      <c r="E881" s="14" t="s">
        <v>1862</v>
      </c>
    </row>
    <row r="882">
      <c r="A882" s="16" t="s">
        <v>2882</v>
      </c>
      <c r="B882" s="16" t="s">
        <v>3101</v>
      </c>
      <c r="C882" s="1" t="s">
        <v>3310</v>
      </c>
      <c r="D882" s="1">
        <v>1.0</v>
      </c>
      <c r="E882" s="14" t="s">
        <v>1862</v>
      </c>
    </row>
    <row r="883">
      <c r="A883" s="16" t="s">
        <v>2942</v>
      </c>
      <c r="B883" s="16" t="s">
        <v>3059</v>
      </c>
      <c r="C883" s="1" t="s">
        <v>3310</v>
      </c>
      <c r="D883" s="1">
        <v>1.0</v>
      </c>
      <c r="E883" s="14" t="s">
        <v>1862</v>
      </c>
    </row>
    <row r="884">
      <c r="A884" s="16" t="s">
        <v>2589</v>
      </c>
      <c r="B884" s="16" t="s">
        <v>3067</v>
      </c>
      <c r="C884" s="1" t="s">
        <v>3310</v>
      </c>
      <c r="D884" s="1">
        <v>1.0</v>
      </c>
      <c r="E884" s="14" t="s">
        <v>1853</v>
      </c>
    </row>
    <row r="885">
      <c r="A885" s="16" t="s">
        <v>2589</v>
      </c>
      <c r="B885" s="16" t="s">
        <v>3059</v>
      </c>
      <c r="C885" s="1" t="s">
        <v>3310</v>
      </c>
      <c r="D885" s="1">
        <v>1.0</v>
      </c>
      <c r="E885" s="14" t="s">
        <v>1862</v>
      </c>
    </row>
    <row r="886">
      <c r="A886" s="16" t="s">
        <v>2589</v>
      </c>
      <c r="B886" s="16" t="s">
        <v>3072</v>
      </c>
      <c r="C886" s="1" t="s">
        <v>3310</v>
      </c>
      <c r="D886" s="1">
        <v>1.0</v>
      </c>
      <c r="E886" s="14" t="s">
        <v>1853</v>
      </c>
    </row>
    <row r="887">
      <c r="A887" s="16" t="s">
        <v>2589</v>
      </c>
      <c r="B887" s="16" t="s">
        <v>3079</v>
      </c>
      <c r="C887" s="1" t="s">
        <v>3310</v>
      </c>
      <c r="D887" s="1">
        <v>1.0</v>
      </c>
      <c r="E887" s="14" t="s">
        <v>1862</v>
      </c>
    </row>
    <row r="888">
      <c r="A888" s="16" t="s">
        <v>2589</v>
      </c>
      <c r="B888" s="16" t="s">
        <v>3080</v>
      </c>
      <c r="C888" s="1" t="s">
        <v>3310</v>
      </c>
      <c r="D888" s="1">
        <v>1.0</v>
      </c>
      <c r="E888" s="14" t="s">
        <v>1862</v>
      </c>
    </row>
    <row r="889">
      <c r="A889" s="16" t="s">
        <v>2520</v>
      </c>
      <c r="B889" s="16" t="s">
        <v>3064</v>
      </c>
      <c r="C889" s="1" t="s">
        <v>3310</v>
      </c>
      <c r="D889" s="1">
        <v>1.0</v>
      </c>
      <c r="E889" s="14" t="s">
        <v>1862</v>
      </c>
    </row>
    <row r="890">
      <c r="A890" s="16" t="s">
        <v>2520</v>
      </c>
      <c r="B890" s="16" t="s">
        <v>3065</v>
      </c>
      <c r="C890" s="1" t="s">
        <v>3310</v>
      </c>
      <c r="D890" s="1">
        <v>1.0</v>
      </c>
      <c r="E890" s="14" t="s">
        <v>1862</v>
      </c>
    </row>
    <row r="891">
      <c r="A891" s="16" t="s">
        <v>2520</v>
      </c>
      <c r="B891" s="16" t="s">
        <v>3059</v>
      </c>
      <c r="C891" s="1" t="s">
        <v>3310</v>
      </c>
      <c r="D891" s="1">
        <v>1.0</v>
      </c>
      <c r="E891" s="14" t="s">
        <v>1862</v>
      </c>
    </row>
    <row r="892">
      <c r="A892" s="16" t="s">
        <v>2520</v>
      </c>
      <c r="B892" s="16" t="s">
        <v>3075</v>
      </c>
      <c r="C892" s="1" t="s">
        <v>3310</v>
      </c>
      <c r="D892" s="1">
        <v>1.0</v>
      </c>
      <c r="E892" s="14" t="s">
        <v>1862</v>
      </c>
    </row>
    <row r="893">
      <c r="A893" s="16" t="s">
        <v>2804</v>
      </c>
      <c r="B893" s="16" t="s">
        <v>3092</v>
      </c>
      <c r="C893" s="1" t="s">
        <v>3310</v>
      </c>
      <c r="D893" s="1">
        <v>1.0</v>
      </c>
      <c r="E893" s="14" t="s">
        <v>1853</v>
      </c>
    </row>
    <row r="894">
      <c r="A894" s="16" t="s">
        <v>2804</v>
      </c>
      <c r="B894" s="16" t="s">
        <v>3059</v>
      </c>
      <c r="C894" s="1" t="s">
        <v>3310</v>
      </c>
      <c r="D894" s="1">
        <v>1.0</v>
      </c>
      <c r="E894" s="14" t="s">
        <v>1862</v>
      </c>
    </row>
    <row r="895">
      <c r="A895" s="16" t="s">
        <v>2877</v>
      </c>
      <c r="B895" s="16" t="s">
        <v>3058</v>
      </c>
      <c r="C895" s="1" t="s">
        <v>3310</v>
      </c>
      <c r="D895" s="1">
        <v>1.0</v>
      </c>
      <c r="E895" s="14" t="s">
        <v>1862</v>
      </c>
    </row>
    <row r="896">
      <c r="A896" s="16" t="s">
        <v>2877</v>
      </c>
      <c r="B896" s="16" t="s">
        <v>3060</v>
      </c>
      <c r="C896" s="1" t="s">
        <v>3310</v>
      </c>
      <c r="D896" s="1">
        <v>1.0</v>
      </c>
      <c r="E896" s="14" t="s">
        <v>1862</v>
      </c>
    </row>
    <row r="897">
      <c r="A897" s="16" t="s">
        <v>2877</v>
      </c>
      <c r="B897" s="16" t="s">
        <v>3071</v>
      </c>
      <c r="C897" s="1" t="s">
        <v>3310</v>
      </c>
      <c r="D897" s="1">
        <v>1.0</v>
      </c>
      <c r="E897" s="14" t="s">
        <v>1853</v>
      </c>
    </row>
    <row r="898">
      <c r="A898" s="16" t="s">
        <v>2877</v>
      </c>
      <c r="B898" s="16" t="s">
        <v>3071</v>
      </c>
      <c r="C898" s="1" t="s">
        <v>3310</v>
      </c>
      <c r="D898" s="1">
        <v>1.0</v>
      </c>
      <c r="E898" s="14" t="s">
        <v>1846</v>
      </c>
    </row>
    <row r="899">
      <c r="A899" s="16" t="s">
        <v>2877</v>
      </c>
      <c r="B899" s="16" t="s">
        <v>3059</v>
      </c>
      <c r="C899" s="1" t="s">
        <v>3310</v>
      </c>
      <c r="D899" s="1">
        <v>1.0</v>
      </c>
      <c r="E899" s="14" t="s">
        <v>1862</v>
      </c>
    </row>
    <row r="900">
      <c r="A900" s="16" t="s">
        <v>2877</v>
      </c>
      <c r="B900" s="16" t="s">
        <v>3077</v>
      </c>
      <c r="C900" s="1" t="s">
        <v>3310</v>
      </c>
      <c r="D900" s="1">
        <v>1.0</v>
      </c>
      <c r="E900" s="14" t="s">
        <v>1853</v>
      </c>
    </row>
    <row r="901">
      <c r="A901" s="16" t="s">
        <v>2877</v>
      </c>
      <c r="B901" s="16" t="s">
        <v>3081</v>
      </c>
      <c r="C901" s="1" t="s">
        <v>3310</v>
      </c>
      <c r="D901" s="1">
        <v>1.0</v>
      </c>
      <c r="E901" s="14" t="s">
        <v>1862</v>
      </c>
    </row>
    <row r="902">
      <c r="A902" s="16" t="s">
        <v>2851</v>
      </c>
      <c r="B902" s="16" t="s">
        <v>3029</v>
      </c>
      <c r="C902" s="1" t="s">
        <v>3310</v>
      </c>
      <c r="D902" s="1">
        <v>1.0</v>
      </c>
      <c r="E902" s="14" t="s">
        <v>1853</v>
      </c>
    </row>
    <row r="903">
      <c r="A903" s="16" t="s">
        <v>2851</v>
      </c>
      <c r="B903" s="16" t="s">
        <v>3053</v>
      </c>
      <c r="C903" s="1" t="s">
        <v>3310</v>
      </c>
      <c r="D903" s="1">
        <v>1.0</v>
      </c>
      <c r="E903" s="14" t="s">
        <v>1862</v>
      </c>
    </row>
    <row r="904">
      <c r="A904" s="16" t="s">
        <v>2851</v>
      </c>
      <c r="B904" s="16" t="s">
        <v>3041</v>
      </c>
      <c r="C904" s="1" t="s">
        <v>3310</v>
      </c>
      <c r="D904" s="1">
        <v>1.0</v>
      </c>
      <c r="E904" s="14" t="s">
        <v>1862</v>
      </c>
    </row>
    <row r="905">
      <c r="A905" s="16" t="s">
        <v>2937</v>
      </c>
      <c r="B905" s="16" t="s">
        <v>3071</v>
      </c>
      <c r="C905" s="1" t="s">
        <v>3310</v>
      </c>
      <c r="D905" s="1">
        <v>1.0</v>
      </c>
      <c r="E905" s="14" t="s">
        <v>1853</v>
      </c>
    </row>
    <row r="906">
      <c r="A906" s="16" t="s">
        <v>2937</v>
      </c>
      <c r="B906" s="16" t="s">
        <v>3071</v>
      </c>
      <c r="C906" s="1" t="s">
        <v>3310</v>
      </c>
      <c r="D906" s="1">
        <v>1.0</v>
      </c>
      <c r="E906" s="14" t="s">
        <v>1846</v>
      </c>
    </row>
    <row r="907">
      <c r="A907" s="16" t="s">
        <v>2937</v>
      </c>
      <c r="B907" s="16" t="s">
        <v>3059</v>
      </c>
      <c r="C907" s="1" t="s">
        <v>3310</v>
      </c>
      <c r="D907" s="1">
        <v>1.0</v>
      </c>
      <c r="E907" s="14" t="s">
        <v>1862</v>
      </c>
    </row>
    <row r="908">
      <c r="A908" s="16" t="s">
        <v>2879</v>
      </c>
      <c r="B908" s="16" t="s">
        <v>3029</v>
      </c>
      <c r="C908" s="1" t="s">
        <v>3310</v>
      </c>
      <c r="D908" s="1">
        <v>1.0</v>
      </c>
      <c r="E908" s="14" t="s">
        <v>1846</v>
      </c>
    </row>
    <row r="909">
      <c r="A909" s="16" t="s">
        <v>2419</v>
      </c>
      <c r="B909" s="16" t="s">
        <v>3029</v>
      </c>
      <c r="C909" s="1" t="s">
        <v>3310</v>
      </c>
      <c r="D909" s="1">
        <v>1.0</v>
      </c>
      <c r="E909" s="14" t="s">
        <v>1853</v>
      </c>
    </row>
    <row r="910">
      <c r="A910" s="16" t="s">
        <v>2731</v>
      </c>
      <c r="B910" s="16" t="s">
        <v>3029</v>
      </c>
      <c r="C910" s="1" t="s">
        <v>3310</v>
      </c>
      <c r="D910" s="1">
        <v>1.0</v>
      </c>
      <c r="E910" s="14" t="s">
        <v>1853</v>
      </c>
    </row>
    <row r="911">
      <c r="A911" s="16" t="s">
        <v>2731</v>
      </c>
      <c r="B911" s="16" t="s">
        <v>3069</v>
      </c>
      <c r="C911" s="1" t="s">
        <v>3310</v>
      </c>
      <c r="D911" s="1">
        <v>1.0</v>
      </c>
      <c r="E911" s="14" t="s">
        <v>1853</v>
      </c>
    </row>
    <row r="912">
      <c r="A912" s="16" t="s">
        <v>2549</v>
      </c>
      <c r="B912" s="16" t="s">
        <v>3163</v>
      </c>
      <c r="C912" s="1" t="s">
        <v>3310</v>
      </c>
      <c r="D912" s="1">
        <v>1.0</v>
      </c>
      <c r="E912" s="14" t="s">
        <v>1862</v>
      </c>
    </row>
    <row r="913">
      <c r="A913" s="16" t="s">
        <v>2549</v>
      </c>
      <c r="B913" s="16" t="s">
        <v>3135</v>
      </c>
      <c r="C913" s="1" t="s">
        <v>3310</v>
      </c>
      <c r="D913" s="1">
        <v>1.0</v>
      </c>
      <c r="E913" s="14" t="s">
        <v>1862</v>
      </c>
    </row>
    <row r="914">
      <c r="A914" s="16" t="s">
        <v>2549</v>
      </c>
      <c r="B914" s="16" t="s">
        <v>3059</v>
      </c>
      <c r="C914" s="1" t="s">
        <v>3310</v>
      </c>
      <c r="D914" s="1">
        <v>1.0</v>
      </c>
      <c r="E914" s="14" t="s">
        <v>1862</v>
      </c>
    </row>
    <row r="915">
      <c r="A915" s="16" t="s">
        <v>2549</v>
      </c>
      <c r="B915" s="16" t="s">
        <v>3029</v>
      </c>
      <c r="C915" s="1" t="s">
        <v>3310</v>
      </c>
      <c r="D915" s="1">
        <v>1.0</v>
      </c>
      <c r="E915" s="14" t="s">
        <v>1853</v>
      </c>
    </row>
    <row r="916">
      <c r="A916" s="16" t="s">
        <v>2549</v>
      </c>
      <c r="B916" s="16" t="s">
        <v>3029</v>
      </c>
      <c r="C916" s="1" t="s">
        <v>3310</v>
      </c>
      <c r="D916" s="1">
        <v>1.0</v>
      </c>
      <c r="E916" s="14" t="s">
        <v>1846</v>
      </c>
    </row>
    <row r="917">
      <c r="A917" s="16" t="s">
        <v>2549</v>
      </c>
      <c r="B917" s="16" t="s">
        <v>3053</v>
      </c>
      <c r="C917" s="1" t="s">
        <v>3310</v>
      </c>
      <c r="D917" s="1">
        <v>1.0</v>
      </c>
      <c r="E917" s="14" t="s">
        <v>1862</v>
      </c>
    </row>
    <row r="918">
      <c r="A918" s="16" t="s">
        <v>2545</v>
      </c>
      <c r="B918" s="16" t="s">
        <v>3162</v>
      </c>
      <c r="C918" s="1" t="s">
        <v>3310</v>
      </c>
      <c r="D918" s="1">
        <v>1.0</v>
      </c>
      <c r="E918" s="14" t="s">
        <v>1862</v>
      </c>
    </row>
    <row r="919">
      <c r="A919" s="16" t="s">
        <v>2545</v>
      </c>
      <c r="B919" s="16" t="s">
        <v>3168</v>
      </c>
      <c r="C919" s="1" t="s">
        <v>3310</v>
      </c>
      <c r="D919" s="1">
        <v>1.0</v>
      </c>
      <c r="E919" s="14" t="s">
        <v>1853</v>
      </c>
    </row>
    <row r="920">
      <c r="A920" s="16" t="s">
        <v>2844</v>
      </c>
      <c r="B920" s="16" t="s">
        <v>3055</v>
      </c>
      <c r="C920" s="1" t="s">
        <v>3310</v>
      </c>
      <c r="D920" s="1">
        <v>1.0</v>
      </c>
      <c r="E920" s="14" t="s">
        <v>1862</v>
      </c>
    </row>
    <row r="921">
      <c r="A921" s="16" t="s">
        <v>2844</v>
      </c>
      <c r="B921" s="16" t="s">
        <v>3040</v>
      </c>
      <c r="C921" s="1" t="s">
        <v>3310</v>
      </c>
      <c r="D921" s="1">
        <v>1.0</v>
      </c>
      <c r="E921" s="14" t="s">
        <v>1853</v>
      </c>
    </row>
    <row r="922">
      <c r="A922" s="16" t="s">
        <v>2844</v>
      </c>
      <c r="B922" s="16" t="s">
        <v>3029</v>
      </c>
      <c r="C922" s="1" t="s">
        <v>3310</v>
      </c>
      <c r="D922" s="1">
        <v>1.0</v>
      </c>
      <c r="E922" s="14" t="s">
        <v>1853</v>
      </c>
    </row>
    <row r="923">
      <c r="A923" s="16" t="s">
        <v>2844</v>
      </c>
      <c r="B923" s="16" t="s">
        <v>3073</v>
      </c>
      <c r="C923" s="1" t="s">
        <v>3310</v>
      </c>
      <c r="D923" s="1">
        <v>1.0</v>
      </c>
      <c r="E923" s="14" t="s">
        <v>1862</v>
      </c>
    </row>
    <row r="924">
      <c r="A924" s="16" t="s">
        <v>2616</v>
      </c>
      <c r="B924" s="16" t="s">
        <v>3085</v>
      </c>
      <c r="C924" s="1" t="s">
        <v>3310</v>
      </c>
      <c r="D924" s="1">
        <v>1.0</v>
      </c>
      <c r="E924" s="14" t="s">
        <v>1846</v>
      </c>
    </row>
    <row r="925">
      <c r="A925" s="16" t="s">
        <v>2616</v>
      </c>
      <c r="B925" s="16" t="s">
        <v>3090</v>
      </c>
      <c r="C925" s="1" t="s">
        <v>3310</v>
      </c>
      <c r="D925" s="1">
        <v>1.0</v>
      </c>
      <c r="E925" s="14" t="s">
        <v>1853</v>
      </c>
    </row>
    <row r="926">
      <c r="A926" s="16" t="s">
        <v>2616</v>
      </c>
      <c r="B926" s="16" t="s">
        <v>3076</v>
      </c>
      <c r="C926" s="1" t="s">
        <v>3310</v>
      </c>
      <c r="D926" s="1">
        <v>1.0</v>
      </c>
      <c r="E926" s="14" t="s">
        <v>1853</v>
      </c>
    </row>
    <row r="927">
      <c r="A927" s="16" t="s">
        <v>2825</v>
      </c>
      <c r="B927" s="16" t="s">
        <v>3029</v>
      </c>
      <c r="C927" s="1" t="s">
        <v>3310</v>
      </c>
      <c r="D927" s="1">
        <v>1.0</v>
      </c>
      <c r="E927" s="14" t="s">
        <v>1853</v>
      </c>
    </row>
    <row r="928">
      <c r="A928" s="16" t="s">
        <v>2531</v>
      </c>
      <c r="B928" s="16" t="s">
        <v>3059</v>
      </c>
      <c r="C928" s="1" t="s">
        <v>3310</v>
      </c>
      <c r="D928" s="1">
        <v>1.0</v>
      </c>
      <c r="E928" s="14" t="s">
        <v>1862</v>
      </c>
    </row>
    <row r="929">
      <c r="A929" s="16" t="s">
        <v>2531</v>
      </c>
      <c r="B929" s="16" t="s">
        <v>3072</v>
      </c>
      <c r="C929" s="1" t="s">
        <v>3310</v>
      </c>
      <c r="D929" s="1">
        <v>1.0</v>
      </c>
      <c r="E929" s="14" t="s">
        <v>1853</v>
      </c>
    </row>
    <row r="930">
      <c r="A930" s="16" t="s">
        <v>2531</v>
      </c>
      <c r="B930" s="16" t="s">
        <v>3075</v>
      </c>
      <c r="C930" s="1" t="s">
        <v>3310</v>
      </c>
      <c r="D930" s="1">
        <v>1.0</v>
      </c>
      <c r="E930" s="14" t="s">
        <v>1862</v>
      </c>
    </row>
    <row r="931">
      <c r="A931" s="16" t="s">
        <v>2531</v>
      </c>
      <c r="B931" s="16" t="s">
        <v>3079</v>
      </c>
      <c r="C931" s="1" t="s">
        <v>3310</v>
      </c>
      <c r="D931" s="1">
        <v>1.0</v>
      </c>
      <c r="E931" s="14" t="s">
        <v>1862</v>
      </c>
    </row>
    <row r="932">
      <c r="A932" s="16" t="s">
        <v>2420</v>
      </c>
      <c r="B932" s="16" t="s">
        <v>3029</v>
      </c>
      <c r="C932" s="1" t="s">
        <v>3310</v>
      </c>
      <c r="D932" s="1">
        <v>1.0</v>
      </c>
      <c r="E932" s="14" t="s">
        <v>1853</v>
      </c>
    </row>
    <row r="933">
      <c r="A933" s="16" t="s">
        <v>2941</v>
      </c>
      <c r="B933" s="16" t="s">
        <v>3149</v>
      </c>
      <c r="C933" s="1" t="s">
        <v>3310</v>
      </c>
      <c r="D933" s="1">
        <v>1.0</v>
      </c>
      <c r="E933" s="14" t="s">
        <v>1853</v>
      </c>
    </row>
    <row r="934">
      <c r="A934" s="16" t="s">
        <v>2941</v>
      </c>
      <c r="B934" s="16" t="s">
        <v>3154</v>
      </c>
      <c r="C934" s="1" t="s">
        <v>3310</v>
      </c>
      <c r="D934" s="1">
        <v>1.0</v>
      </c>
      <c r="E934" s="14" t="s">
        <v>1853</v>
      </c>
    </row>
    <row r="935">
      <c r="A935" s="16" t="s">
        <v>2423</v>
      </c>
      <c r="B935" s="16" t="s">
        <v>3202</v>
      </c>
      <c r="C935" s="1" t="s">
        <v>3310</v>
      </c>
      <c r="D935" s="1">
        <v>1.0</v>
      </c>
      <c r="E935" s="14" t="s">
        <v>1853</v>
      </c>
    </row>
    <row r="936">
      <c r="A936" s="16" t="s">
        <v>2423</v>
      </c>
      <c r="B936" s="16" t="s">
        <v>3207</v>
      </c>
      <c r="C936" s="1" t="s">
        <v>3310</v>
      </c>
      <c r="D936" s="1">
        <v>1.0</v>
      </c>
      <c r="E936" s="14" t="s">
        <v>1853</v>
      </c>
    </row>
    <row r="937">
      <c r="A937" s="16" t="s">
        <v>2423</v>
      </c>
      <c r="B937" s="16" t="s">
        <v>3209</v>
      </c>
      <c r="C937" s="1" t="s">
        <v>3310</v>
      </c>
      <c r="D937" s="1">
        <v>1.0</v>
      </c>
      <c r="E937" s="14" t="s">
        <v>1853</v>
      </c>
    </row>
    <row r="938">
      <c r="A938" s="16" t="s">
        <v>2784</v>
      </c>
      <c r="B938" s="16" t="s">
        <v>3143</v>
      </c>
      <c r="C938" s="1" t="s">
        <v>3310</v>
      </c>
      <c r="D938" s="1">
        <v>1.0</v>
      </c>
      <c r="E938" s="14" t="s">
        <v>1853</v>
      </c>
    </row>
    <row r="939">
      <c r="A939" s="16" t="s">
        <v>2841</v>
      </c>
      <c r="B939" s="16" t="s">
        <v>3067</v>
      </c>
      <c r="C939" s="1" t="s">
        <v>3310</v>
      </c>
      <c r="D939" s="1">
        <v>1.0</v>
      </c>
      <c r="E939" s="14" t="s">
        <v>1846</v>
      </c>
    </row>
    <row r="940">
      <c r="A940" s="16" t="s">
        <v>2841</v>
      </c>
      <c r="B940" s="16" t="s">
        <v>3059</v>
      </c>
      <c r="C940" s="1" t="s">
        <v>3310</v>
      </c>
      <c r="D940" s="1">
        <v>1.0</v>
      </c>
      <c r="E940" s="14" t="s">
        <v>1862</v>
      </c>
    </row>
    <row r="941">
      <c r="A941" s="16" t="s">
        <v>2841</v>
      </c>
      <c r="B941" s="16" t="s">
        <v>3169</v>
      </c>
      <c r="C941" s="1" t="s">
        <v>3310</v>
      </c>
      <c r="D941" s="1">
        <v>1.0</v>
      </c>
      <c r="E941" s="14" t="s">
        <v>1853</v>
      </c>
    </row>
    <row r="942">
      <c r="A942" s="16" t="s">
        <v>2598</v>
      </c>
      <c r="B942" s="16" t="s">
        <v>3076</v>
      </c>
      <c r="C942" s="1" t="s">
        <v>3310</v>
      </c>
      <c r="D942" s="1">
        <v>1.0</v>
      </c>
      <c r="E942" s="14" t="s">
        <v>1853</v>
      </c>
    </row>
    <row r="943">
      <c r="A943" s="16" t="s">
        <v>2598</v>
      </c>
      <c r="B943" s="16" t="s">
        <v>3090</v>
      </c>
      <c r="C943" s="1" t="s">
        <v>3310</v>
      </c>
      <c r="D943" s="1">
        <v>1.0</v>
      </c>
      <c r="E943" s="14" t="s">
        <v>1853</v>
      </c>
    </row>
    <row r="944">
      <c r="A944" s="16" t="s">
        <v>2576</v>
      </c>
      <c r="B944" s="16" t="s">
        <v>3135</v>
      </c>
      <c r="C944" s="1" t="s">
        <v>3310</v>
      </c>
      <c r="D944" s="1">
        <v>1.0</v>
      </c>
      <c r="E944" s="14" t="s">
        <v>1862</v>
      </c>
    </row>
    <row r="945">
      <c r="A945" s="16" t="s">
        <v>2576</v>
      </c>
      <c r="B945" s="16" t="s">
        <v>3059</v>
      </c>
      <c r="C945" s="1" t="s">
        <v>3310</v>
      </c>
      <c r="D945" s="1">
        <v>1.0</v>
      </c>
      <c r="E945" s="14" t="s">
        <v>1862</v>
      </c>
    </row>
    <row r="946">
      <c r="A946" s="16" t="s">
        <v>2576</v>
      </c>
      <c r="B946" s="16" t="s">
        <v>3029</v>
      </c>
      <c r="C946" s="1" t="s">
        <v>3310</v>
      </c>
      <c r="D946" s="1">
        <v>1.0</v>
      </c>
      <c r="E946" s="14" t="s">
        <v>1846</v>
      </c>
    </row>
    <row r="947">
      <c r="A947" s="16" t="s">
        <v>2576</v>
      </c>
      <c r="B947" s="16" t="s">
        <v>3053</v>
      </c>
      <c r="C947" s="1" t="s">
        <v>3310</v>
      </c>
      <c r="D947" s="1">
        <v>1.0</v>
      </c>
      <c r="E947" s="14" t="s">
        <v>1862</v>
      </c>
    </row>
    <row r="948">
      <c r="A948" s="16" t="s">
        <v>2813</v>
      </c>
      <c r="B948" s="16" t="s">
        <v>3028</v>
      </c>
      <c r="C948" s="1" t="s">
        <v>3310</v>
      </c>
      <c r="D948" s="1">
        <v>1.0</v>
      </c>
      <c r="E948" s="14" t="s">
        <v>1846</v>
      </c>
    </row>
    <row r="949">
      <c r="A949" s="16" t="s">
        <v>2571</v>
      </c>
      <c r="B949" s="16" t="s">
        <v>3196</v>
      </c>
      <c r="C949" s="1" t="s">
        <v>3310</v>
      </c>
      <c r="D949" s="1">
        <v>1.0</v>
      </c>
      <c r="E949" s="14" t="s">
        <v>1846</v>
      </c>
    </row>
    <row r="950">
      <c r="A950" s="16" t="s">
        <v>2571</v>
      </c>
      <c r="B950" s="16" t="s">
        <v>3199</v>
      </c>
      <c r="C950" s="1" t="s">
        <v>3310</v>
      </c>
      <c r="D950" s="1">
        <v>1.0</v>
      </c>
      <c r="E950" s="14" t="s">
        <v>1846</v>
      </c>
    </row>
    <row r="951">
      <c r="A951" s="16" t="s">
        <v>2571</v>
      </c>
      <c r="B951" s="16" t="s">
        <v>3211</v>
      </c>
      <c r="C951" s="1" t="s">
        <v>3310</v>
      </c>
      <c r="D951" s="1">
        <v>1.0</v>
      </c>
      <c r="E951" s="14" t="s">
        <v>1846</v>
      </c>
    </row>
    <row r="952">
      <c r="A952" s="16" t="s">
        <v>2572</v>
      </c>
      <c r="B952" s="16" t="s">
        <v>3101</v>
      </c>
      <c r="C952" s="1" t="s">
        <v>3310</v>
      </c>
      <c r="D952" s="1">
        <v>1.0</v>
      </c>
      <c r="E952" s="14" t="s">
        <v>1862</v>
      </c>
    </row>
    <row r="953">
      <c r="A953" s="16" t="s">
        <v>2572</v>
      </c>
      <c r="B953" s="16" t="s">
        <v>3067</v>
      </c>
      <c r="C953" s="1" t="s">
        <v>3310</v>
      </c>
      <c r="D953" s="1">
        <v>1.0</v>
      </c>
      <c r="E953" s="14" t="s">
        <v>1853</v>
      </c>
    </row>
    <row r="954">
      <c r="A954" s="16" t="s">
        <v>2572</v>
      </c>
      <c r="B954" s="16" t="s">
        <v>3077</v>
      </c>
      <c r="C954" s="1" t="s">
        <v>3310</v>
      </c>
      <c r="D954" s="1">
        <v>1.0</v>
      </c>
      <c r="E954" s="14" t="s">
        <v>1853</v>
      </c>
    </row>
    <row r="955">
      <c r="A955" s="16" t="s">
        <v>2880</v>
      </c>
      <c r="B955" s="16" t="s">
        <v>3058</v>
      </c>
      <c r="C955" s="1" t="s">
        <v>3310</v>
      </c>
      <c r="D955" s="1">
        <v>1.0</v>
      </c>
      <c r="E955" s="14" t="s">
        <v>1862</v>
      </c>
    </row>
    <row r="956">
      <c r="A956" s="16" t="s">
        <v>2880</v>
      </c>
      <c r="B956" s="16" t="s">
        <v>3071</v>
      </c>
      <c r="C956" s="1" t="s">
        <v>3310</v>
      </c>
      <c r="D956" s="1">
        <v>1.0</v>
      </c>
      <c r="E956" s="14" t="s">
        <v>1853</v>
      </c>
    </row>
    <row r="957">
      <c r="A957" s="16" t="s">
        <v>2880</v>
      </c>
      <c r="B957" s="16" t="s">
        <v>3071</v>
      </c>
      <c r="C957" s="1" t="s">
        <v>3310</v>
      </c>
      <c r="D957" s="1">
        <v>1.0</v>
      </c>
      <c r="E957" s="14" t="s">
        <v>1846</v>
      </c>
    </row>
    <row r="958">
      <c r="A958" s="16" t="s">
        <v>2880</v>
      </c>
      <c r="B958" s="16" t="s">
        <v>3236</v>
      </c>
      <c r="C958" s="1" t="s">
        <v>3310</v>
      </c>
      <c r="D958" s="1">
        <v>1.0</v>
      </c>
      <c r="E958" s="14" t="s">
        <v>1846</v>
      </c>
    </row>
    <row r="959">
      <c r="A959" s="16" t="s">
        <v>2880</v>
      </c>
      <c r="B959" s="16" t="s">
        <v>3059</v>
      </c>
      <c r="C959" s="1" t="s">
        <v>3310</v>
      </c>
      <c r="D959" s="1">
        <v>1.0</v>
      </c>
      <c r="E959" s="14" t="s">
        <v>1862</v>
      </c>
    </row>
    <row r="960">
      <c r="A960" s="16" t="s">
        <v>2837</v>
      </c>
      <c r="B960" s="16" t="s">
        <v>3171</v>
      </c>
      <c r="C960" s="1" t="s">
        <v>3310</v>
      </c>
      <c r="D960" s="1">
        <v>1.0</v>
      </c>
      <c r="E960" s="14" t="s">
        <v>1862</v>
      </c>
    </row>
    <row r="961">
      <c r="A961" s="16" t="s">
        <v>2430</v>
      </c>
      <c r="B961" s="16" t="s">
        <v>3124</v>
      </c>
      <c r="C961" s="1" t="s">
        <v>3310</v>
      </c>
      <c r="D961" s="1">
        <v>1.0</v>
      </c>
      <c r="E961" s="14" t="s">
        <v>1853</v>
      </c>
    </row>
    <row r="962">
      <c r="A962" s="16" t="s">
        <v>2430</v>
      </c>
      <c r="B962" s="16" t="s">
        <v>3101</v>
      </c>
      <c r="C962" s="1" t="s">
        <v>3310</v>
      </c>
      <c r="D962" s="1">
        <v>1.0</v>
      </c>
      <c r="E962" s="14" t="s">
        <v>1862</v>
      </c>
    </row>
    <row r="963">
      <c r="A963" s="16" t="s">
        <v>2430</v>
      </c>
      <c r="B963" s="16" t="s">
        <v>3135</v>
      </c>
      <c r="C963" s="1" t="s">
        <v>3310</v>
      </c>
      <c r="D963" s="1">
        <v>1.0</v>
      </c>
      <c r="E963" s="14" t="s">
        <v>1862</v>
      </c>
    </row>
    <row r="964">
      <c r="A964" s="16" t="s">
        <v>2430</v>
      </c>
      <c r="B964" s="16" t="s">
        <v>3096</v>
      </c>
      <c r="C964" s="1" t="s">
        <v>3310</v>
      </c>
      <c r="D964" s="1">
        <v>1.0</v>
      </c>
      <c r="E964" s="14" t="s">
        <v>1862</v>
      </c>
    </row>
    <row r="965">
      <c r="A965" s="16" t="s">
        <v>2430</v>
      </c>
      <c r="B965" s="16" t="s">
        <v>3059</v>
      </c>
      <c r="C965" s="1" t="s">
        <v>3310</v>
      </c>
      <c r="D965" s="1">
        <v>1.0</v>
      </c>
      <c r="E965" s="14" t="s">
        <v>1862</v>
      </c>
    </row>
    <row r="966">
      <c r="A966" s="16" t="s">
        <v>2430</v>
      </c>
      <c r="B966" s="16" t="s">
        <v>3029</v>
      </c>
      <c r="C966" s="1" t="s">
        <v>3310</v>
      </c>
      <c r="D966" s="1">
        <v>1.0</v>
      </c>
      <c r="E966" s="14" t="s">
        <v>1853</v>
      </c>
    </row>
    <row r="967">
      <c r="A967" s="16" t="s">
        <v>2931</v>
      </c>
      <c r="B967" s="16" t="s">
        <v>3124</v>
      </c>
      <c r="C967" s="1" t="s">
        <v>3310</v>
      </c>
      <c r="D967" s="1">
        <v>1.0</v>
      </c>
      <c r="E967" s="14" t="s">
        <v>1853</v>
      </c>
    </row>
    <row r="968">
      <c r="A968" s="16" t="s">
        <v>2931</v>
      </c>
      <c r="B968" s="16" t="s">
        <v>3136</v>
      </c>
      <c r="C968" s="1" t="s">
        <v>3310</v>
      </c>
      <c r="D968" s="1">
        <v>1.0</v>
      </c>
      <c r="E968" s="14" t="s">
        <v>1853</v>
      </c>
    </row>
    <row r="969">
      <c r="A969" s="16" t="s">
        <v>2931</v>
      </c>
      <c r="B969" s="16" t="s">
        <v>3059</v>
      </c>
      <c r="C969" s="1" t="s">
        <v>3310</v>
      </c>
      <c r="D969" s="1">
        <v>1.0</v>
      </c>
      <c r="E969" s="14" t="s">
        <v>1862</v>
      </c>
    </row>
    <row r="970">
      <c r="A970" s="16" t="s">
        <v>2776</v>
      </c>
      <c r="B970" s="16" t="s">
        <v>3121</v>
      </c>
      <c r="C970" s="1" t="s">
        <v>3310</v>
      </c>
      <c r="D970" s="1">
        <v>1.0</v>
      </c>
      <c r="E970" s="14" t="s">
        <v>1862</v>
      </c>
    </row>
    <row r="971">
      <c r="A971" s="16" t="s">
        <v>2776</v>
      </c>
      <c r="B971" s="16" t="s">
        <v>3070</v>
      </c>
      <c r="C971" s="1" t="s">
        <v>3310</v>
      </c>
      <c r="D971" s="1">
        <v>1.0</v>
      </c>
      <c r="E971" s="14" t="s">
        <v>1846</v>
      </c>
    </row>
    <row r="972">
      <c r="A972" s="16" t="s">
        <v>2776</v>
      </c>
      <c r="B972" s="16" t="s">
        <v>3028</v>
      </c>
      <c r="C972" s="1" t="s">
        <v>3310</v>
      </c>
      <c r="D972" s="1">
        <v>1.0</v>
      </c>
      <c r="E972" s="14" t="s">
        <v>1853</v>
      </c>
    </row>
    <row r="973">
      <c r="A973" s="16" t="s">
        <v>2776</v>
      </c>
      <c r="B973" s="16" t="s">
        <v>3028</v>
      </c>
      <c r="C973" s="1" t="s">
        <v>3310</v>
      </c>
      <c r="D973" s="1">
        <v>1.0</v>
      </c>
      <c r="E973" s="14" t="s">
        <v>1846</v>
      </c>
    </row>
    <row r="974">
      <c r="A974" s="16" t="s">
        <v>2776</v>
      </c>
      <c r="B974" s="16" t="s">
        <v>3040</v>
      </c>
      <c r="C974" s="1" t="s">
        <v>3310</v>
      </c>
      <c r="D974" s="1">
        <v>1.0</v>
      </c>
      <c r="E974" s="14" t="s">
        <v>1846</v>
      </c>
    </row>
    <row r="975">
      <c r="A975" s="16" t="s">
        <v>2776</v>
      </c>
      <c r="B975" s="16" t="s">
        <v>3059</v>
      </c>
      <c r="C975" s="1" t="s">
        <v>3310</v>
      </c>
      <c r="D975" s="1">
        <v>1.0</v>
      </c>
      <c r="E975" s="14" t="s">
        <v>1862</v>
      </c>
    </row>
    <row r="976">
      <c r="A976" s="16" t="s">
        <v>2755</v>
      </c>
      <c r="B976" s="16" t="s">
        <v>3121</v>
      </c>
      <c r="C976" s="1" t="s">
        <v>3310</v>
      </c>
      <c r="D976" s="1">
        <v>1.0</v>
      </c>
      <c r="E976" s="14" t="s">
        <v>1862</v>
      </c>
    </row>
    <row r="977">
      <c r="A977" s="16" t="s">
        <v>2755</v>
      </c>
      <c r="B977" s="16" t="s">
        <v>3040</v>
      </c>
      <c r="C977" s="1" t="s">
        <v>3310</v>
      </c>
      <c r="D977" s="1">
        <v>1.0</v>
      </c>
      <c r="E977" s="14" t="s">
        <v>1846</v>
      </c>
    </row>
    <row r="978">
      <c r="E978" s="4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</sheetData>
  <drawing r:id="rId1"/>
</worksheet>
</file>